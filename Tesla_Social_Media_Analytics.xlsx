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URU NAVEEN\Desktop\Tesla_Social_Media_Analytics\"/>
    </mc:Choice>
  </mc:AlternateContent>
  <xr:revisionPtr revIDLastSave="0" documentId="13_ncr:1_{2CDE6C97-B009-45FD-8911-C1F5D406C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65" r:id="rId1"/>
    <sheet name="Posts" sheetId="1" r:id="rId2"/>
    <sheet name="Engagement Summary" sheetId="2" r:id="rId3"/>
    <sheet name="Campaign Metadata" sheetId="3" r:id="rId4"/>
    <sheet name="TASK 1" sheetId="13" r:id="rId5"/>
    <sheet name="TASK 2(3)" sheetId="15" r:id="rId6"/>
    <sheet name="TASK 2(1)" sheetId="6" r:id="rId7"/>
    <sheet name="TASK 2(2)" sheetId="14" r:id="rId8"/>
    <sheet name="TASK 2(1.1)" sheetId="7" r:id="rId9"/>
    <sheet name="TASK 2(4)" sheetId="18" r:id="rId10"/>
    <sheet name="TASK 3(1)" sheetId="8" r:id="rId11"/>
    <sheet name="TASK 3(2)" sheetId="19" r:id="rId12"/>
    <sheet name="TASK 3(3)" sheetId="20" r:id="rId13"/>
    <sheet name="TASK 4(1)" sheetId="47" r:id="rId14"/>
    <sheet name="TASK 4(2)" sheetId="28" r:id="rId15"/>
    <sheet name="TASK 4(3)" sheetId="29" r:id="rId16"/>
    <sheet name="TASK 5(1)" sheetId="52" r:id="rId17"/>
    <sheet name="TASK 5(2)" sheetId="53" r:id="rId18"/>
    <sheet name="TASK 5(3)" sheetId="57" r:id="rId19"/>
    <sheet name="TASK 6(1)" sheetId="58" r:id="rId20"/>
    <sheet name="TASK 6(2)" sheetId="59" r:id="rId21"/>
    <sheet name="TASK 6(3)" sheetId="63" r:id="rId22"/>
  </sheets>
  <definedNames>
    <definedName name="_xlnm._FilterDatabase" localSheetId="1" hidden="1">Posts!$F$1:$F$1000</definedName>
    <definedName name="ExternalData_1" localSheetId="7" hidden="1">'TASK 2(2)'!$A$1:$N$339</definedName>
    <definedName name="ExternalData_1" localSheetId="16" hidden="1">'TASK 5(1)'!$A$1:$Q$302</definedName>
  </definedNames>
  <calcPr calcId="191029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  <pivotCache cacheId="7" r:id="rId3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52" l="1"/>
  <c r="E9" i="57"/>
  <c r="E5" i="57"/>
  <c r="E6" i="57"/>
  <c r="E7" i="57"/>
  <c r="E8" i="57"/>
  <c r="E4" i="57"/>
  <c r="B3" i="63"/>
  <c r="B4" i="63"/>
  <c r="B5" i="63"/>
  <c r="B6" i="63"/>
  <c r="B7" i="63"/>
  <c r="B8" i="63"/>
  <c r="B9" i="63"/>
  <c r="B10" i="63"/>
  <c r="B11" i="63"/>
  <c r="B12" i="63"/>
  <c r="B13" i="63"/>
  <c r="B14" i="63"/>
  <c r="B15" i="63"/>
  <c r="B16" i="63"/>
  <c r="B17" i="63"/>
  <c r="B18" i="63"/>
  <c r="B19" i="63"/>
  <c r="B20" i="63"/>
  <c r="B21" i="63"/>
  <c r="B22" i="63"/>
  <c r="B23" i="63"/>
  <c r="B24" i="63"/>
  <c r="B25" i="63"/>
  <c r="B26" i="63"/>
  <c r="B27" i="63"/>
  <c r="B28" i="63"/>
  <c r="B29" i="63"/>
  <c r="B30" i="63"/>
  <c r="B31" i="63"/>
  <c r="B32" i="63"/>
  <c r="B33" i="63"/>
  <c r="B34" i="63"/>
  <c r="B35" i="63"/>
  <c r="B36" i="63"/>
  <c r="B37" i="63"/>
  <c r="B38" i="63"/>
  <c r="B39" i="63"/>
  <c r="B40" i="63"/>
  <c r="B41" i="63"/>
  <c r="B42" i="63"/>
  <c r="B43" i="63"/>
  <c r="B44" i="63"/>
  <c r="B45" i="63"/>
  <c r="B46" i="63"/>
  <c r="B47" i="63"/>
  <c r="B48" i="63"/>
  <c r="B49" i="63"/>
  <c r="B50" i="63"/>
  <c r="B51" i="63"/>
  <c r="B52" i="63"/>
  <c r="B53" i="63"/>
  <c r="B54" i="63"/>
  <c r="B55" i="63"/>
  <c r="B56" i="63"/>
  <c r="B57" i="63"/>
  <c r="B58" i="63"/>
  <c r="B59" i="63"/>
  <c r="B60" i="63"/>
  <c r="B61" i="63"/>
  <c r="B62" i="63"/>
  <c r="B63" i="63"/>
  <c r="B64" i="63"/>
  <c r="B65" i="63"/>
  <c r="B66" i="63"/>
  <c r="B67" i="63"/>
  <c r="B68" i="63"/>
  <c r="B69" i="63"/>
  <c r="B70" i="63"/>
  <c r="B71" i="63"/>
  <c r="B72" i="63"/>
  <c r="B73" i="63"/>
  <c r="B74" i="63"/>
  <c r="B75" i="63"/>
  <c r="B76" i="63"/>
  <c r="B77" i="63"/>
  <c r="B78" i="63"/>
  <c r="B79" i="63"/>
  <c r="B80" i="63"/>
  <c r="B81" i="63"/>
  <c r="B82" i="63"/>
  <c r="B83" i="63"/>
  <c r="B84" i="63"/>
  <c r="B85" i="63"/>
  <c r="B86" i="63"/>
  <c r="B87" i="63"/>
  <c r="B88" i="63"/>
  <c r="B89" i="63"/>
  <c r="B90" i="63"/>
  <c r="B91" i="63"/>
  <c r="B92" i="63"/>
  <c r="B93" i="63"/>
  <c r="B94" i="63"/>
  <c r="B95" i="63"/>
  <c r="B96" i="63"/>
  <c r="B97" i="63"/>
  <c r="B98" i="63"/>
  <c r="B99" i="63"/>
  <c r="B100" i="63"/>
  <c r="B101" i="63"/>
  <c r="B102" i="63"/>
  <c r="B103" i="63"/>
  <c r="B104" i="63"/>
  <c r="B105" i="63"/>
  <c r="B106" i="63"/>
  <c r="B107" i="63"/>
  <c r="B108" i="63"/>
  <c r="B109" i="63"/>
  <c r="B110" i="63"/>
  <c r="B111" i="63"/>
  <c r="B112" i="63"/>
  <c r="B113" i="63"/>
  <c r="B114" i="63"/>
  <c r="B115" i="63"/>
  <c r="B116" i="63"/>
  <c r="B117" i="63"/>
  <c r="B118" i="63"/>
  <c r="B119" i="63"/>
  <c r="B120" i="63"/>
  <c r="B121" i="63"/>
  <c r="B122" i="63"/>
  <c r="B123" i="63"/>
  <c r="B124" i="63"/>
  <c r="B125" i="63"/>
  <c r="B126" i="63"/>
  <c r="B127" i="63"/>
  <c r="B128" i="63"/>
  <c r="B129" i="63"/>
  <c r="B130" i="63"/>
  <c r="B131" i="63"/>
  <c r="B132" i="63"/>
  <c r="B133" i="63"/>
  <c r="B134" i="63"/>
  <c r="B135" i="63"/>
  <c r="B136" i="63"/>
  <c r="B137" i="63"/>
  <c r="B138" i="63"/>
  <c r="B139" i="63"/>
  <c r="B140" i="63"/>
  <c r="B141" i="63"/>
  <c r="B142" i="63"/>
  <c r="B143" i="63"/>
  <c r="B144" i="63"/>
  <c r="B145" i="63"/>
  <c r="B146" i="63"/>
  <c r="B147" i="63"/>
  <c r="B148" i="63"/>
  <c r="B149" i="63"/>
  <c r="B150" i="63"/>
  <c r="B151" i="63"/>
  <c r="B152" i="63"/>
  <c r="B153" i="63"/>
  <c r="B154" i="63"/>
  <c r="B155" i="63"/>
  <c r="B156" i="63"/>
  <c r="B157" i="63"/>
  <c r="B158" i="63"/>
  <c r="B159" i="63"/>
  <c r="B160" i="63"/>
  <c r="B161" i="63"/>
  <c r="B162" i="63"/>
  <c r="B163" i="63"/>
  <c r="B164" i="63"/>
  <c r="B165" i="63"/>
  <c r="B166" i="63"/>
  <c r="B167" i="63"/>
  <c r="B168" i="63"/>
  <c r="B169" i="63"/>
  <c r="B170" i="63"/>
  <c r="B171" i="63"/>
  <c r="B172" i="63"/>
  <c r="B173" i="63"/>
  <c r="B174" i="63"/>
  <c r="B175" i="63"/>
  <c r="B176" i="63"/>
  <c r="B177" i="63"/>
  <c r="B178" i="63"/>
  <c r="B179" i="63"/>
  <c r="B180" i="63"/>
  <c r="B181" i="63"/>
  <c r="B182" i="63"/>
  <c r="B183" i="63"/>
  <c r="B184" i="63"/>
  <c r="B185" i="63"/>
  <c r="B186" i="63"/>
  <c r="B187" i="63"/>
  <c r="B188" i="63"/>
  <c r="B189" i="63"/>
  <c r="B190" i="63"/>
  <c r="B191" i="63"/>
  <c r="B192" i="63"/>
  <c r="B193" i="63"/>
  <c r="B194" i="63"/>
  <c r="B195" i="63"/>
  <c r="B196" i="63"/>
  <c r="B197" i="63"/>
  <c r="B198" i="63"/>
  <c r="B199" i="63"/>
  <c r="B200" i="63"/>
  <c r="B201" i="63"/>
  <c r="B202" i="63"/>
  <c r="B203" i="63"/>
  <c r="B204" i="63"/>
  <c r="B205" i="63"/>
  <c r="B206" i="63"/>
  <c r="B207" i="63"/>
  <c r="B208" i="63"/>
  <c r="B209" i="63"/>
  <c r="B210" i="63"/>
  <c r="B211" i="63"/>
  <c r="B212" i="63"/>
  <c r="B213" i="63"/>
  <c r="B214" i="63"/>
  <c r="B215" i="63"/>
  <c r="B216" i="63"/>
  <c r="B217" i="63"/>
  <c r="B218" i="63"/>
  <c r="B219" i="63"/>
  <c r="B220" i="63"/>
  <c r="B221" i="63"/>
  <c r="B222" i="63"/>
  <c r="B223" i="63"/>
  <c r="B224" i="63"/>
  <c r="B225" i="63"/>
  <c r="B226" i="63"/>
  <c r="B227" i="63"/>
  <c r="B228" i="63"/>
  <c r="B229" i="63"/>
  <c r="B230" i="63"/>
  <c r="B231" i="63"/>
  <c r="B232" i="63"/>
  <c r="B233" i="63"/>
  <c r="B234" i="63"/>
  <c r="B235" i="63"/>
  <c r="B236" i="63"/>
  <c r="B237" i="63"/>
  <c r="B238" i="63"/>
  <c r="B239" i="63"/>
  <c r="B240" i="63"/>
  <c r="B241" i="63"/>
  <c r="B242" i="63"/>
  <c r="B243" i="63"/>
  <c r="B244" i="63"/>
  <c r="B245" i="63"/>
  <c r="B246" i="63"/>
  <c r="B247" i="63"/>
  <c r="B248" i="63"/>
  <c r="B249" i="63"/>
  <c r="B250" i="63"/>
  <c r="B251" i="63"/>
  <c r="B252" i="63"/>
  <c r="B253" i="63"/>
  <c r="B254" i="63"/>
  <c r="B255" i="63"/>
  <c r="B256" i="63"/>
  <c r="B257" i="63"/>
  <c r="B258" i="63"/>
  <c r="B259" i="63"/>
  <c r="B260" i="63"/>
  <c r="B261" i="63"/>
  <c r="B262" i="63"/>
  <c r="B263" i="63"/>
  <c r="B264" i="63"/>
  <c r="B265" i="63"/>
  <c r="B266" i="63"/>
  <c r="B267" i="63"/>
  <c r="B268" i="63"/>
  <c r="B269" i="63"/>
  <c r="B270" i="63"/>
  <c r="B271" i="63"/>
  <c r="B272" i="63"/>
  <c r="B273" i="63"/>
  <c r="B274" i="63"/>
  <c r="B275" i="63"/>
  <c r="B276" i="63"/>
  <c r="B277" i="63"/>
  <c r="B278" i="63"/>
  <c r="B279" i="63"/>
  <c r="B280" i="63"/>
  <c r="B281" i="63"/>
  <c r="B282" i="63"/>
  <c r="B283" i="63"/>
  <c r="B284" i="63"/>
  <c r="B285" i="63"/>
  <c r="B286" i="63"/>
  <c r="B287" i="63"/>
  <c r="B288" i="63"/>
  <c r="B289" i="63"/>
  <c r="B290" i="63"/>
  <c r="B291" i="63"/>
  <c r="B292" i="63"/>
  <c r="B293" i="63"/>
  <c r="B294" i="63"/>
  <c r="B295" i="63"/>
  <c r="B296" i="63"/>
  <c r="B297" i="63"/>
  <c r="B298" i="63"/>
  <c r="B299" i="63"/>
  <c r="B300" i="63"/>
  <c r="B301" i="63"/>
  <c r="B2" i="63"/>
  <c r="U3" i="58"/>
  <c r="U4" i="58"/>
  <c r="U5" i="58"/>
  <c r="U6" i="58"/>
  <c r="U7" i="58"/>
  <c r="U8" i="58"/>
  <c r="U9" i="58"/>
  <c r="U10" i="58"/>
  <c r="U11" i="58"/>
  <c r="U12" i="58"/>
  <c r="U13" i="58"/>
  <c r="U14" i="58"/>
  <c r="U15" i="58"/>
  <c r="U16" i="58"/>
  <c r="U17" i="58"/>
  <c r="U18" i="58"/>
  <c r="U19" i="58"/>
  <c r="U20" i="58"/>
  <c r="U21" i="58"/>
  <c r="U22" i="58"/>
  <c r="U23" i="58"/>
  <c r="U24" i="58"/>
  <c r="U25" i="58"/>
  <c r="U26" i="58"/>
  <c r="U27" i="58"/>
  <c r="U28" i="58"/>
  <c r="U29" i="58"/>
  <c r="U30" i="58"/>
  <c r="U31" i="58"/>
  <c r="U32" i="58"/>
  <c r="U33" i="58"/>
  <c r="U34" i="58"/>
  <c r="U35" i="58"/>
  <c r="U36" i="58"/>
  <c r="U37" i="58"/>
  <c r="U38" i="58"/>
  <c r="U39" i="58"/>
  <c r="U40" i="58"/>
  <c r="U41" i="58"/>
  <c r="U42" i="58"/>
  <c r="U43" i="58"/>
  <c r="U44" i="58"/>
  <c r="U45" i="58"/>
  <c r="U46" i="58"/>
  <c r="U47" i="58"/>
  <c r="U48" i="58"/>
  <c r="U49" i="58"/>
  <c r="U50" i="58"/>
  <c r="U51" i="58"/>
  <c r="U52" i="58"/>
  <c r="U53" i="58"/>
  <c r="U54" i="58"/>
  <c r="U55" i="58"/>
  <c r="U56" i="58"/>
  <c r="U57" i="58"/>
  <c r="U58" i="58"/>
  <c r="U59" i="58"/>
  <c r="U60" i="58"/>
  <c r="U61" i="58"/>
  <c r="U62" i="58"/>
  <c r="U63" i="58"/>
  <c r="U64" i="58"/>
  <c r="U65" i="58"/>
  <c r="U66" i="58"/>
  <c r="U67" i="58"/>
  <c r="U68" i="58"/>
  <c r="U69" i="58"/>
  <c r="U70" i="58"/>
  <c r="U71" i="58"/>
  <c r="U72" i="58"/>
  <c r="U73" i="58"/>
  <c r="U74" i="58"/>
  <c r="U75" i="58"/>
  <c r="U76" i="58"/>
  <c r="U77" i="58"/>
  <c r="U78" i="58"/>
  <c r="U79" i="58"/>
  <c r="U80" i="58"/>
  <c r="U81" i="58"/>
  <c r="U82" i="58"/>
  <c r="U83" i="58"/>
  <c r="U84" i="58"/>
  <c r="U85" i="58"/>
  <c r="U86" i="58"/>
  <c r="U87" i="58"/>
  <c r="U88" i="58"/>
  <c r="U89" i="58"/>
  <c r="U90" i="58"/>
  <c r="U91" i="58"/>
  <c r="U92" i="58"/>
  <c r="U93" i="58"/>
  <c r="U94" i="58"/>
  <c r="U95" i="58"/>
  <c r="U96" i="58"/>
  <c r="U97" i="58"/>
  <c r="U98" i="58"/>
  <c r="U99" i="58"/>
  <c r="U100" i="58"/>
  <c r="U101" i="58"/>
  <c r="U102" i="58"/>
  <c r="U103" i="58"/>
  <c r="U104" i="58"/>
  <c r="U105" i="58"/>
  <c r="U106" i="58"/>
  <c r="U107" i="58"/>
  <c r="U108" i="58"/>
  <c r="U109" i="58"/>
  <c r="U110" i="58"/>
  <c r="U111" i="58"/>
  <c r="U112" i="58"/>
  <c r="U113" i="58"/>
  <c r="U114" i="58"/>
  <c r="U115" i="58"/>
  <c r="U116" i="58"/>
  <c r="U117" i="58"/>
  <c r="U118" i="58"/>
  <c r="U119" i="58"/>
  <c r="U120" i="58"/>
  <c r="U121" i="58"/>
  <c r="U122" i="58"/>
  <c r="U123" i="58"/>
  <c r="U124" i="58"/>
  <c r="U125" i="58"/>
  <c r="U126" i="58"/>
  <c r="U127" i="58"/>
  <c r="U128" i="58"/>
  <c r="U129" i="58"/>
  <c r="U130" i="58"/>
  <c r="U131" i="58"/>
  <c r="U132" i="58"/>
  <c r="U133" i="58"/>
  <c r="U134" i="58"/>
  <c r="U135" i="58"/>
  <c r="U136" i="58"/>
  <c r="U137" i="58"/>
  <c r="U138" i="58"/>
  <c r="U139" i="58"/>
  <c r="U140" i="58"/>
  <c r="U141" i="58"/>
  <c r="U142" i="58"/>
  <c r="U143" i="58"/>
  <c r="U144" i="58"/>
  <c r="U145" i="58"/>
  <c r="U146" i="58"/>
  <c r="U147" i="58"/>
  <c r="U148" i="58"/>
  <c r="U149" i="58"/>
  <c r="U150" i="58"/>
  <c r="U151" i="58"/>
  <c r="U152" i="58"/>
  <c r="U153" i="58"/>
  <c r="U154" i="58"/>
  <c r="U155" i="58"/>
  <c r="U156" i="58"/>
  <c r="U157" i="58"/>
  <c r="U158" i="58"/>
  <c r="U159" i="58"/>
  <c r="U160" i="58"/>
  <c r="U161" i="58"/>
  <c r="U162" i="58"/>
  <c r="U163" i="58"/>
  <c r="U164" i="58"/>
  <c r="U165" i="58"/>
  <c r="U166" i="58"/>
  <c r="U167" i="58"/>
  <c r="U168" i="58"/>
  <c r="U169" i="58"/>
  <c r="U170" i="58"/>
  <c r="U171" i="58"/>
  <c r="U172" i="58"/>
  <c r="U173" i="58"/>
  <c r="U174" i="58"/>
  <c r="U175" i="58"/>
  <c r="U176" i="58"/>
  <c r="U177" i="58"/>
  <c r="U178" i="58"/>
  <c r="U179" i="58"/>
  <c r="U180" i="58"/>
  <c r="U181" i="58"/>
  <c r="U182" i="58"/>
  <c r="U183" i="58"/>
  <c r="U184" i="58"/>
  <c r="U185" i="58"/>
  <c r="U186" i="58"/>
  <c r="U187" i="58"/>
  <c r="U188" i="58"/>
  <c r="U189" i="58"/>
  <c r="U190" i="58"/>
  <c r="U191" i="58"/>
  <c r="U192" i="58"/>
  <c r="U193" i="58"/>
  <c r="U194" i="58"/>
  <c r="U195" i="58"/>
  <c r="U196" i="58"/>
  <c r="U197" i="58"/>
  <c r="U198" i="58"/>
  <c r="U199" i="58"/>
  <c r="U200" i="58"/>
  <c r="U201" i="58"/>
  <c r="U202" i="58"/>
  <c r="U203" i="58"/>
  <c r="U204" i="58"/>
  <c r="U205" i="58"/>
  <c r="U206" i="58"/>
  <c r="U207" i="58"/>
  <c r="U208" i="58"/>
  <c r="U209" i="58"/>
  <c r="U210" i="58"/>
  <c r="U211" i="58"/>
  <c r="U212" i="58"/>
  <c r="U213" i="58"/>
  <c r="U214" i="58"/>
  <c r="U215" i="58"/>
  <c r="U216" i="58"/>
  <c r="U217" i="58"/>
  <c r="U218" i="58"/>
  <c r="U219" i="58"/>
  <c r="U220" i="58"/>
  <c r="U221" i="58"/>
  <c r="U222" i="58"/>
  <c r="U223" i="58"/>
  <c r="U224" i="58"/>
  <c r="U225" i="58"/>
  <c r="U226" i="58"/>
  <c r="U227" i="58"/>
  <c r="U228" i="58"/>
  <c r="U229" i="58"/>
  <c r="U230" i="58"/>
  <c r="U231" i="58"/>
  <c r="U232" i="58"/>
  <c r="U233" i="58"/>
  <c r="U234" i="58"/>
  <c r="U235" i="58"/>
  <c r="U236" i="58"/>
  <c r="U237" i="58"/>
  <c r="U238" i="58"/>
  <c r="U239" i="58"/>
  <c r="U240" i="58"/>
  <c r="U241" i="58"/>
  <c r="U242" i="58"/>
  <c r="U243" i="58"/>
  <c r="U244" i="58"/>
  <c r="U245" i="58"/>
  <c r="U246" i="58"/>
  <c r="U247" i="58"/>
  <c r="U248" i="58"/>
  <c r="U249" i="58"/>
  <c r="U250" i="58"/>
  <c r="U251" i="58"/>
  <c r="U252" i="58"/>
  <c r="U253" i="58"/>
  <c r="U254" i="58"/>
  <c r="U255" i="58"/>
  <c r="U256" i="58"/>
  <c r="U257" i="58"/>
  <c r="U258" i="58"/>
  <c r="U259" i="58"/>
  <c r="U260" i="58"/>
  <c r="U261" i="58"/>
  <c r="U262" i="58"/>
  <c r="U263" i="58"/>
  <c r="U264" i="58"/>
  <c r="U265" i="58"/>
  <c r="U266" i="58"/>
  <c r="U267" i="58"/>
  <c r="U268" i="58"/>
  <c r="U269" i="58"/>
  <c r="U270" i="58"/>
  <c r="U271" i="58"/>
  <c r="U272" i="58"/>
  <c r="U273" i="58"/>
  <c r="U274" i="58"/>
  <c r="U275" i="58"/>
  <c r="U276" i="58"/>
  <c r="U277" i="58"/>
  <c r="U278" i="58"/>
  <c r="U279" i="58"/>
  <c r="U280" i="58"/>
  <c r="U281" i="58"/>
  <c r="U282" i="58"/>
  <c r="U283" i="58"/>
  <c r="U284" i="58"/>
  <c r="U285" i="58"/>
  <c r="U286" i="58"/>
  <c r="U287" i="58"/>
  <c r="U288" i="58"/>
  <c r="U289" i="58"/>
  <c r="U290" i="58"/>
  <c r="U291" i="58"/>
  <c r="U292" i="58"/>
  <c r="U293" i="58"/>
  <c r="U294" i="58"/>
  <c r="U295" i="58"/>
  <c r="U296" i="58"/>
  <c r="U297" i="58"/>
  <c r="U298" i="58"/>
  <c r="U299" i="58"/>
  <c r="U300" i="58"/>
  <c r="U301" i="58"/>
  <c r="U2" i="58"/>
  <c r="S2" i="58"/>
  <c r="T3" i="58"/>
  <c r="T4" i="58"/>
  <c r="T5" i="58"/>
  <c r="T6" i="58"/>
  <c r="T7" i="58"/>
  <c r="T8" i="58"/>
  <c r="T9" i="58"/>
  <c r="T10" i="58"/>
  <c r="T11" i="58"/>
  <c r="T12" i="58"/>
  <c r="T13" i="58"/>
  <c r="T14" i="58"/>
  <c r="T15" i="58"/>
  <c r="T16" i="58"/>
  <c r="T17" i="58"/>
  <c r="T18" i="58"/>
  <c r="T19" i="58"/>
  <c r="T20" i="58"/>
  <c r="T21" i="58"/>
  <c r="T22" i="58"/>
  <c r="T23" i="58"/>
  <c r="T24" i="58"/>
  <c r="T25" i="58"/>
  <c r="T26" i="58"/>
  <c r="T27" i="58"/>
  <c r="T28" i="58"/>
  <c r="T29" i="58"/>
  <c r="T30" i="58"/>
  <c r="T31" i="58"/>
  <c r="T32" i="58"/>
  <c r="T33" i="58"/>
  <c r="T34" i="58"/>
  <c r="T35" i="58"/>
  <c r="T36" i="58"/>
  <c r="T37" i="58"/>
  <c r="T38" i="58"/>
  <c r="T39" i="58"/>
  <c r="T40" i="58"/>
  <c r="T41" i="58"/>
  <c r="T42" i="58"/>
  <c r="T43" i="58"/>
  <c r="T44" i="58"/>
  <c r="T45" i="58"/>
  <c r="T46" i="58"/>
  <c r="T47" i="58"/>
  <c r="T48" i="58"/>
  <c r="T49" i="58"/>
  <c r="T50" i="58"/>
  <c r="T51" i="58"/>
  <c r="T52" i="58"/>
  <c r="T53" i="58"/>
  <c r="T54" i="58"/>
  <c r="T55" i="58"/>
  <c r="T56" i="58"/>
  <c r="T57" i="58"/>
  <c r="T58" i="58"/>
  <c r="T59" i="58"/>
  <c r="T60" i="58"/>
  <c r="T61" i="58"/>
  <c r="T62" i="58"/>
  <c r="T63" i="58"/>
  <c r="T64" i="58"/>
  <c r="T65" i="58"/>
  <c r="T66" i="58"/>
  <c r="T67" i="58"/>
  <c r="T68" i="58"/>
  <c r="T69" i="58"/>
  <c r="T70" i="58"/>
  <c r="T71" i="58"/>
  <c r="T72" i="58"/>
  <c r="T73" i="58"/>
  <c r="T74" i="58"/>
  <c r="T75" i="58"/>
  <c r="T76" i="58"/>
  <c r="T77" i="58"/>
  <c r="T78" i="58"/>
  <c r="T79" i="58"/>
  <c r="T80" i="58"/>
  <c r="T81" i="58"/>
  <c r="T82" i="58"/>
  <c r="T83" i="58"/>
  <c r="T84" i="58"/>
  <c r="T85" i="58"/>
  <c r="T86" i="58"/>
  <c r="T87" i="58"/>
  <c r="T88" i="58"/>
  <c r="T89" i="58"/>
  <c r="T90" i="58"/>
  <c r="T91" i="58"/>
  <c r="T92" i="58"/>
  <c r="T93" i="58"/>
  <c r="T94" i="58"/>
  <c r="T95" i="58"/>
  <c r="T96" i="58"/>
  <c r="T97" i="58"/>
  <c r="T98" i="58"/>
  <c r="T99" i="58"/>
  <c r="T100" i="58"/>
  <c r="T101" i="58"/>
  <c r="T102" i="58"/>
  <c r="T103" i="58"/>
  <c r="T104" i="58"/>
  <c r="T105" i="58"/>
  <c r="T106" i="58"/>
  <c r="T107" i="58"/>
  <c r="T108" i="58"/>
  <c r="T109" i="58"/>
  <c r="T110" i="58"/>
  <c r="T111" i="58"/>
  <c r="T112" i="58"/>
  <c r="T113" i="58"/>
  <c r="T114" i="58"/>
  <c r="T115" i="58"/>
  <c r="T116" i="58"/>
  <c r="T117" i="58"/>
  <c r="T118" i="58"/>
  <c r="T119" i="58"/>
  <c r="T120" i="58"/>
  <c r="T121" i="58"/>
  <c r="T122" i="58"/>
  <c r="T123" i="58"/>
  <c r="T124" i="58"/>
  <c r="T125" i="58"/>
  <c r="T126" i="58"/>
  <c r="T127" i="58"/>
  <c r="T128" i="58"/>
  <c r="T129" i="58"/>
  <c r="T130" i="58"/>
  <c r="T131" i="58"/>
  <c r="T132" i="58"/>
  <c r="T133" i="58"/>
  <c r="T134" i="58"/>
  <c r="T135" i="58"/>
  <c r="T136" i="58"/>
  <c r="T137" i="58"/>
  <c r="T138" i="58"/>
  <c r="T139" i="58"/>
  <c r="T140" i="58"/>
  <c r="T141" i="58"/>
  <c r="T142" i="58"/>
  <c r="T143" i="58"/>
  <c r="T144" i="58"/>
  <c r="T145" i="58"/>
  <c r="T146" i="58"/>
  <c r="T147" i="58"/>
  <c r="T148" i="58"/>
  <c r="T149" i="58"/>
  <c r="T150" i="58"/>
  <c r="T151" i="58"/>
  <c r="T152" i="58"/>
  <c r="T153" i="58"/>
  <c r="T154" i="58"/>
  <c r="T155" i="58"/>
  <c r="T156" i="58"/>
  <c r="T157" i="58"/>
  <c r="T158" i="58"/>
  <c r="T159" i="58"/>
  <c r="T160" i="58"/>
  <c r="T161" i="58"/>
  <c r="T162" i="58"/>
  <c r="T163" i="58"/>
  <c r="T164" i="58"/>
  <c r="T165" i="58"/>
  <c r="T166" i="58"/>
  <c r="T167" i="58"/>
  <c r="T168" i="58"/>
  <c r="T169" i="58"/>
  <c r="T170" i="58"/>
  <c r="T171" i="58"/>
  <c r="T172" i="58"/>
  <c r="T173" i="58"/>
  <c r="T174" i="58"/>
  <c r="T175" i="58"/>
  <c r="T176" i="58"/>
  <c r="T177" i="58"/>
  <c r="T178" i="58"/>
  <c r="T179" i="58"/>
  <c r="T180" i="58"/>
  <c r="T181" i="58"/>
  <c r="T182" i="58"/>
  <c r="T183" i="58"/>
  <c r="T184" i="58"/>
  <c r="T185" i="58"/>
  <c r="T186" i="58"/>
  <c r="T187" i="58"/>
  <c r="T188" i="58"/>
  <c r="T189" i="58"/>
  <c r="T190" i="58"/>
  <c r="T191" i="58"/>
  <c r="T192" i="58"/>
  <c r="T193" i="58"/>
  <c r="T194" i="58"/>
  <c r="T195" i="58"/>
  <c r="T196" i="58"/>
  <c r="T197" i="58"/>
  <c r="T198" i="58"/>
  <c r="T199" i="58"/>
  <c r="T200" i="58"/>
  <c r="T201" i="58"/>
  <c r="T202" i="58"/>
  <c r="T203" i="58"/>
  <c r="T204" i="58"/>
  <c r="T205" i="58"/>
  <c r="T206" i="58"/>
  <c r="T207" i="58"/>
  <c r="T208" i="58"/>
  <c r="T209" i="58"/>
  <c r="T210" i="58"/>
  <c r="T211" i="58"/>
  <c r="T212" i="58"/>
  <c r="T213" i="58"/>
  <c r="T214" i="58"/>
  <c r="T215" i="58"/>
  <c r="T216" i="58"/>
  <c r="T217" i="58"/>
  <c r="T218" i="58"/>
  <c r="T219" i="58"/>
  <c r="T220" i="58"/>
  <c r="T221" i="58"/>
  <c r="T222" i="58"/>
  <c r="T223" i="58"/>
  <c r="T224" i="58"/>
  <c r="T225" i="58"/>
  <c r="T226" i="58"/>
  <c r="T227" i="58"/>
  <c r="T228" i="58"/>
  <c r="T229" i="58"/>
  <c r="T230" i="58"/>
  <c r="T231" i="58"/>
  <c r="T232" i="58"/>
  <c r="T233" i="58"/>
  <c r="T234" i="58"/>
  <c r="T235" i="58"/>
  <c r="T236" i="58"/>
  <c r="T237" i="58"/>
  <c r="T238" i="58"/>
  <c r="T239" i="58"/>
  <c r="T240" i="58"/>
  <c r="T241" i="58"/>
  <c r="T242" i="58"/>
  <c r="T243" i="58"/>
  <c r="T244" i="58"/>
  <c r="T245" i="58"/>
  <c r="T246" i="58"/>
  <c r="T247" i="58"/>
  <c r="T248" i="58"/>
  <c r="T249" i="58"/>
  <c r="T250" i="58"/>
  <c r="T251" i="58"/>
  <c r="T252" i="58"/>
  <c r="T253" i="58"/>
  <c r="T254" i="58"/>
  <c r="T255" i="58"/>
  <c r="T256" i="58"/>
  <c r="T257" i="58"/>
  <c r="T258" i="58"/>
  <c r="T259" i="58"/>
  <c r="T260" i="58"/>
  <c r="T261" i="58"/>
  <c r="T262" i="58"/>
  <c r="T263" i="58"/>
  <c r="T264" i="58"/>
  <c r="T265" i="58"/>
  <c r="T266" i="58"/>
  <c r="T267" i="58"/>
  <c r="T268" i="58"/>
  <c r="T269" i="58"/>
  <c r="T270" i="58"/>
  <c r="T271" i="58"/>
  <c r="T272" i="58"/>
  <c r="T273" i="58"/>
  <c r="T274" i="58"/>
  <c r="T275" i="58"/>
  <c r="T276" i="58"/>
  <c r="T277" i="58"/>
  <c r="T278" i="58"/>
  <c r="T279" i="58"/>
  <c r="T280" i="58"/>
  <c r="T281" i="58"/>
  <c r="T282" i="58"/>
  <c r="T283" i="58"/>
  <c r="T284" i="58"/>
  <c r="T285" i="58"/>
  <c r="T286" i="58"/>
  <c r="T287" i="58"/>
  <c r="T288" i="58"/>
  <c r="T289" i="58"/>
  <c r="T290" i="58"/>
  <c r="T291" i="58"/>
  <c r="T292" i="58"/>
  <c r="T293" i="58"/>
  <c r="T294" i="58"/>
  <c r="T295" i="58"/>
  <c r="T296" i="58"/>
  <c r="T297" i="58"/>
  <c r="T298" i="58"/>
  <c r="T299" i="58"/>
  <c r="T300" i="58"/>
  <c r="T301" i="58"/>
  <c r="T2" i="58"/>
  <c r="S301" i="58"/>
  <c r="R301" i="58"/>
  <c r="S300" i="58"/>
  <c r="R300" i="58"/>
  <c r="S299" i="58"/>
  <c r="R299" i="58"/>
  <c r="S298" i="58"/>
  <c r="R298" i="58"/>
  <c r="S297" i="58"/>
  <c r="R297" i="58"/>
  <c r="S296" i="58"/>
  <c r="R296" i="58"/>
  <c r="S295" i="58"/>
  <c r="R295" i="58"/>
  <c r="S294" i="58"/>
  <c r="R294" i="58"/>
  <c r="S293" i="58"/>
  <c r="R293" i="58"/>
  <c r="S292" i="58"/>
  <c r="R292" i="58"/>
  <c r="S291" i="58"/>
  <c r="R291" i="58"/>
  <c r="S290" i="58"/>
  <c r="R290" i="58"/>
  <c r="S289" i="58"/>
  <c r="R289" i="58"/>
  <c r="S288" i="58"/>
  <c r="R288" i="58"/>
  <c r="S287" i="58"/>
  <c r="R287" i="58"/>
  <c r="S286" i="58"/>
  <c r="R286" i="58"/>
  <c r="S285" i="58"/>
  <c r="R285" i="58"/>
  <c r="S284" i="58"/>
  <c r="R284" i="58"/>
  <c r="S283" i="58"/>
  <c r="R283" i="58"/>
  <c r="S282" i="58"/>
  <c r="R282" i="58"/>
  <c r="S281" i="58"/>
  <c r="R281" i="58"/>
  <c r="S280" i="58"/>
  <c r="R280" i="58"/>
  <c r="S279" i="58"/>
  <c r="R279" i="58"/>
  <c r="S278" i="58"/>
  <c r="R278" i="58"/>
  <c r="S277" i="58"/>
  <c r="R277" i="58"/>
  <c r="S276" i="58"/>
  <c r="R276" i="58"/>
  <c r="S275" i="58"/>
  <c r="R275" i="58"/>
  <c r="S274" i="58"/>
  <c r="R274" i="58"/>
  <c r="S273" i="58"/>
  <c r="R273" i="58"/>
  <c r="S272" i="58"/>
  <c r="R272" i="58"/>
  <c r="S271" i="58"/>
  <c r="R271" i="58"/>
  <c r="S270" i="58"/>
  <c r="R270" i="58"/>
  <c r="S269" i="58"/>
  <c r="R269" i="58"/>
  <c r="S268" i="58"/>
  <c r="R268" i="58"/>
  <c r="S267" i="58"/>
  <c r="R267" i="58"/>
  <c r="S266" i="58"/>
  <c r="R266" i="58"/>
  <c r="S265" i="58"/>
  <c r="R265" i="58"/>
  <c r="S264" i="58"/>
  <c r="R264" i="58"/>
  <c r="S263" i="58"/>
  <c r="R263" i="58"/>
  <c r="S262" i="58"/>
  <c r="R262" i="58"/>
  <c r="S261" i="58"/>
  <c r="R261" i="58"/>
  <c r="S260" i="58"/>
  <c r="R260" i="58"/>
  <c r="S259" i="58"/>
  <c r="R259" i="58"/>
  <c r="S258" i="58"/>
  <c r="R258" i="58"/>
  <c r="S257" i="58"/>
  <c r="R257" i="58"/>
  <c r="S256" i="58"/>
  <c r="R256" i="58"/>
  <c r="S255" i="58"/>
  <c r="R255" i="58"/>
  <c r="S254" i="58"/>
  <c r="R254" i="58"/>
  <c r="S253" i="58"/>
  <c r="R253" i="58"/>
  <c r="S252" i="58"/>
  <c r="R252" i="58"/>
  <c r="S251" i="58"/>
  <c r="R251" i="58"/>
  <c r="S250" i="58"/>
  <c r="R250" i="58"/>
  <c r="S249" i="58"/>
  <c r="R249" i="58"/>
  <c r="S248" i="58"/>
  <c r="R248" i="58"/>
  <c r="S247" i="58"/>
  <c r="R247" i="58"/>
  <c r="S246" i="58"/>
  <c r="R246" i="58"/>
  <c r="S245" i="58"/>
  <c r="R245" i="58"/>
  <c r="S244" i="58"/>
  <c r="R244" i="58"/>
  <c r="S243" i="58"/>
  <c r="R243" i="58"/>
  <c r="S242" i="58"/>
  <c r="R242" i="58"/>
  <c r="S241" i="58"/>
  <c r="R241" i="58"/>
  <c r="S240" i="58"/>
  <c r="R240" i="58"/>
  <c r="S239" i="58"/>
  <c r="R239" i="58"/>
  <c r="S238" i="58"/>
  <c r="R238" i="58"/>
  <c r="S237" i="58"/>
  <c r="R237" i="58"/>
  <c r="S236" i="58"/>
  <c r="R236" i="58"/>
  <c r="S235" i="58"/>
  <c r="R235" i="58"/>
  <c r="S234" i="58"/>
  <c r="R234" i="58"/>
  <c r="S233" i="58"/>
  <c r="R233" i="58"/>
  <c r="S232" i="58"/>
  <c r="R232" i="58"/>
  <c r="S231" i="58"/>
  <c r="R231" i="58"/>
  <c r="S230" i="58"/>
  <c r="R230" i="58"/>
  <c r="S229" i="58"/>
  <c r="R229" i="58"/>
  <c r="S228" i="58"/>
  <c r="R228" i="58"/>
  <c r="S227" i="58"/>
  <c r="R227" i="58"/>
  <c r="S226" i="58"/>
  <c r="R226" i="58"/>
  <c r="S225" i="58"/>
  <c r="R225" i="58"/>
  <c r="S224" i="58"/>
  <c r="R224" i="58"/>
  <c r="S223" i="58"/>
  <c r="R223" i="58"/>
  <c r="S222" i="58"/>
  <c r="R222" i="58"/>
  <c r="S221" i="58"/>
  <c r="R221" i="58"/>
  <c r="S220" i="58"/>
  <c r="R220" i="58"/>
  <c r="S219" i="58"/>
  <c r="R219" i="58"/>
  <c r="S218" i="58"/>
  <c r="R218" i="58"/>
  <c r="S217" i="58"/>
  <c r="R217" i="58"/>
  <c r="S216" i="58"/>
  <c r="R216" i="58"/>
  <c r="S215" i="58"/>
  <c r="R215" i="58"/>
  <c r="S214" i="58"/>
  <c r="R214" i="58"/>
  <c r="S213" i="58"/>
  <c r="R213" i="58"/>
  <c r="S212" i="58"/>
  <c r="R212" i="58"/>
  <c r="S211" i="58"/>
  <c r="R211" i="58"/>
  <c r="S210" i="58"/>
  <c r="R210" i="58"/>
  <c r="S209" i="58"/>
  <c r="R209" i="58"/>
  <c r="S208" i="58"/>
  <c r="R208" i="58"/>
  <c r="S207" i="58"/>
  <c r="R207" i="58"/>
  <c r="S206" i="58"/>
  <c r="R206" i="58"/>
  <c r="S205" i="58"/>
  <c r="R205" i="58"/>
  <c r="S204" i="58"/>
  <c r="R204" i="58"/>
  <c r="S203" i="58"/>
  <c r="R203" i="58"/>
  <c r="S202" i="58"/>
  <c r="R202" i="58"/>
  <c r="S201" i="58"/>
  <c r="R201" i="58"/>
  <c r="S200" i="58"/>
  <c r="R200" i="58"/>
  <c r="S199" i="58"/>
  <c r="R199" i="58"/>
  <c r="S198" i="58"/>
  <c r="R198" i="58"/>
  <c r="S197" i="58"/>
  <c r="R197" i="58"/>
  <c r="S196" i="58"/>
  <c r="R196" i="58"/>
  <c r="S195" i="58"/>
  <c r="R195" i="58"/>
  <c r="S194" i="58"/>
  <c r="R194" i="58"/>
  <c r="S193" i="58"/>
  <c r="R193" i="58"/>
  <c r="S192" i="58"/>
  <c r="R192" i="58"/>
  <c r="S191" i="58"/>
  <c r="R191" i="58"/>
  <c r="S190" i="58"/>
  <c r="R190" i="58"/>
  <c r="S189" i="58"/>
  <c r="R189" i="58"/>
  <c r="S188" i="58"/>
  <c r="R188" i="58"/>
  <c r="S187" i="58"/>
  <c r="R187" i="58"/>
  <c r="S186" i="58"/>
  <c r="R186" i="58"/>
  <c r="S185" i="58"/>
  <c r="R185" i="58"/>
  <c r="S184" i="58"/>
  <c r="R184" i="58"/>
  <c r="S183" i="58"/>
  <c r="R183" i="58"/>
  <c r="S182" i="58"/>
  <c r="R182" i="58"/>
  <c r="S181" i="58"/>
  <c r="R181" i="58"/>
  <c r="S180" i="58"/>
  <c r="R180" i="58"/>
  <c r="S179" i="58"/>
  <c r="R179" i="58"/>
  <c r="S178" i="58"/>
  <c r="R178" i="58"/>
  <c r="S177" i="58"/>
  <c r="R177" i="58"/>
  <c r="S176" i="58"/>
  <c r="R176" i="58"/>
  <c r="S175" i="58"/>
  <c r="R175" i="58"/>
  <c r="S174" i="58"/>
  <c r="R174" i="58"/>
  <c r="S173" i="58"/>
  <c r="R173" i="58"/>
  <c r="S172" i="58"/>
  <c r="R172" i="58"/>
  <c r="S171" i="58"/>
  <c r="R171" i="58"/>
  <c r="S170" i="58"/>
  <c r="R170" i="58"/>
  <c r="S169" i="58"/>
  <c r="R169" i="58"/>
  <c r="S168" i="58"/>
  <c r="R168" i="58"/>
  <c r="S167" i="58"/>
  <c r="R167" i="58"/>
  <c r="S166" i="58"/>
  <c r="R166" i="58"/>
  <c r="S165" i="58"/>
  <c r="R165" i="58"/>
  <c r="S164" i="58"/>
  <c r="R164" i="58"/>
  <c r="S163" i="58"/>
  <c r="R163" i="58"/>
  <c r="S162" i="58"/>
  <c r="R162" i="58"/>
  <c r="S161" i="58"/>
  <c r="R161" i="58"/>
  <c r="S160" i="58"/>
  <c r="R160" i="58"/>
  <c r="S159" i="58"/>
  <c r="R159" i="58"/>
  <c r="S158" i="58"/>
  <c r="R158" i="58"/>
  <c r="S157" i="58"/>
  <c r="R157" i="58"/>
  <c r="S156" i="58"/>
  <c r="R156" i="58"/>
  <c r="S155" i="58"/>
  <c r="R155" i="58"/>
  <c r="S154" i="58"/>
  <c r="R154" i="58"/>
  <c r="S153" i="58"/>
  <c r="R153" i="58"/>
  <c r="S152" i="58"/>
  <c r="R152" i="58"/>
  <c r="S151" i="58"/>
  <c r="R151" i="58"/>
  <c r="S150" i="58"/>
  <c r="R150" i="58"/>
  <c r="S149" i="58"/>
  <c r="R149" i="58"/>
  <c r="S148" i="58"/>
  <c r="R148" i="58"/>
  <c r="S147" i="58"/>
  <c r="R147" i="58"/>
  <c r="S146" i="58"/>
  <c r="R146" i="58"/>
  <c r="S145" i="58"/>
  <c r="R145" i="58"/>
  <c r="S144" i="58"/>
  <c r="R144" i="58"/>
  <c r="S143" i="58"/>
  <c r="R143" i="58"/>
  <c r="S142" i="58"/>
  <c r="R142" i="58"/>
  <c r="S141" i="58"/>
  <c r="R141" i="58"/>
  <c r="S140" i="58"/>
  <c r="R140" i="58"/>
  <c r="S139" i="58"/>
  <c r="R139" i="58"/>
  <c r="S138" i="58"/>
  <c r="R138" i="58"/>
  <c r="S137" i="58"/>
  <c r="R137" i="58"/>
  <c r="S136" i="58"/>
  <c r="R136" i="58"/>
  <c r="S135" i="58"/>
  <c r="R135" i="58"/>
  <c r="S134" i="58"/>
  <c r="R134" i="58"/>
  <c r="S133" i="58"/>
  <c r="R133" i="58"/>
  <c r="S132" i="58"/>
  <c r="R132" i="58"/>
  <c r="S131" i="58"/>
  <c r="R131" i="58"/>
  <c r="S130" i="58"/>
  <c r="R130" i="58"/>
  <c r="S129" i="58"/>
  <c r="R129" i="58"/>
  <c r="S128" i="58"/>
  <c r="R128" i="58"/>
  <c r="S127" i="58"/>
  <c r="R127" i="58"/>
  <c r="S126" i="58"/>
  <c r="R126" i="58"/>
  <c r="S125" i="58"/>
  <c r="R125" i="58"/>
  <c r="S124" i="58"/>
  <c r="R124" i="58"/>
  <c r="S123" i="58"/>
  <c r="R123" i="58"/>
  <c r="S122" i="58"/>
  <c r="R122" i="58"/>
  <c r="S121" i="58"/>
  <c r="R121" i="58"/>
  <c r="S120" i="58"/>
  <c r="R120" i="58"/>
  <c r="S119" i="58"/>
  <c r="R119" i="58"/>
  <c r="S118" i="58"/>
  <c r="R118" i="58"/>
  <c r="S117" i="58"/>
  <c r="R117" i="58"/>
  <c r="S116" i="58"/>
  <c r="R116" i="58"/>
  <c r="S115" i="58"/>
  <c r="R115" i="58"/>
  <c r="S114" i="58"/>
  <c r="R114" i="58"/>
  <c r="S113" i="58"/>
  <c r="R113" i="58"/>
  <c r="S112" i="58"/>
  <c r="R112" i="58"/>
  <c r="S111" i="58"/>
  <c r="R111" i="58"/>
  <c r="S110" i="58"/>
  <c r="R110" i="58"/>
  <c r="S109" i="58"/>
  <c r="R109" i="58"/>
  <c r="S108" i="58"/>
  <c r="R108" i="58"/>
  <c r="S107" i="58"/>
  <c r="R107" i="58"/>
  <c r="S106" i="58"/>
  <c r="R106" i="58"/>
  <c r="S105" i="58"/>
  <c r="R105" i="58"/>
  <c r="S104" i="58"/>
  <c r="R104" i="58"/>
  <c r="S103" i="58"/>
  <c r="R103" i="58"/>
  <c r="S102" i="58"/>
  <c r="R102" i="58"/>
  <c r="S101" i="58"/>
  <c r="R101" i="58"/>
  <c r="S100" i="58"/>
  <c r="R100" i="58"/>
  <c r="S99" i="58"/>
  <c r="R99" i="58"/>
  <c r="S98" i="58"/>
  <c r="R98" i="58"/>
  <c r="S97" i="58"/>
  <c r="R97" i="58"/>
  <c r="S96" i="58"/>
  <c r="R96" i="58"/>
  <c r="S95" i="58"/>
  <c r="R95" i="58"/>
  <c r="S94" i="58"/>
  <c r="R94" i="58"/>
  <c r="S93" i="58"/>
  <c r="R93" i="58"/>
  <c r="S92" i="58"/>
  <c r="R92" i="58"/>
  <c r="S91" i="58"/>
  <c r="R91" i="58"/>
  <c r="S90" i="58"/>
  <c r="R90" i="58"/>
  <c r="S89" i="58"/>
  <c r="R89" i="58"/>
  <c r="S88" i="58"/>
  <c r="R88" i="58"/>
  <c r="S87" i="58"/>
  <c r="R87" i="58"/>
  <c r="S86" i="58"/>
  <c r="R86" i="58"/>
  <c r="S85" i="58"/>
  <c r="R85" i="58"/>
  <c r="S84" i="58"/>
  <c r="R84" i="58"/>
  <c r="S83" i="58"/>
  <c r="R83" i="58"/>
  <c r="S82" i="58"/>
  <c r="R82" i="58"/>
  <c r="S81" i="58"/>
  <c r="R81" i="58"/>
  <c r="S80" i="58"/>
  <c r="R80" i="58"/>
  <c r="S79" i="58"/>
  <c r="R79" i="58"/>
  <c r="S78" i="58"/>
  <c r="R78" i="58"/>
  <c r="S77" i="58"/>
  <c r="R77" i="58"/>
  <c r="S76" i="58"/>
  <c r="R76" i="58"/>
  <c r="S75" i="58"/>
  <c r="R75" i="58"/>
  <c r="S74" i="58"/>
  <c r="R74" i="58"/>
  <c r="S73" i="58"/>
  <c r="R73" i="58"/>
  <c r="S72" i="58"/>
  <c r="R72" i="58"/>
  <c r="S71" i="58"/>
  <c r="R71" i="58"/>
  <c r="S70" i="58"/>
  <c r="R70" i="58"/>
  <c r="S69" i="58"/>
  <c r="R69" i="58"/>
  <c r="S68" i="58"/>
  <c r="R68" i="58"/>
  <c r="S67" i="58"/>
  <c r="R67" i="58"/>
  <c r="S66" i="58"/>
  <c r="R66" i="58"/>
  <c r="S65" i="58"/>
  <c r="R65" i="58"/>
  <c r="S64" i="58"/>
  <c r="R64" i="58"/>
  <c r="S63" i="58"/>
  <c r="R63" i="58"/>
  <c r="S62" i="58"/>
  <c r="R62" i="58"/>
  <c r="S61" i="58"/>
  <c r="R61" i="58"/>
  <c r="S60" i="58"/>
  <c r="R60" i="58"/>
  <c r="S59" i="58"/>
  <c r="R59" i="58"/>
  <c r="S58" i="58"/>
  <c r="R58" i="58"/>
  <c r="S57" i="58"/>
  <c r="R57" i="58"/>
  <c r="S56" i="58"/>
  <c r="R56" i="58"/>
  <c r="S55" i="58"/>
  <c r="R55" i="58"/>
  <c r="S54" i="58"/>
  <c r="R54" i="58"/>
  <c r="S53" i="58"/>
  <c r="R53" i="58"/>
  <c r="S52" i="58"/>
  <c r="R52" i="58"/>
  <c r="S51" i="58"/>
  <c r="R51" i="58"/>
  <c r="S50" i="58"/>
  <c r="R50" i="58"/>
  <c r="S49" i="58"/>
  <c r="R49" i="58"/>
  <c r="S48" i="58"/>
  <c r="R48" i="58"/>
  <c r="S47" i="58"/>
  <c r="R47" i="58"/>
  <c r="S46" i="58"/>
  <c r="R46" i="58"/>
  <c r="S45" i="58"/>
  <c r="R45" i="58"/>
  <c r="S44" i="58"/>
  <c r="R44" i="58"/>
  <c r="S43" i="58"/>
  <c r="R43" i="58"/>
  <c r="S42" i="58"/>
  <c r="R42" i="58"/>
  <c r="S41" i="58"/>
  <c r="R41" i="58"/>
  <c r="S40" i="58"/>
  <c r="R40" i="58"/>
  <c r="S39" i="58"/>
  <c r="R39" i="58"/>
  <c r="S38" i="58"/>
  <c r="R38" i="58"/>
  <c r="S37" i="58"/>
  <c r="R37" i="58"/>
  <c r="S36" i="58"/>
  <c r="R36" i="58"/>
  <c r="S35" i="58"/>
  <c r="R35" i="58"/>
  <c r="S34" i="58"/>
  <c r="R34" i="58"/>
  <c r="S33" i="58"/>
  <c r="R33" i="58"/>
  <c r="S32" i="58"/>
  <c r="R32" i="58"/>
  <c r="S31" i="58"/>
  <c r="R31" i="58"/>
  <c r="S30" i="58"/>
  <c r="R30" i="58"/>
  <c r="S29" i="58"/>
  <c r="R29" i="58"/>
  <c r="S28" i="58"/>
  <c r="R28" i="58"/>
  <c r="S27" i="58"/>
  <c r="R27" i="58"/>
  <c r="S26" i="58"/>
  <c r="R26" i="58"/>
  <c r="S25" i="58"/>
  <c r="R25" i="58"/>
  <c r="S24" i="58"/>
  <c r="R24" i="58"/>
  <c r="S23" i="58"/>
  <c r="R23" i="58"/>
  <c r="S22" i="58"/>
  <c r="R22" i="58"/>
  <c r="S21" i="58"/>
  <c r="R21" i="58"/>
  <c r="S20" i="58"/>
  <c r="R20" i="58"/>
  <c r="S19" i="58"/>
  <c r="R19" i="58"/>
  <c r="S18" i="58"/>
  <c r="R18" i="58"/>
  <c r="S17" i="58"/>
  <c r="R17" i="58"/>
  <c r="S16" i="58"/>
  <c r="R16" i="58"/>
  <c r="S15" i="58"/>
  <c r="R15" i="58"/>
  <c r="S14" i="58"/>
  <c r="R14" i="58"/>
  <c r="S13" i="58"/>
  <c r="R13" i="58"/>
  <c r="S12" i="58"/>
  <c r="R12" i="58"/>
  <c r="S11" i="58"/>
  <c r="R11" i="58"/>
  <c r="S10" i="58"/>
  <c r="R10" i="58"/>
  <c r="S9" i="58"/>
  <c r="R9" i="58"/>
  <c r="S8" i="58"/>
  <c r="R8" i="58"/>
  <c r="S7" i="58"/>
  <c r="R7" i="58"/>
  <c r="S6" i="58"/>
  <c r="R6" i="58"/>
  <c r="S5" i="58"/>
  <c r="R5" i="58"/>
  <c r="S4" i="58"/>
  <c r="R4" i="58"/>
  <c r="S3" i="58"/>
  <c r="R3" i="58"/>
  <c r="R2" i="58"/>
  <c r="S3" i="52"/>
  <c r="S4" i="52"/>
  <c r="S5" i="52"/>
  <c r="S6" i="52"/>
  <c r="S7" i="52"/>
  <c r="S8" i="52"/>
  <c r="S9" i="52"/>
  <c r="S10" i="52"/>
  <c r="S11" i="52"/>
  <c r="S12" i="52"/>
  <c r="S13" i="52"/>
  <c r="S14" i="52"/>
  <c r="S15" i="52"/>
  <c r="S16" i="52"/>
  <c r="S17" i="52"/>
  <c r="S18" i="52"/>
  <c r="S19" i="52"/>
  <c r="S20" i="52"/>
  <c r="S21" i="52"/>
  <c r="S22" i="52"/>
  <c r="S23" i="52"/>
  <c r="S24" i="52"/>
  <c r="S25" i="52"/>
  <c r="S26" i="52"/>
  <c r="S27" i="52"/>
  <c r="S28" i="52"/>
  <c r="S29" i="52"/>
  <c r="S30" i="52"/>
  <c r="S31" i="52"/>
  <c r="S32" i="52"/>
  <c r="S33" i="52"/>
  <c r="S34" i="52"/>
  <c r="S35" i="52"/>
  <c r="S36" i="52"/>
  <c r="S37" i="52"/>
  <c r="S38" i="52"/>
  <c r="S39" i="52"/>
  <c r="S40" i="52"/>
  <c r="S41" i="52"/>
  <c r="S42" i="52"/>
  <c r="S43" i="52"/>
  <c r="S44" i="52"/>
  <c r="S45" i="52"/>
  <c r="S46" i="52"/>
  <c r="S47" i="52"/>
  <c r="S48" i="52"/>
  <c r="S49" i="52"/>
  <c r="S50" i="52"/>
  <c r="S51" i="52"/>
  <c r="S52" i="52"/>
  <c r="S53" i="52"/>
  <c r="S54" i="52"/>
  <c r="S55" i="52"/>
  <c r="S56" i="52"/>
  <c r="S57" i="52"/>
  <c r="S58" i="52"/>
  <c r="S59" i="52"/>
  <c r="S60" i="52"/>
  <c r="S61" i="52"/>
  <c r="S62" i="52"/>
  <c r="S63" i="52"/>
  <c r="S64" i="52"/>
  <c r="S65" i="52"/>
  <c r="S66" i="52"/>
  <c r="S67" i="52"/>
  <c r="S68" i="52"/>
  <c r="S69" i="52"/>
  <c r="S70" i="52"/>
  <c r="S71" i="52"/>
  <c r="S72" i="52"/>
  <c r="S73" i="52"/>
  <c r="S74" i="52"/>
  <c r="S75" i="52"/>
  <c r="S76" i="52"/>
  <c r="S77" i="52"/>
  <c r="S78" i="52"/>
  <c r="S79" i="52"/>
  <c r="S80" i="52"/>
  <c r="S81" i="52"/>
  <c r="S82" i="52"/>
  <c r="S83" i="52"/>
  <c r="S84" i="52"/>
  <c r="S85" i="52"/>
  <c r="S86" i="52"/>
  <c r="S87" i="52"/>
  <c r="S88" i="52"/>
  <c r="S89" i="52"/>
  <c r="S90" i="52"/>
  <c r="S91" i="52"/>
  <c r="S92" i="52"/>
  <c r="S93" i="52"/>
  <c r="S94" i="52"/>
  <c r="S95" i="52"/>
  <c r="S96" i="52"/>
  <c r="S97" i="52"/>
  <c r="S98" i="52"/>
  <c r="S99" i="52"/>
  <c r="S100" i="52"/>
  <c r="S101" i="52"/>
  <c r="S102" i="52"/>
  <c r="S103" i="52"/>
  <c r="S104" i="52"/>
  <c r="S105" i="52"/>
  <c r="S106" i="52"/>
  <c r="S107" i="52"/>
  <c r="S108" i="52"/>
  <c r="S109" i="52"/>
  <c r="S110" i="52"/>
  <c r="S111" i="52"/>
  <c r="S112" i="52"/>
  <c r="S113" i="52"/>
  <c r="S114" i="52"/>
  <c r="S115" i="52"/>
  <c r="S116" i="52"/>
  <c r="S117" i="52"/>
  <c r="S118" i="52"/>
  <c r="S119" i="52"/>
  <c r="S120" i="52"/>
  <c r="S121" i="52"/>
  <c r="S122" i="52"/>
  <c r="S123" i="52"/>
  <c r="S124" i="52"/>
  <c r="S125" i="52"/>
  <c r="S126" i="52"/>
  <c r="S127" i="52"/>
  <c r="S128" i="52"/>
  <c r="S129" i="52"/>
  <c r="S130" i="52"/>
  <c r="S131" i="52"/>
  <c r="S132" i="52"/>
  <c r="S133" i="52"/>
  <c r="S134" i="52"/>
  <c r="S135" i="52"/>
  <c r="S136" i="52"/>
  <c r="S137" i="52"/>
  <c r="S138" i="52"/>
  <c r="S139" i="52"/>
  <c r="S140" i="52"/>
  <c r="S141" i="52"/>
  <c r="S142" i="52"/>
  <c r="S143" i="52"/>
  <c r="S144" i="52"/>
  <c r="S145" i="52"/>
  <c r="S146" i="52"/>
  <c r="S147" i="52"/>
  <c r="S148" i="52"/>
  <c r="S149" i="52"/>
  <c r="S150" i="52"/>
  <c r="S151" i="52"/>
  <c r="S152" i="52"/>
  <c r="S153" i="52"/>
  <c r="S154" i="52"/>
  <c r="S155" i="52"/>
  <c r="S156" i="52"/>
  <c r="S157" i="52"/>
  <c r="S158" i="52"/>
  <c r="S159" i="52"/>
  <c r="S160" i="52"/>
  <c r="S161" i="52"/>
  <c r="S162" i="52"/>
  <c r="S163" i="52"/>
  <c r="S164" i="52"/>
  <c r="S165" i="52"/>
  <c r="S166" i="52"/>
  <c r="S167" i="52"/>
  <c r="S168" i="52"/>
  <c r="S169" i="52"/>
  <c r="S170" i="52"/>
  <c r="S171" i="52"/>
  <c r="S172" i="52"/>
  <c r="S173" i="52"/>
  <c r="S174" i="52"/>
  <c r="S175" i="52"/>
  <c r="S176" i="52"/>
  <c r="S177" i="52"/>
  <c r="S178" i="52"/>
  <c r="S179" i="52"/>
  <c r="S180" i="52"/>
  <c r="S181" i="52"/>
  <c r="S182" i="52"/>
  <c r="S183" i="52"/>
  <c r="S184" i="52"/>
  <c r="S185" i="52"/>
  <c r="S186" i="52"/>
  <c r="S187" i="52"/>
  <c r="S188" i="52"/>
  <c r="S189" i="52"/>
  <c r="S190" i="52"/>
  <c r="S191" i="52"/>
  <c r="S192" i="52"/>
  <c r="S193" i="52"/>
  <c r="S194" i="52"/>
  <c r="S195" i="52"/>
  <c r="S196" i="52"/>
  <c r="S197" i="52"/>
  <c r="S198" i="52"/>
  <c r="S199" i="52"/>
  <c r="S200" i="52"/>
  <c r="S201" i="52"/>
  <c r="S202" i="52"/>
  <c r="S203" i="52"/>
  <c r="S204" i="52"/>
  <c r="S205" i="52"/>
  <c r="S206" i="52"/>
  <c r="S207" i="52"/>
  <c r="S208" i="52"/>
  <c r="S209" i="52"/>
  <c r="S210" i="52"/>
  <c r="S211" i="52"/>
  <c r="S212" i="52"/>
  <c r="S213" i="52"/>
  <c r="S214" i="52"/>
  <c r="S215" i="52"/>
  <c r="S216" i="52"/>
  <c r="S217" i="52"/>
  <c r="S218" i="52"/>
  <c r="S219" i="52"/>
  <c r="S220" i="52"/>
  <c r="S221" i="52"/>
  <c r="S222" i="52"/>
  <c r="S223" i="52"/>
  <c r="S224" i="52"/>
  <c r="S225" i="52"/>
  <c r="S226" i="52"/>
  <c r="S227" i="52"/>
  <c r="S228" i="52"/>
  <c r="S229" i="52"/>
  <c r="S230" i="52"/>
  <c r="S231" i="52"/>
  <c r="S232" i="52"/>
  <c r="S233" i="52"/>
  <c r="S234" i="52"/>
  <c r="S235" i="52"/>
  <c r="S236" i="52"/>
  <c r="S237" i="52"/>
  <c r="S238" i="52"/>
  <c r="S239" i="52"/>
  <c r="S240" i="52"/>
  <c r="S241" i="52"/>
  <c r="S242" i="52"/>
  <c r="S243" i="52"/>
  <c r="S244" i="52"/>
  <c r="S245" i="52"/>
  <c r="S246" i="52"/>
  <c r="S247" i="52"/>
  <c r="S248" i="52"/>
  <c r="S249" i="52"/>
  <c r="S250" i="52"/>
  <c r="S251" i="52"/>
  <c r="S252" i="52"/>
  <c r="S253" i="52"/>
  <c r="S254" i="52"/>
  <c r="S255" i="52"/>
  <c r="S256" i="52"/>
  <c r="S257" i="52"/>
  <c r="S258" i="52"/>
  <c r="S259" i="52"/>
  <c r="S260" i="52"/>
  <c r="S261" i="52"/>
  <c r="S262" i="52"/>
  <c r="S263" i="52"/>
  <c r="S264" i="52"/>
  <c r="S265" i="52"/>
  <c r="S266" i="52"/>
  <c r="S267" i="52"/>
  <c r="S268" i="52"/>
  <c r="S269" i="52"/>
  <c r="S270" i="52"/>
  <c r="S271" i="52"/>
  <c r="S272" i="52"/>
  <c r="S273" i="52"/>
  <c r="S274" i="52"/>
  <c r="S275" i="52"/>
  <c r="S276" i="52"/>
  <c r="S277" i="52"/>
  <c r="S278" i="52"/>
  <c r="S279" i="52"/>
  <c r="S280" i="52"/>
  <c r="S281" i="52"/>
  <c r="S282" i="52"/>
  <c r="S283" i="52"/>
  <c r="S284" i="52"/>
  <c r="S285" i="52"/>
  <c r="S286" i="52"/>
  <c r="S287" i="52"/>
  <c r="S288" i="52"/>
  <c r="S289" i="52"/>
  <c r="S290" i="52"/>
  <c r="S291" i="52"/>
  <c r="S292" i="52"/>
  <c r="S293" i="52"/>
  <c r="S294" i="52"/>
  <c r="S295" i="52"/>
  <c r="S296" i="52"/>
  <c r="S297" i="52"/>
  <c r="S298" i="52"/>
  <c r="S299" i="52"/>
  <c r="S300" i="52"/>
  <c r="S301" i="52"/>
  <c r="S302" i="52"/>
  <c r="R3" i="52"/>
  <c r="R4" i="52"/>
  <c r="R5" i="52"/>
  <c r="R6" i="52"/>
  <c r="R7" i="52"/>
  <c r="R8" i="52"/>
  <c r="R9" i="52"/>
  <c r="R10" i="52"/>
  <c r="R11" i="52"/>
  <c r="R12" i="52"/>
  <c r="R13" i="52"/>
  <c r="R14" i="52"/>
  <c r="R15" i="52"/>
  <c r="R16" i="52"/>
  <c r="R17" i="52"/>
  <c r="R18" i="52"/>
  <c r="R19" i="52"/>
  <c r="R20" i="52"/>
  <c r="R21" i="52"/>
  <c r="R22" i="52"/>
  <c r="R23" i="52"/>
  <c r="R24" i="52"/>
  <c r="R25" i="52"/>
  <c r="R26" i="52"/>
  <c r="R27" i="52"/>
  <c r="R28" i="52"/>
  <c r="R29" i="52"/>
  <c r="R30" i="52"/>
  <c r="R31" i="52"/>
  <c r="R32" i="52"/>
  <c r="R33" i="52"/>
  <c r="R34" i="52"/>
  <c r="R35" i="52"/>
  <c r="R36" i="52"/>
  <c r="R37" i="52"/>
  <c r="R38" i="52"/>
  <c r="R39" i="52"/>
  <c r="R40" i="52"/>
  <c r="R41" i="52"/>
  <c r="R42" i="52"/>
  <c r="R43" i="52"/>
  <c r="R44" i="52"/>
  <c r="R45" i="52"/>
  <c r="R46" i="52"/>
  <c r="R47" i="52"/>
  <c r="R48" i="52"/>
  <c r="R49" i="52"/>
  <c r="R50" i="52"/>
  <c r="R51" i="52"/>
  <c r="R52" i="52"/>
  <c r="R53" i="52"/>
  <c r="R54" i="52"/>
  <c r="R55" i="52"/>
  <c r="R56" i="52"/>
  <c r="R57" i="52"/>
  <c r="R58" i="52"/>
  <c r="R59" i="52"/>
  <c r="R60" i="52"/>
  <c r="R61" i="52"/>
  <c r="R62" i="52"/>
  <c r="R63" i="52"/>
  <c r="R64" i="52"/>
  <c r="R65" i="52"/>
  <c r="R66" i="52"/>
  <c r="R67" i="52"/>
  <c r="R68" i="52"/>
  <c r="R69" i="52"/>
  <c r="R70" i="52"/>
  <c r="R71" i="52"/>
  <c r="R72" i="52"/>
  <c r="R73" i="52"/>
  <c r="R74" i="52"/>
  <c r="R75" i="52"/>
  <c r="R76" i="52"/>
  <c r="R77" i="52"/>
  <c r="R78" i="52"/>
  <c r="R79" i="52"/>
  <c r="R80" i="52"/>
  <c r="R81" i="52"/>
  <c r="R82" i="52"/>
  <c r="R83" i="52"/>
  <c r="R84" i="52"/>
  <c r="R85" i="52"/>
  <c r="R86" i="52"/>
  <c r="R87" i="52"/>
  <c r="R88" i="52"/>
  <c r="R89" i="52"/>
  <c r="R90" i="52"/>
  <c r="R91" i="52"/>
  <c r="R92" i="52"/>
  <c r="R93" i="52"/>
  <c r="R94" i="52"/>
  <c r="R95" i="52"/>
  <c r="R96" i="52"/>
  <c r="R97" i="52"/>
  <c r="R98" i="52"/>
  <c r="R99" i="52"/>
  <c r="R100" i="52"/>
  <c r="R101" i="52"/>
  <c r="R102" i="52"/>
  <c r="R103" i="52"/>
  <c r="R104" i="52"/>
  <c r="R105" i="52"/>
  <c r="R106" i="52"/>
  <c r="R107" i="52"/>
  <c r="R108" i="52"/>
  <c r="R109" i="52"/>
  <c r="R110" i="52"/>
  <c r="R111" i="52"/>
  <c r="R112" i="52"/>
  <c r="R113" i="52"/>
  <c r="R114" i="52"/>
  <c r="R115" i="52"/>
  <c r="R116" i="52"/>
  <c r="R117" i="52"/>
  <c r="R118" i="52"/>
  <c r="R119" i="52"/>
  <c r="R120" i="52"/>
  <c r="R121" i="52"/>
  <c r="R122" i="52"/>
  <c r="R123" i="52"/>
  <c r="R124" i="52"/>
  <c r="R125" i="52"/>
  <c r="R126" i="52"/>
  <c r="R127" i="52"/>
  <c r="R128" i="52"/>
  <c r="R129" i="52"/>
  <c r="R130" i="52"/>
  <c r="R131" i="52"/>
  <c r="R132" i="52"/>
  <c r="R133" i="52"/>
  <c r="R134" i="52"/>
  <c r="R135" i="52"/>
  <c r="R136" i="52"/>
  <c r="R137" i="52"/>
  <c r="R138" i="52"/>
  <c r="R139" i="52"/>
  <c r="R140" i="52"/>
  <c r="R141" i="52"/>
  <c r="R142" i="52"/>
  <c r="R143" i="52"/>
  <c r="R144" i="52"/>
  <c r="R145" i="52"/>
  <c r="R146" i="52"/>
  <c r="R147" i="52"/>
  <c r="R148" i="52"/>
  <c r="R149" i="52"/>
  <c r="R150" i="52"/>
  <c r="R151" i="52"/>
  <c r="R152" i="52"/>
  <c r="R153" i="52"/>
  <c r="R154" i="52"/>
  <c r="R155" i="52"/>
  <c r="R156" i="52"/>
  <c r="R157" i="52"/>
  <c r="R158" i="52"/>
  <c r="R159" i="52"/>
  <c r="R160" i="52"/>
  <c r="R161" i="52"/>
  <c r="R162" i="52"/>
  <c r="R163" i="52"/>
  <c r="R164" i="52"/>
  <c r="R165" i="52"/>
  <c r="R166" i="52"/>
  <c r="R167" i="52"/>
  <c r="R168" i="52"/>
  <c r="R169" i="52"/>
  <c r="R170" i="52"/>
  <c r="R171" i="52"/>
  <c r="R172" i="52"/>
  <c r="R173" i="52"/>
  <c r="R174" i="52"/>
  <c r="R175" i="52"/>
  <c r="R176" i="52"/>
  <c r="R177" i="52"/>
  <c r="R178" i="52"/>
  <c r="R179" i="52"/>
  <c r="R180" i="52"/>
  <c r="R181" i="52"/>
  <c r="R182" i="52"/>
  <c r="R183" i="52"/>
  <c r="R184" i="52"/>
  <c r="R185" i="52"/>
  <c r="R186" i="52"/>
  <c r="R187" i="52"/>
  <c r="R188" i="52"/>
  <c r="R189" i="52"/>
  <c r="R190" i="52"/>
  <c r="R191" i="52"/>
  <c r="R192" i="52"/>
  <c r="R193" i="52"/>
  <c r="R194" i="52"/>
  <c r="R195" i="52"/>
  <c r="R196" i="52"/>
  <c r="R197" i="52"/>
  <c r="R198" i="52"/>
  <c r="R199" i="52"/>
  <c r="R200" i="52"/>
  <c r="R201" i="52"/>
  <c r="R202" i="52"/>
  <c r="R203" i="52"/>
  <c r="R204" i="52"/>
  <c r="R205" i="52"/>
  <c r="R206" i="52"/>
  <c r="R207" i="52"/>
  <c r="R208" i="52"/>
  <c r="R209" i="52"/>
  <c r="R210" i="52"/>
  <c r="R211" i="52"/>
  <c r="R212" i="52"/>
  <c r="R213" i="52"/>
  <c r="R214" i="52"/>
  <c r="R215" i="52"/>
  <c r="R216" i="52"/>
  <c r="R217" i="52"/>
  <c r="R218" i="52"/>
  <c r="R219" i="52"/>
  <c r="R220" i="52"/>
  <c r="R221" i="52"/>
  <c r="R222" i="52"/>
  <c r="R223" i="52"/>
  <c r="R224" i="52"/>
  <c r="R225" i="52"/>
  <c r="R226" i="52"/>
  <c r="R227" i="52"/>
  <c r="R228" i="52"/>
  <c r="R229" i="52"/>
  <c r="R230" i="52"/>
  <c r="R231" i="52"/>
  <c r="R232" i="52"/>
  <c r="R233" i="52"/>
  <c r="R234" i="52"/>
  <c r="R235" i="52"/>
  <c r="R236" i="52"/>
  <c r="R237" i="52"/>
  <c r="R238" i="52"/>
  <c r="R239" i="52"/>
  <c r="R240" i="52"/>
  <c r="R241" i="52"/>
  <c r="R242" i="52"/>
  <c r="R243" i="52"/>
  <c r="R244" i="52"/>
  <c r="R245" i="52"/>
  <c r="R246" i="52"/>
  <c r="R247" i="52"/>
  <c r="R248" i="52"/>
  <c r="R249" i="52"/>
  <c r="R250" i="52"/>
  <c r="R251" i="52"/>
  <c r="R252" i="52"/>
  <c r="R253" i="52"/>
  <c r="R254" i="52"/>
  <c r="R255" i="52"/>
  <c r="R256" i="52"/>
  <c r="R257" i="52"/>
  <c r="R258" i="52"/>
  <c r="R259" i="52"/>
  <c r="R260" i="52"/>
  <c r="R261" i="52"/>
  <c r="R262" i="52"/>
  <c r="R263" i="52"/>
  <c r="R264" i="52"/>
  <c r="R265" i="52"/>
  <c r="R266" i="52"/>
  <c r="R267" i="52"/>
  <c r="R268" i="52"/>
  <c r="R269" i="52"/>
  <c r="R270" i="52"/>
  <c r="R271" i="52"/>
  <c r="R272" i="52"/>
  <c r="R273" i="52"/>
  <c r="R274" i="52"/>
  <c r="R275" i="52"/>
  <c r="R276" i="52"/>
  <c r="R277" i="52"/>
  <c r="R278" i="52"/>
  <c r="R279" i="52"/>
  <c r="R280" i="52"/>
  <c r="R281" i="52"/>
  <c r="R282" i="52"/>
  <c r="R283" i="52"/>
  <c r="R284" i="52"/>
  <c r="R285" i="52"/>
  <c r="R286" i="52"/>
  <c r="R287" i="52"/>
  <c r="R288" i="52"/>
  <c r="R289" i="52"/>
  <c r="R290" i="52"/>
  <c r="R291" i="52"/>
  <c r="R292" i="52"/>
  <c r="R293" i="52"/>
  <c r="R294" i="52"/>
  <c r="R295" i="52"/>
  <c r="R296" i="52"/>
  <c r="R297" i="52"/>
  <c r="R298" i="52"/>
  <c r="R299" i="52"/>
  <c r="R300" i="52"/>
  <c r="R301" i="52"/>
  <c r="R302" i="52"/>
  <c r="R2" i="52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" i="7"/>
  <c r="N4" i="7"/>
  <c r="N5" i="7"/>
  <c r="N6" i="7"/>
  <c r="N7" i="7"/>
  <c r="N8" i="7"/>
  <c r="N9" i="7"/>
  <c r="N2" i="7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0F75BD-AA23-4741-8A06-DDD0E374DB1E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  <connection id="2" xr16:uid="{9DF2D796-0242-407E-BD09-1E6C441B24E2}" keepAlive="1" name="Query - Posts (2)" description="Connection to the 'Posts (2)' query in the workbook." type="5" refreshedVersion="7" background="1" saveData="1">
    <dbPr connection="Provider=Microsoft.Mashup.OleDb.1;Data Source=$Workbook$;Location=&quot;Posts (2)&quot;;Extended Properties=&quot;&quot;" command="SELECT * FROM [Posts (2)]"/>
  </connection>
  <connection id="3" xr16:uid="{B7C661FB-1F3B-4EB9-9867-0DA29BA34519}" keepAlive="1" name="Query - Sheet5" description="Connection to the 'Sheet5' query in the workbook." type="5" refreshedVersion="7" background="1" saveData="1">
    <dbPr connection="Provider=Microsoft.Mashup.OleDb.1;Data Source=$Workbook$;Location=Sheet5;Extended Properties=&quot;&quot;" command="SELECT * FROM [Sheet5]"/>
  </connection>
  <connection id="4" xr16:uid="{3362649A-4EC3-497E-8A9B-52728CC788CD}" keepAlive="1" name="Query - Sheet9" description="Connection to the 'Sheet9' query in the workbook." type="5" refreshedVersion="7" background="1" saveData="1">
    <dbPr connection="Provider=Microsoft.Mashup.OleDb.1;Data Source=$Workbook$;Location=Sheet9;Extended Properties=&quot;&quot;" command="SELECT * FROM [Sheet9]"/>
  </connection>
</connections>
</file>

<file path=xl/sharedStrings.xml><?xml version="1.0" encoding="utf-8"?>
<sst xmlns="http://schemas.openxmlformats.org/spreadsheetml/2006/main" count="16538" uniqueCount="655">
  <si>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</si>
  <si>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</si>
  <si>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</si>
  <si>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</si>
  <si>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</si>
  <si>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</si>
  <si>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</si>
  <si>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</si>
  <si>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</si>
  <si>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</si>
  <si>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</si>
  <si>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</si>
  <si>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</si>
  <si>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</si>
  <si>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</si>
  <si>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</si>
  <si>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</si>
  <si>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</si>
  <si>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</si>
  <si>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</si>
  <si>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</si>
  <si>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</si>
  <si>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</si>
  <si>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</si>
  <si>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</si>
  <si>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</si>
  <si>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</si>
  <si>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</si>
  <si>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</si>
  <si>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</si>
  <si>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</si>
  <si>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</si>
  <si>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</si>
  <si>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</si>
  <si>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</si>
  <si>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</si>
  <si>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</si>
  <si>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</si>
  <si>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</si>
  <si>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</si>
  <si>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</si>
  <si>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</si>
  <si>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</si>
  <si>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</si>
  <si>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</si>
  <si>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</si>
  <si>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</si>
  <si>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</si>
  <si>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</si>
  <si>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</si>
  <si>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</si>
  <si>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</si>
  <si>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</si>
  <si>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</si>
  <si>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</si>
  <si>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</si>
  <si>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</si>
  <si>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</si>
  <si>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</si>
  <si>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</si>
  <si>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</si>
  <si>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</si>
  <si>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</si>
  <si>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</si>
  <si>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</si>
  <si>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</si>
  <si>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</si>
  <si>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</si>
  <si>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</si>
  <si>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</si>
  <si>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</si>
  <si>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</si>
  <si>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</si>
  <si>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</si>
  <si>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</si>
  <si>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</si>
  <si>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</si>
  <si>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</si>
  <si>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</si>
  <si>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</si>
  <si>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</si>
  <si>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</si>
  <si>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</si>
  <si>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</si>
  <si>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</si>
  <si>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</si>
  <si>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</si>
  <si>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</si>
  <si>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</si>
  <si>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</si>
  <si>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</si>
  <si>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</si>
  <si>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</si>
  <si>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</si>
  <si>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</si>
  <si>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</si>
  <si>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</si>
  <si>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</si>
  <si>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</si>
  <si>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</si>
  <si>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</si>
  <si>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</si>
  <si>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</si>
  <si>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</si>
  <si>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</si>
  <si>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</si>
  <si>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</si>
  <si>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</si>
  <si>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</si>
  <si>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</si>
  <si>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</si>
  <si>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</si>
  <si>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</si>
  <si>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</si>
  <si>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</si>
  <si>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</si>
  <si>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</si>
  <si>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</si>
  <si>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</si>
  <si>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</si>
  <si>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</si>
  <si>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</si>
  <si>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</si>
  <si>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</si>
  <si>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</si>
  <si>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</si>
  <si>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</si>
  <si>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</si>
  <si>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</si>
  <si>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</si>
  <si>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</si>
  <si>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</si>
  <si>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</si>
  <si>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</si>
  <si>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</si>
  <si>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</si>
  <si>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</si>
  <si>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</si>
  <si>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</si>
  <si>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</si>
  <si>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</si>
  <si>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</si>
  <si>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</si>
  <si>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</si>
  <si>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</si>
  <si>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</si>
  <si>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</si>
  <si>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</si>
  <si>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</si>
  <si>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</si>
  <si>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</si>
  <si>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</si>
  <si>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</si>
  <si>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</si>
  <si>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</si>
  <si>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</si>
  <si>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</si>
  <si>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</si>
  <si>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</si>
  <si>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</si>
  <si>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</si>
  <si>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</si>
  <si>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</si>
  <si>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</si>
  <si>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</si>
  <si>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</si>
  <si>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</si>
  <si>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</si>
  <si>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</si>
  <si>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</si>
  <si>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</si>
  <si>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</si>
  <si>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</si>
  <si>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</si>
  <si>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</si>
  <si>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</si>
  <si>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</si>
  <si>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</si>
  <si>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</si>
  <si>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</si>
  <si>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</si>
  <si>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</si>
  <si>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</si>
  <si>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</si>
  <si>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</si>
  <si>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</si>
  <si>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</si>
  <si>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</si>
  <si>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</si>
  <si>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</si>
  <si>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</si>
  <si>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</si>
  <si>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</si>
  <si>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</si>
  <si>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</si>
  <si>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</si>
  <si>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</si>
  <si>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</si>
  <si>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</si>
  <si>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</si>
  <si>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</si>
  <si>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</si>
  <si>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</si>
  <si>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</si>
  <si>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</si>
  <si>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</si>
  <si>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</si>
  <si>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</si>
  <si>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</si>
  <si>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</si>
  <si>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</si>
  <si>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</si>
  <si>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</si>
  <si>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</si>
  <si>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</si>
  <si>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</si>
  <si>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</si>
  <si>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</si>
  <si>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</si>
  <si>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</si>
  <si>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</si>
  <si>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</si>
  <si>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</si>
  <si>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</si>
  <si>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</si>
  <si>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</si>
  <si>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</si>
  <si>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</si>
  <si>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</si>
  <si>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</si>
  <si>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</si>
  <si>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</si>
  <si>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</si>
  <si>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</si>
  <si>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</si>
  <si>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</si>
  <si>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</si>
  <si>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</si>
  <si>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</si>
  <si>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</si>
  <si>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</si>
  <si>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</si>
  <si>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</si>
  <si>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</si>
  <si>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</si>
  <si>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</si>
  <si>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</si>
  <si>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</si>
  <si>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</si>
  <si>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</si>
  <si>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</si>
  <si>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</si>
  <si>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</si>
  <si>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</si>
  <si>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</si>
  <si>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</si>
  <si>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</si>
  <si>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</si>
  <si>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</si>
  <si>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</si>
  <si>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</si>
  <si>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</si>
  <si>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</si>
  <si>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</si>
  <si>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</si>
  <si>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</si>
  <si>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</si>
  <si>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</si>
  <si>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</si>
  <si>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</si>
  <si>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</si>
  <si>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</si>
  <si>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</si>
  <si>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</si>
  <si>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</si>
  <si>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</si>
  <si>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</si>
  <si>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</si>
  <si>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</si>
  <si>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</si>
  <si>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</si>
  <si>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</si>
  <si>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</si>
  <si>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</si>
  <si>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</si>
  <si>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</si>
  <si>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</si>
  <si>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</si>
  <si>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</si>
  <si>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</si>
  <si>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</si>
  <si>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</si>
  <si>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</si>
  <si>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</si>
  <si>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</si>
  <si>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</si>
  <si>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</si>
  <si>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</si>
  <si>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</si>
  <si>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</si>
  <si>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</si>
  <si>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</si>
  <si>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</si>
  <si>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</si>
  <si>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</si>
  <si>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</si>
  <si>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</si>
  <si>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</si>
  <si>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</si>
  <si>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</si>
  <si>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</si>
  <si>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</si>
  <si>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</si>
  <si>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</si>
  <si>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</si>
  <si>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</si>
  <si>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</si>
  <si>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</si>
  <si>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</si>
  <si>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</si>
  <si>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</si>
  <si>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</si>
  <si>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</si>
  <si>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</si>
  <si>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</si>
  <si>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</si>
  <si>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</si>
  <si>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</si>
  <si>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</si>
  <si>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</si>
  <si>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</si>
  <si>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</si>
  <si>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</si>
  <si>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</si>
  <si>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</si>
  <si>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</si>
  <si>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</si>
  <si>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</si>
  <si>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</si>
  <si>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</si>
  <si>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</si>
  <si>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</si>
  <si>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</si>
  <si>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</si>
  <si>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</si>
  <si>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</si>
  <si>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</si>
  <si>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</si>
  <si>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</si>
  <si>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</si>
  <si>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</si>
  <si>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</si>
  <si>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</si>
  <si>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</si>
  <si>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</si>
  <si>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</si>
  <si>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</si>
  <si>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</si>
  <si>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</si>
  <si>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</si>
  <si>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</si>
  <si>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</si>
  <si>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</si>
  <si>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</si>
  <si>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</si>
  <si>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</si>
  <si>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</si>
  <si>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</si>
  <si>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</si>
  <si>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</si>
  <si>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</si>
  <si>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</si>
  <si>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</si>
  <si>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</si>
  <si>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</si>
  <si>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</si>
  <si>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</si>
  <si>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</si>
  <si>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</si>
  <si>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</si>
  <si>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</si>
  <si>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</si>
  <si>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</si>
  <si>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</si>
  <si>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</si>
  <si>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</si>
  <si>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</si>
  <si>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</si>
  <si>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</si>
  <si>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</si>
  <si>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</si>
  <si>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</si>
  <si>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</si>
  <si>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</si>
  <si>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</si>
  <si>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</si>
  <si>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</si>
  <si>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</si>
  <si>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</si>
  <si>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</si>
  <si>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</si>
  <si>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</si>
  <si>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</si>
  <si>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</si>
  <si>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</si>
  <si>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</si>
  <si>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</si>
  <si>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</si>
  <si>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</si>
  <si>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</si>
  <si>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</si>
  <si>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</si>
  <si>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</si>
  <si>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</si>
  <si>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</si>
  <si>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</si>
  <si>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</si>
  <si>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</si>
  <si>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</si>
  <si>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</si>
  <si>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</si>
  <si>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</si>
  <si>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</si>
  <si>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</si>
  <si>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</si>
  <si>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</si>
  <si>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</si>
  <si>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</si>
  <si>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</si>
  <si>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</si>
  <si>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</si>
  <si>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</si>
  <si>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</si>
  <si>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</si>
  <si>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</si>
  <si>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</si>
  <si>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</si>
  <si>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</si>
  <si>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</si>
  <si>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</si>
  <si>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</si>
  <si>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</si>
  <si>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</si>
  <si>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</si>
  <si>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</si>
  <si>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</si>
  <si>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</si>
  <si>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</si>
  <si>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</si>
  <si>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</si>
  <si>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</si>
  <si>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</si>
  <si>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</si>
  <si>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</si>
  <si>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</si>
  <si>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</si>
  <si>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</si>
  <si>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</si>
  <si>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</si>
  <si>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</si>
  <si>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</si>
  <si>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</si>
  <si>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</si>
  <si>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</si>
  <si>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</si>
  <si>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</si>
  <si>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</si>
  <si>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</si>
  <si>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</si>
  <si>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</si>
  <si>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</si>
  <si>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</si>
  <si>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</si>
  <si>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</si>
  <si>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</si>
  <si>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</si>
  <si>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</si>
  <si>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</si>
  <si>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</si>
  <si>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</si>
  <si>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</si>
  <si>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</si>
  <si>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</si>
  <si>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</si>
  <si>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</si>
  <si>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</si>
  <si>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</si>
  <si>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</si>
  <si>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</si>
  <si>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</si>
  <si>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</si>
  <si>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</si>
  <si>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</si>
  <si>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</si>
  <si>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</si>
  <si>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</si>
  <si>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</si>
  <si>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</si>
  <si>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</si>
  <si>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</si>
  <si>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</si>
  <si>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</si>
  <si>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</si>
  <si>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</si>
  <si>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</si>
  <si>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</si>
  <si>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</si>
  <si>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</si>
  <si>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</si>
  <si>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</si>
  <si>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</si>
  <si>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</si>
  <si>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</si>
  <si>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</si>
  <si>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</si>
  <si>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</si>
  <si>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</si>
  <si>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</si>
  <si>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</si>
  <si>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</si>
  <si>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</si>
  <si>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</si>
  <si>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</si>
  <si>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</si>
  <si>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</si>
  <si>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</si>
  <si>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</si>
  <si>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</si>
  <si>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</si>
  <si>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</si>
  <si>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</si>
  <si>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</si>
  <si>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</si>
  <si>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</si>
  <si>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</si>
  <si>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</si>
  <si>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</si>
  <si>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</si>
  <si>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</si>
  <si>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</si>
  <si>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</si>
  <si>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</si>
  <si>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</si>
  <si>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</si>
  <si>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</si>
  <si>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</si>
  <si>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</si>
  <si>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</si>
  <si>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</si>
  <si>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</si>
  <si>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</si>
  <si>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</si>
  <si>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</si>
  <si>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</si>
  <si>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</si>
  <si>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</si>
  <si>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</si>
  <si>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</si>
  <si>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</si>
  <si>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</si>
  <si>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</si>
  <si>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</si>
  <si>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</si>
  <si>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</si>
  <si>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</si>
  <si>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</si>
  <si>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</si>
  <si>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</si>
  <si>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</si>
  <si>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</si>
  <si>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</si>
  <si>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</si>
  <si>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</si>
  <si>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</si>
  <si>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</si>
  <si>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</si>
  <si>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</si>
  <si>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</si>
  <si>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</si>
  <si>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</si>
  <si>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</si>
  <si>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</si>
  <si>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</si>
  <si>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</si>
  <si>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</si>
  <si>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</si>
  <si>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</si>
  <si>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</si>
  <si>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</si>
  <si>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</si>
  <si>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</si>
  <si>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</si>
  <si>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</si>
  <si>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</si>
  <si>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</si>
  <si>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</si>
  <si>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</si>
  <si>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</si>
  <si>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</si>
  <si>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</si>
  <si>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</si>
  <si>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</si>
  <si>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</si>
  <si>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</si>
  <si>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</si>
  <si>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</si>
  <si>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</si>
  <si>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</si>
  <si>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</si>
  <si>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</si>
  <si>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</si>
  <si>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</si>
  <si>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>Hashtags</t>
  </si>
  <si>
    <t>#AnytimeIsTeslaTime</t>
  </si>
  <si>
    <t>#BetterWithTesla</t>
  </si>
  <si>
    <t>Engagement Rate</t>
  </si>
  <si>
    <t>Sum of Likes</t>
  </si>
  <si>
    <t>Sum of Shares</t>
  </si>
  <si>
    <t>Sum of Comments</t>
  </si>
  <si>
    <t>Row Labels</t>
  </si>
  <si>
    <t>Grand Total</t>
  </si>
  <si>
    <t>Column Labels</t>
  </si>
  <si>
    <t>Total Sum of Likes</t>
  </si>
  <si>
    <t>Total Sum of Shares</t>
  </si>
  <si>
    <t>Total Sum of Comments</t>
  </si>
  <si>
    <t>Average of Clicks</t>
  </si>
  <si>
    <t>Average of Engagement_Rate</t>
  </si>
  <si>
    <t>Net_Growth</t>
  </si>
  <si>
    <t>Sum of Net_Growth</t>
  </si>
  <si>
    <t>Sum of Ad_Spend</t>
  </si>
  <si>
    <t>Count of Hashtags</t>
  </si>
  <si>
    <t>(blank)</t>
  </si>
  <si>
    <t>Sum of Impressions</t>
  </si>
  <si>
    <t>Sum of Clicks</t>
  </si>
  <si>
    <t>Average of Likes</t>
  </si>
  <si>
    <t>Avg_Engagement</t>
  </si>
  <si>
    <t>Sheet5.Total_Followers_Gained</t>
  </si>
  <si>
    <t>Sheet5.Total_Unfollows</t>
  </si>
  <si>
    <t>Sheet5.Avg_Engagement</t>
  </si>
  <si>
    <t>Sheet5.Total_Ad_Spend</t>
  </si>
  <si>
    <t>ROI</t>
  </si>
  <si>
    <t>sum o fgrowth</t>
  </si>
  <si>
    <t>Sum of sum o fgrowth</t>
  </si>
  <si>
    <t>Average of ROI</t>
  </si>
  <si>
    <t>Week</t>
  </si>
  <si>
    <t>growth_of_followers</t>
  </si>
  <si>
    <t>Moving Average</t>
  </si>
  <si>
    <t>Sum of growth_of_followers</t>
  </si>
  <si>
    <t>Average of Avg_Engagement</t>
  </si>
  <si>
    <t>Total_Ad_Spend</t>
  </si>
  <si>
    <t>Column1</t>
  </si>
  <si>
    <t>Total AVG DATA</t>
  </si>
  <si>
    <t>Total_Followers_Gained</t>
  </si>
  <si>
    <t>Total_Unfollows</t>
  </si>
  <si>
    <t>file:///D:/C2%20_Project%20_Tesla%20Social%20Media%20Analytics_Tesla%20(Set3).pdf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</si>
</sst>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  <scheme val="minor"/>
    </font>
    <font>
      <sz val="8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2" xfId="0" applyFont="1" applyFill="1" applyBorder="1"/>
    <xf numFmtId="0" fontId="0" fillId="0" borderId="0" xfId="0" applyNumberFormat="1" applyFont="1" applyAlignment="1"/>
    <xf numFmtId="14" fontId="0" fillId="0" borderId="0" xfId="0" applyNumberFormat="1" applyFont="1" applyAlignment="1"/>
    <xf numFmtId="0" fontId="3" fillId="2" borderId="3" xfId="0" applyFont="1" applyFill="1" applyBorder="1"/>
    <xf numFmtId="0" fontId="3" fillId="2" borderId="4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1" fillId="0" borderId="5" xfId="0" applyFont="1" applyFill="1" applyBorder="1" applyAlignment="1">
      <alignment horizontal="center" vertical="top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3" borderId="2" xfId="0" applyNumberFormat="1" applyFont="1" applyFill="1" applyBorder="1" applyAlignment="1"/>
    <xf numFmtId="0" fontId="0" fillId="3" borderId="3" xfId="0" applyNumberFormat="1" applyFont="1" applyFill="1" applyBorder="1" applyAlignment="1"/>
    <xf numFmtId="14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2" xfId="0" applyNumberFormat="1" applyFont="1" applyBorder="1" applyAlignment="1"/>
    <xf numFmtId="0" fontId="0" fillId="0" borderId="3" xfId="0" applyNumberFormat="1" applyFont="1" applyBorder="1" applyAlignment="1"/>
    <xf numFmtId="14" fontId="0" fillId="0" borderId="3" xfId="0" applyNumberFormat="1" applyFont="1" applyBorder="1" applyAlignment="1"/>
    <xf numFmtId="0" fontId="0" fillId="0" borderId="4" xfId="0" applyNumberFormat="1" applyFont="1" applyBorder="1" applyAlignment="1"/>
    <xf numFmtId="0" fontId="3" fillId="2" borderId="0" xfId="0" applyFont="1" applyFill="1" applyBorder="1" applyAlignment="1"/>
    <xf numFmtId="0" fontId="0" fillId="3" borderId="4" xfId="0" applyFont="1" applyFill="1" applyBorder="1"/>
    <xf numFmtId="0" fontId="0" fillId="0" borderId="4" xfId="0" applyFont="1" applyBorder="1"/>
    <xf numFmtId="0" fontId="3" fillId="2" borderId="6" xfId="0" applyFont="1" applyFill="1" applyBorder="1"/>
    <xf numFmtId="0" fontId="0" fillId="3" borderId="7" xfId="0" applyNumberFormat="1" applyFont="1" applyFill="1" applyBorder="1" applyAlignment="1"/>
    <xf numFmtId="14" fontId="0" fillId="3" borderId="7" xfId="0" applyNumberFormat="1" applyFont="1" applyFill="1" applyBorder="1" applyAlignment="1"/>
    <xf numFmtId="0" fontId="0" fillId="3" borderId="7" xfId="0" applyFont="1" applyFill="1" applyBorder="1"/>
    <xf numFmtId="0" fontId="5" fillId="4" borderId="0" xfId="0" applyFont="1" applyFill="1" applyAlignment="1"/>
  </cellXfs>
  <cellStyles count="1">
    <cellStyle name="Normal" xfId="0" builtinId="0"/>
  </cellStyles>
  <dxfs count="3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connections" Target="connections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 3(3)!PivotTable2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3(3)'!$B$1</c:f>
              <c:strCache>
                <c:ptCount val="1"/>
                <c:pt idx="0">
                  <c:v>Sum of Net_Growth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3(3)'!$A$2:$A$6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3(3)'!$B$2:$B$6</c:f>
              <c:numCache>
                <c:formatCode>General</c:formatCode>
                <c:ptCount val="4"/>
                <c:pt idx="0">
                  <c:v>35557</c:v>
                </c:pt>
                <c:pt idx="1">
                  <c:v>48004</c:v>
                </c:pt>
                <c:pt idx="2">
                  <c:v>41177</c:v>
                </c:pt>
                <c:pt idx="3">
                  <c:v>35367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B-4B89-BBEF-9894CB737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6200303"/>
        <c:axId val="1356200719"/>
      </c:barChart>
      <c:barChart>
        <c:barDir val="col"/>
        <c:grouping val="clustered"/>
        <c:varyColors val="0"/>
        <c:ser>
          <c:idx val="1"/>
          <c:order val="1"/>
          <c:tx>
            <c:strRef>
              <c:f>'TASK 3(3)'!$C$1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3(3)'!$A$2:$A$6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3(3)'!$C$2:$C$6</c:f>
              <c:numCache>
                <c:formatCode>General</c:formatCode>
                <c:ptCount val="4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B-4B89-BBEF-9894CB737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368975"/>
        <c:axId val="377369807"/>
      </c:barChart>
      <c:lineChart>
        <c:grouping val="standard"/>
        <c:varyColors val="0"/>
        <c:ser>
          <c:idx val="2"/>
          <c:order val="2"/>
          <c:tx>
            <c:strRef>
              <c:f>'TASK 3(3)'!$D$1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3(3)'!$A$2:$A$6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3(3)'!$D$2:$D$6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3B-4B89-BBEF-9894CB737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200303"/>
        <c:axId val="1356200719"/>
      </c:lineChart>
      <c:catAx>
        <c:axId val="135620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00719"/>
        <c:crosses val="autoZero"/>
        <c:auto val="1"/>
        <c:lblAlgn val="ctr"/>
        <c:lblOffset val="100"/>
        <c:noMultiLvlLbl val="0"/>
      </c:catAx>
      <c:valAx>
        <c:axId val="13562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00303"/>
        <c:crosses val="autoZero"/>
        <c:crossBetween val="between"/>
      </c:valAx>
      <c:valAx>
        <c:axId val="377369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68975"/>
        <c:crosses val="max"/>
        <c:crossBetween val="between"/>
      </c:valAx>
      <c:catAx>
        <c:axId val="377368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7369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66666666666665"/>
          <c:y val="0.26584499854184895"/>
          <c:w val="0.29068153980752404"/>
          <c:h val="0.4526862787984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 6(2)!PivotTable6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58092738407698"/>
          <c:y val="0.14249781277340332"/>
          <c:w val="0.64072900262467192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'TASK 6(2)'!$B$3:$B$4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6(2)'!$A$5:$A$57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</c:strCache>
            </c:strRef>
          </c:cat>
          <c:val>
            <c:numRef>
              <c:f>'TASK 6(2)'!$B$5:$B$57</c:f>
              <c:numCache>
                <c:formatCode>General</c:formatCode>
                <c:ptCount val="52"/>
                <c:pt idx="0">
                  <c:v>35557</c:v>
                </c:pt>
                <c:pt idx="1">
                  <c:v>35557</c:v>
                </c:pt>
                <c:pt idx="2">
                  <c:v>71114</c:v>
                </c:pt>
                <c:pt idx="3">
                  <c:v>35557</c:v>
                </c:pt>
                <c:pt idx="4">
                  <c:v>35557</c:v>
                </c:pt>
                <c:pt idx="5">
                  <c:v>71114</c:v>
                </c:pt>
                <c:pt idx="6">
                  <c:v>35557</c:v>
                </c:pt>
                <c:pt idx="7">
                  <c:v>35557</c:v>
                </c:pt>
                <c:pt idx="8">
                  <c:v>35557</c:v>
                </c:pt>
                <c:pt idx="9">
                  <c:v>71114</c:v>
                </c:pt>
                <c:pt idx="10">
                  <c:v>35557</c:v>
                </c:pt>
                <c:pt idx="12">
                  <c:v>177785</c:v>
                </c:pt>
                <c:pt idx="13">
                  <c:v>106671</c:v>
                </c:pt>
                <c:pt idx="14">
                  <c:v>106671</c:v>
                </c:pt>
                <c:pt idx="16">
                  <c:v>35557</c:v>
                </c:pt>
                <c:pt idx="17">
                  <c:v>71114</c:v>
                </c:pt>
                <c:pt idx="18">
                  <c:v>71114</c:v>
                </c:pt>
                <c:pt idx="19">
                  <c:v>71114</c:v>
                </c:pt>
                <c:pt idx="20">
                  <c:v>35557</c:v>
                </c:pt>
                <c:pt idx="21">
                  <c:v>35557</c:v>
                </c:pt>
                <c:pt idx="22">
                  <c:v>106671</c:v>
                </c:pt>
                <c:pt idx="23">
                  <c:v>177785</c:v>
                </c:pt>
                <c:pt idx="26">
                  <c:v>71114</c:v>
                </c:pt>
                <c:pt idx="27">
                  <c:v>106671</c:v>
                </c:pt>
                <c:pt idx="28">
                  <c:v>35557</c:v>
                </c:pt>
                <c:pt idx="29">
                  <c:v>71114</c:v>
                </c:pt>
                <c:pt idx="30">
                  <c:v>35557</c:v>
                </c:pt>
                <c:pt idx="31">
                  <c:v>71114</c:v>
                </c:pt>
                <c:pt idx="32">
                  <c:v>106671</c:v>
                </c:pt>
                <c:pt idx="33">
                  <c:v>142228</c:v>
                </c:pt>
                <c:pt idx="39">
                  <c:v>71114</c:v>
                </c:pt>
                <c:pt idx="40">
                  <c:v>35557</c:v>
                </c:pt>
                <c:pt idx="41">
                  <c:v>142228</c:v>
                </c:pt>
                <c:pt idx="42">
                  <c:v>71114</c:v>
                </c:pt>
                <c:pt idx="43">
                  <c:v>106671</c:v>
                </c:pt>
                <c:pt idx="44">
                  <c:v>35557</c:v>
                </c:pt>
                <c:pt idx="45">
                  <c:v>35557</c:v>
                </c:pt>
                <c:pt idx="46">
                  <c:v>177785</c:v>
                </c:pt>
                <c:pt idx="47">
                  <c:v>35557</c:v>
                </c:pt>
                <c:pt idx="48">
                  <c:v>35557</c:v>
                </c:pt>
                <c:pt idx="49">
                  <c:v>35557</c:v>
                </c:pt>
                <c:pt idx="50">
                  <c:v>35557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9-4044-840D-029F3C9EFBE2}"/>
            </c:ext>
          </c:extLst>
        </c:ser>
        <c:ser>
          <c:idx val="1"/>
          <c:order val="1"/>
          <c:tx>
            <c:strRef>
              <c:f>'TASK 6(2)'!$C$3:$C$4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6(2)'!$A$5:$A$57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</c:strCache>
            </c:strRef>
          </c:cat>
          <c:val>
            <c:numRef>
              <c:f>'TASK 6(2)'!$C$5:$C$57</c:f>
              <c:numCache>
                <c:formatCode>General</c:formatCode>
                <c:ptCount val="52"/>
                <c:pt idx="0">
                  <c:v>96008</c:v>
                </c:pt>
                <c:pt idx="1">
                  <c:v>48004</c:v>
                </c:pt>
                <c:pt idx="2">
                  <c:v>48004</c:v>
                </c:pt>
                <c:pt idx="4">
                  <c:v>96008</c:v>
                </c:pt>
                <c:pt idx="5">
                  <c:v>144012</c:v>
                </c:pt>
                <c:pt idx="6">
                  <c:v>48004</c:v>
                </c:pt>
                <c:pt idx="8">
                  <c:v>48004</c:v>
                </c:pt>
                <c:pt idx="9">
                  <c:v>144012</c:v>
                </c:pt>
                <c:pt idx="12">
                  <c:v>192016</c:v>
                </c:pt>
                <c:pt idx="14">
                  <c:v>48004</c:v>
                </c:pt>
                <c:pt idx="15">
                  <c:v>240020</c:v>
                </c:pt>
                <c:pt idx="17">
                  <c:v>48004</c:v>
                </c:pt>
                <c:pt idx="21">
                  <c:v>96008</c:v>
                </c:pt>
                <c:pt idx="22">
                  <c:v>192016</c:v>
                </c:pt>
                <c:pt idx="23">
                  <c:v>48004</c:v>
                </c:pt>
                <c:pt idx="24">
                  <c:v>48004</c:v>
                </c:pt>
                <c:pt idx="25">
                  <c:v>96008</c:v>
                </c:pt>
                <c:pt idx="26">
                  <c:v>96008</c:v>
                </c:pt>
                <c:pt idx="28">
                  <c:v>96008</c:v>
                </c:pt>
                <c:pt idx="29">
                  <c:v>144012</c:v>
                </c:pt>
                <c:pt idx="30">
                  <c:v>96008</c:v>
                </c:pt>
                <c:pt idx="31">
                  <c:v>288024</c:v>
                </c:pt>
                <c:pt idx="32">
                  <c:v>96008</c:v>
                </c:pt>
                <c:pt idx="35">
                  <c:v>48004</c:v>
                </c:pt>
                <c:pt idx="38">
                  <c:v>96008</c:v>
                </c:pt>
                <c:pt idx="39">
                  <c:v>96008</c:v>
                </c:pt>
                <c:pt idx="40">
                  <c:v>96008</c:v>
                </c:pt>
                <c:pt idx="41">
                  <c:v>144012</c:v>
                </c:pt>
                <c:pt idx="42">
                  <c:v>48004</c:v>
                </c:pt>
                <c:pt idx="43">
                  <c:v>192016</c:v>
                </c:pt>
                <c:pt idx="45">
                  <c:v>48004</c:v>
                </c:pt>
                <c:pt idx="46">
                  <c:v>144012</c:v>
                </c:pt>
                <c:pt idx="48">
                  <c:v>144012</c:v>
                </c:pt>
                <c:pt idx="49">
                  <c:v>192016</c:v>
                </c:pt>
                <c:pt idx="50">
                  <c:v>48004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39-4044-840D-029F3C9EFBE2}"/>
            </c:ext>
          </c:extLst>
        </c:ser>
        <c:ser>
          <c:idx val="2"/>
          <c:order val="2"/>
          <c:tx>
            <c:strRef>
              <c:f>'TASK 6(2)'!$D$3:$D$4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6(2)'!$A$5:$A$57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</c:strCache>
            </c:strRef>
          </c:cat>
          <c:val>
            <c:numRef>
              <c:f>'TASK 6(2)'!$D$5:$D$57</c:f>
              <c:numCache>
                <c:formatCode>General</c:formatCode>
                <c:ptCount val="52"/>
                <c:pt idx="0">
                  <c:v>82354</c:v>
                </c:pt>
                <c:pt idx="1">
                  <c:v>82354</c:v>
                </c:pt>
                <c:pt idx="2">
                  <c:v>82354</c:v>
                </c:pt>
                <c:pt idx="4">
                  <c:v>82354</c:v>
                </c:pt>
                <c:pt idx="6">
                  <c:v>41177</c:v>
                </c:pt>
                <c:pt idx="7">
                  <c:v>123531</c:v>
                </c:pt>
                <c:pt idx="8">
                  <c:v>41177</c:v>
                </c:pt>
                <c:pt idx="9">
                  <c:v>164708</c:v>
                </c:pt>
                <c:pt idx="10">
                  <c:v>41177</c:v>
                </c:pt>
                <c:pt idx="11">
                  <c:v>41177</c:v>
                </c:pt>
                <c:pt idx="12">
                  <c:v>82354</c:v>
                </c:pt>
                <c:pt idx="13">
                  <c:v>41177</c:v>
                </c:pt>
                <c:pt idx="14">
                  <c:v>41177</c:v>
                </c:pt>
                <c:pt idx="16">
                  <c:v>82354</c:v>
                </c:pt>
                <c:pt idx="17">
                  <c:v>123531</c:v>
                </c:pt>
                <c:pt idx="18">
                  <c:v>82354</c:v>
                </c:pt>
                <c:pt idx="19">
                  <c:v>41177</c:v>
                </c:pt>
                <c:pt idx="21">
                  <c:v>82354</c:v>
                </c:pt>
                <c:pt idx="22">
                  <c:v>82354</c:v>
                </c:pt>
                <c:pt idx="23">
                  <c:v>123531</c:v>
                </c:pt>
                <c:pt idx="24">
                  <c:v>82354</c:v>
                </c:pt>
                <c:pt idx="27">
                  <c:v>123531</c:v>
                </c:pt>
                <c:pt idx="28">
                  <c:v>82354</c:v>
                </c:pt>
                <c:pt idx="29">
                  <c:v>164708</c:v>
                </c:pt>
                <c:pt idx="30">
                  <c:v>41177</c:v>
                </c:pt>
                <c:pt idx="32">
                  <c:v>41177</c:v>
                </c:pt>
                <c:pt idx="33">
                  <c:v>123531</c:v>
                </c:pt>
                <c:pt idx="34">
                  <c:v>41177</c:v>
                </c:pt>
                <c:pt idx="35">
                  <c:v>164708</c:v>
                </c:pt>
                <c:pt idx="36">
                  <c:v>82354</c:v>
                </c:pt>
                <c:pt idx="38">
                  <c:v>123531</c:v>
                </c:pt>
                <c:pt idx="41">
                  <c:v>123531</c:v>
                </c:pt>
                <c:pt idx="43">
                  <c:v>82354</c:v>
                </c:pt>
                <c:pt idx="44">
                  <c:v>82354</c:v>
                </c:pt>
                <c:pt idx="45">
                  <c:v>41177</c:v>
                </c:pt>
                <c:pt idx="46">
                  <c:v>41177</c:v>
                </c:pt>
                <c:pt idx="47">
                  <c:v>41177</c:v>
                </c:pt>
                <c:pt idx="48">
                  <c:v>41177</c:v>
                </c:pt>
                <c:pt idx="50">
                  <c:v>123531</c:v>
                </c:pt>
                <c:pt idx="51">
                  <c:v>41177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9-4044-840D-029F3C9EFBE2}"/>
            </c:ext>
          </c:extLst>
        </c:ser>
        <c:ser>
          <c:idx val="3"/>
          <c:order val="3"/>
          <c:tx>
            <c:strRef>
              <c:f>'TASK 6(2)'!$E$3:$E$4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'TASK 6(2)'!$A$5:$A$57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</c:strCache>
            </c:strRef>
          </c:cat>
          <c:val>
            <c:numRef>
              <c:f>'TASK 6(2)'!$E$5:$E$57</c:f>
              <c:numCache>
                <c:formatCode>General</c:formatCode>
                <c:ptCount val="52"/>
                <c:pt idx="2">
                  <c:v>70734</c:v>
                </c:pt>
                <c:pt idx="4">
                  <c:v>35367</c:v>
                </c:pt>
                <c:pt idx="6">
                  <c:v>35367</c:v>
                </c:pt>
                <c:pt idx="7">
                  <c:v>70734</c:v>
                </c:pt>
                <c:pt idx="8">
                  <c:v>106101</c:v>
                </c:pt>
                <c:pt idx="9">
                  <c:v>106101</c:v>
                </c:pt>
                <c:pt idx="10">
                  <c:v>35367</c:v>
                </c:pt>
                <c:pt idx="11">
                  <c:v>106101</c:v>
                </c:pt>
                <c:pt idx="12">
                  <c:v>70734</c:v>
                </c:pt>
                <c:pt idx="13">
                  <c:v>35367</c:v>
                </c:pt>
                <c:pt idx="14">
                  <c:v>35367</c:v>
                </c:pt>
                <c:pt idx="15">
                  <c:v>35367</c:v>
                </c:pt>
                <c:pt idx="19">
                  <c:v>35367</c:v>
                </c:pt>
                <c:pt idx="21">
                  <c:v>70734</c:v>
                </c:pt>
                <c:pt idx="23">
                  <c:v>35367</c:v>
                </c:pt>
                <c:pt idx="24">
                  <c:v>70734</c:v>
                </c:pt>
                <c:pt idx="25">
                  <c:v>70734</c:v>
                </c:pt>
                <c:pt idx="26">
                  <c:v>35367</c:v>
                </c:pt>
                <c:pt idx="27">
                  <c:v>35367</c:v>
                </c:pt>
                <c:pt idx="28">
                  <c:v>35367</c:v>
                </c:pt>
                <c:pt idx="29">
                  <c:v>35367</c:v>
                </c:pt>
                <c:pt idx="32">
                  <c:v>35367</c:v>
                </c:pt>
                <c:pt idx="34">
                  <c:v>70734</c:v>
                </c:pt>
                <c:pt idx="36">
                  <c:v>70734</c:v>
                </c:pt>
                <c:pt idx="37">
                  <c:v>35367</c:v>
                </c:pt>
                <c:pt idx="38">
                  <c:v>141468</c:v>
                </c:pt>
                <c:pt idx="39">
                  <c:v>35367</c:v>
                </c:pt>
                <c:pt idx="40">
                  <c:v>70734</c:v>
                </c:pt>
                <c:pt idx="41">
                  <c:v>70734</c:v>
                </c:pt>
                <c:pt idx="42">
                  <c:v>106101</c:v>
                </c:pt>
                <c:pt idx="45">
                  <c:v>70734</c:v>
                </c:pt>
                <c:pt idx="46">
                  <c:v>35367</c:v>
                </c:pt>
                <c:pt idx="47">
                  <c:v>106101</c:v>
                </c:pt>
                <c:pt idx="49">
                  <c:v>35367</c:v>
                </c:pt>
                <c:pt idx="51">
                  <c:v>35367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39-4044-840D-029F3C9EF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616720"/>
        <c:axId val="455621712"/>
      </c:lineChart>
      <c:catAx>
        <c:axId val="45561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21712"/>
        <c:crosses val="autoZero"/>
        <c:auto val="1"/>
        <c:lblAlgn val="ctr"/>
        <c:lblOffset val="100"/>
        <c:noMultiLvlLbl val="0"/>
      </c:catAx>
      <c:valAx>
        <c:axId val="4556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1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49978127734035"/>
          <c:y val="4.6226669582968803E-2"/>
          <c:w val="0.18950021872265968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861035813146299E-2"/>
          <c:y val="0.17171296296296298"/>
          <c:w val="0.9264467966094401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'TASK 6(3)'!$B$1</c:f>
              <c:strCache>
                <c:ptCount val="1"/>
                <c:pt idx="0">
                  <c:v>growth_of_followers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6(3)'!$A$2:$A$301</c:f>
              <c:numCache>
                <c:formatCode>General</c:formatCode>
                <c:ptCount val="300"/>
                <c:pt idx="0">
                  <c:v>1060357</c:v>
                </c:pt>
                <c:pt idx="1">
                  <c:v>1060357</c:v>
                </c:pt>
                <c:pt idx="2">
                  <c:v>1164373</c:v>
                </c:pt>
                <c:pt idx="3">
                  <c:v>1228647</c:v>
                </c:pt>
                <c:pt idx="4">
                  <c:v>1228647</c:v>
                </c:pt>
                <c:pt idx="5">
                  <c:v>1379539</c:v>
                </c:pt>
                <c:pt idx="6">
                  <c:v>1060357</c:v>
                </c:pt>
                <c:pt idx="7">
                  <c:v>1228647</c:v>
                </c:pt>
                <c:pt idx="8">
                  <c:v>1379539</c:v>
                </c:pt>
                <c:pt idx="9">
                  <c:v>1379539</c:v>
                </c:pt>
                <c:pt idx="10">
                  <c:v>1164373</c:v>
                </c:pt>
                <c:pt idx="11">
                  <c:v>1379539</c:v>
                </c:pt>
                <c:pt idx="12">
                  <c:v>1228647</c:v>
                </c:pt>
                <c:pt idx="13">
                  <c:v>1379539</c:v>
                </c:pt>
                <c:pt idx="14">
                  <c:v>1379539</c:v>
                </c:pt>
                <c:pt idx="15">
                  <c:v>1379539</c:v>
                </c:pt>
                <c:pt idx="16">
                  <c:v>1379539</c:v>
                </c:pt>
                <c:pt idx="17">
                  <c:v>1164373</c:v>
                </c:pt>
                <c:pt idx="18">
                  <c:v>1164373</c:v>
                </c:pt>
                <c:pt idx="19">
                  <c:v>1164373</c:v>
                </c:pt>
                <c:pt idx="20">
                  <c:v>1164373</c:v>
                </c:pt>
                <c:pt idx="21">
                  <c:v>1379539</c:v>
                </c:pt>
                <c:pt idx="22">
                  <c:v>1379539</c:v>
                </c:pt>
                <c:pt idx="23">
                  <c:v>1379539</c:v>
                </c:pt>
                <c:pt idx="24">
                  <c:v>1060357</c:v>
                </c:pt>
                <c:pt idx="25">
                  <c:v>1228647</c:v>
                </c:pt>
                <c:pt idx="26">
                  <c:v>1228647</c:v>
                </c:pt>
                <c:pt idx="27">
                  <c:v>1164373</c:v>
                </c:pt>
                <c:pt idx="28">
                  <c:v>1164373</c:v>
                </c:pt>
                <c:pt idx="29">
                  <c:v>1164373</c:v>
                </c:pt>
                <c:pt idx="30">
                  <c:v>1164373</c:v>
                </c:pt>
                <c:pt idx="31">
                  <c:v>1060357</c:v>
                </c:pt>
                <c:pt idx="32">
                  <c:v>1379539</c:v>
                </c:pt>
                <c:pt idx="33">
                  <c:v>1379539</c:v>
                </c:pt>
                <c:pt idx="34">
                  <c:v>1164373</c:v>
                </c:pt>
                <c:pt idx="35">
                  <c:v>1164373</c:v>
                </c:pt>
                <c:pt idx="36">
                  <c:v>1379539</c:v>
                </c:pt>
                <c:pt idx="37">
                  <c:v>1228647</c:v>
                </c:pt>
                <c:pt idx="38">
                  <c:v>1379539</c:v>
                </c:pt>
                <c:pt idx="39">
                  <c:v>1060357</c:v>
                </c:pt>
                <c:pt idx="40">
                  <c:v>1164373</c:v>
                </c:pt>
                <c:pt idx="41">
                  <c:v>1228647</c:v>
                </c:pt>
                <c:pt idx="42">
                  <c:v>1164373</c:v>
                </c:pt>
                <c:pt idx="43">
                  <c:v>1060357</c:v>
                </c:pt>
                <c:pt idx="44">
                  <c:v>1379539</c:v>
                </c:pt>
                <c:pt idx="45">
                  <c:v>1060357</c:v>
                </c:pt>
                <c:pt idx="46">
                  <c:v>1060357</c:v>
                </c:pt>
                <c:pt idx="47">
                  <c:v>1060357</c:v>
                </c:pt>
                <c:pt idx="48">
                  <c:v>1060357</c:v>
                </c:pt>
                <c:pt idx="49">
                  <c:v>1228647</c:v>
                </c:pt>
                <c:pt idx="50">
                  <c:v>1379539</c:v>
                </c:pt>
                <c:pt idx="51">
                  <c:v>1379539</c:v>
                </c:pt>
                <c:pt idx="52">
                  <c:v>1228647</c:v>
                </c:pt>
                <c:pt idx="53">
                  <c:v>1228647</c:v>
                </c:pt>
                <c:pt idx="54">
                  <c:v>1379539</c:v>
                </c:pt>
                <c:pt idx="55">
                  <c:v>1379539</c:v>
                </c:pt>
                <c:pt idx="56">
                  <c:v>1060357</c:v>
                </c:pt>
                <c:pt idx="57">
                  <c:v>1164373</c:v>
                </c:pt>
                <c:pt idx="58">
                  <c:v>1164373</c:v>
                </c:pt>
                <c:pt idx="59">
                  <c:v>1164373</c:v>
                </c:pt>
                <c:pt idx="60">
                  <c:v>1060357</c:v>
                </c:pt>
                <c:pt idx="61">
                  <c:v>1060357</c:v>
                </c:pt>
                <c:pt idx="62">
                  <c:v>1060357</c:v>
                </c:pt>
                <c:pt idx="63">
                  <c:v>1379539</c:v>
                </c:pt>
                <c:pt idx="64">
                  <c:v>1164373</c:v>
                </c:pt>
                <c:pt idx="65">
                  <c:v>1060357</c:v>
                </c:pt>
                <c:pt idx="66">
                  <c:v>1379539</c:v>
                </c:pt>
                <c:pt idx="67">
                  <c:v>1164373</c:v>
                </c:pt>
                <c:pt idx="68">
                  <c:v>1060357</c:v>
                </c:pt>
                <c:pt idx="69">
                  <c:v>1379539</c:v>
                </c:pt>
                <c:pt idx="70">
                  <c:v>1228647</c:v>
                </c:pt>
                <c:pt idx="71">
                  <c:v>1228647</c:v>
                </c:pt>
                <c:pt idx="72">
                  <c:v>1379539</c:v>
                </c:pt>
                <c:pt idx="73">
                  <c:v>1228647</c:v>
                </c:pt>
                <c:pt idx="74">
                  <c:v>1164373</c:v>
                </c:pt>
                <c:pt idx="75">
                  <c:v>1060357</c:v>
                </c:pt>
                <c:pt idx="76">
                  <c:v>1379539</c:v>
                </c:pt>
                <c:pt idx="77">
                  <c:v>1060357</c:v>
                </c:pt>
                <c:pt idx="78">
                  <c:v>1164373</c:v>
                </c:pt>
                <c:pt idx="79">
                  <c:v>1164373</c:v>
                </c:pt>
                <c:pt idx="80">
                  <c:v>1164373</c:v>
                </c:pt>
                <c:pt idx="81">
                  <c:v>1164373</c:v>
                </c:pt>
                <c:pt idx="82">
                  <c:v>1228647</c:v>
                </c:pt>
                <c:pt idx="83">
                  <c:v>1379539</c:v>
                </c:pt>
                <c:pt idx="84">
                  <c:v>1164373</c:v>
                </c:pt>
                <c:pt idx="85">
                  <c:v>1228647</c:v>
                </c:pt>
                <c:pt idx="86">
                  <c:v>1060357</c:v>
                </c:pt>
                <c:pt idx="87">
                  <c:v>1379539</c:v>
                </c:pt>
                <c:pt idx="88">
                  <c:v>1060357</c:v>
                </c:pt>
                <c:pt idx="89">
                  <c:v>1164373</c:v>
                </c:pt>
                <c:pt idx="90">
                  <c:v>1379539</c:v>
                </c:pt>
                <c:pt idx="91">
                  <c:v>1060357</c:v>
                </c:pt>
                <c:pt idx="92">
                  <c:v>1164373</c:v>
                </c:pt>
                <c:pt idx="93">
                  <c:v>1164373</c:v>
                </c:pt>
                <c:pt idx="94">
                  <c:v>1164373</c:v>
                </c:pt>
                <c:pt idx="95">
                  <c:v>1060357</c:v>
                </c:pt>
                <c:pt idx="96">
                  <c:v>1164373</c:v>
                </c:pt>
                <c:pt idx="97">
                  <c:v>1060357</c:v>
                </c:pt>
                <c:pt idx="98">
                  <c:v>1228647</c:v>
                </c:pt>
                <c:pt idx="99">
                  <c:v>1228647</c:v>
                </c:pt>
                <c:pt idx="100">
                  <c:v>1228647</c:v>
                </c:pt>
                <c:pt idx="101">
                  <c:v>1060357</c:v>
                </c:pt>
                <c:pt idx="102">
                  <c:v>1379539</c:v>
                </c:pt>
                <c:pt idx="103">
                  <c:v>1228647</c:v>
                </c:pt>
                <c:pt idx="104">
                  <c:v>1164373</c:v>
                </c:pt>
                <c:pt idx="105">
                  <c:v>1164373</c:v>
                </c:pt>
                <c:pt idx="106">
                  <c:v>1228647</c:v>
                </c:pt>
                <c:pt idx="107">
                  <c:v>1060357</c:v>
                </c:pt>
                <c:pt idx="108">
                  <c:v>1060357</c:v>
                </c:pt>
                <c:pt idx="109">
                  <c:v>1164373</c:v>
                </c:pt>
                <c:pt idx="110">
                  <c:v>1228647</c:v>
                </c:pt>
                <c:pt idx="111">
                  <c:v>1060357</c:v>
                </c:pt>
                <c:pt idx="112">
                  <c:v>1060357</c:v>
                </c:pt>
                <c:pt idx="113">
                  <c:v>1060357</c:v>
                </c:pt>
                <c:pt idx="114">
                  <c:v>1060357</c:v>
                </c:pt>
                <c:pt idx="115">
                  <c:v>1228647</c:v>
                </c:pt>
                <c:pt idx="116">
                  <c:v>1060357</c:v>
                </c:pt>
                <c:pt idx="117">
                  <c:v>1379539</c:v>
                </c:pt>
                <c:pt idx="118">
                  <c:v>1164373</c:v>
                </c:pt>
                <c:pt idx="119">
                  <c:v>1379539</c:v>
                </c:pt>
                <c:pt idx="120">
                  <c:v>1164373</c:v>
                </c:pt>
                <c:pt idx="121">
                  <c:v>1164373</c:v>
                </c:pt>
                <c:pt idx="122">
                  <c:v>1164373</c:v>
                </c:pt>
                <c:pt idx="123">
                  <c:v>1228647</c:v>
                </c:pt>
                <c:pt idx="124">
                  <c:v>1060357</c:v>
                </c:pt>
                <c:pt idx="125">
                  <c:v>1164373</c:v>
                </c:pt>
                <c:pt idx="126">
                  <c:v>1379539</c:v>
                </c:pt>
                <c:pt idx="127">
                  <c:v>1060357</c:v>
                </c:pt>
                <c:pt idx="128">
                  <c:v>1060357</c:v>
                </c:pt>
                <c:pt idx="129">
                  <c:v>1228647</c:v>
                </c:pt>
                <c:pt idx="130">
                  <c:v>1164373</c:v>
                </c:pt>
                <c:pt idx="131">
                  <c:v>1164373</c:v>
                </c:pt>
                <c:pt idx="132">
                  <c:v>1379539</c:v>
                </c:pt>
                <c:pt idx="133">
                  <c:v>1060357</c:v>
                </c:pt>
                <c:pt idx="134">
                  <c:v>1379539</c:v>
                </c:pt>
                <c:pt idx="135">
                  <c:v>1164373</c:v>
                </c:pt>
                <c:pt idx="136">
                  <c:v>1379539</c:v>
                </c:pt>
                <c:pt idx="137">
                  <c:v>1060357</c:v>
                </c:pt>
                <c:pt idx="138">
                  <c:v>1228647</c:v>
                </c:pt>
                <c:pt idx="139">
                  <c:v>1379539</c:v>
                </c:pt>
                <c:pt idx="140">
                  <c:v>1060357</c:v>
                </c:pt>
                <c:pt idx="141">
                  <c:v>1228647</c:v>
                </c:pt>
                <c:pt idx="142">
                  <c:v>1228647</c:v>
                </c:pt>
                <c:pt idx="143">
                  <c:v>1228647</c:v>
                </c:pt>
                <c:pt idx="144">
                  <c:v>1164373</c:v>
                </c:pt>
                <c:pt idx="145">
                  <c:v>1228647</c:v>
                </c:pt>
                <c:pt idx="146">
                  <c:v>1164373</c:v>
                </c:pt>
                <c:pt idx="147">
                  <c:v>1164373</c:v>
                </c:pt>
                <c:pt idx="148">
                  <c:v>1060357</c:v>
                </c:pt>
                <c:pt idx="149">
                  <c:v>1228647</c:v>
                </c:pt>
                <c:pt idx="150">
                  <c:v>1164373</c:v>
                </c:pt>
                <c:pt idx="151">
                  <c:v>1379539</c:v>
                </c:pt>
                <c:pt idx="152">
                  <c:v>1060357</c:v>
                </c:pt>
                <c:pt idx="153">
                  <c:v>1164373</c:v>
                </c:pt>
                <c:pt idx="154">
                  <c:v>1228647</c:v>
                </c:pt>
                <c:pt idx="155">
                  <c:v>1379539</c:v>
                </c:pt>
                <c:pt idx="156">
                  <c:v>1228647</c:v>
                </c:pt>
                <c:pt idx="157">
                  <c:v>1164373</c:v>
                </c:pt>
                <c:pt idx="158">
                  <c:v>1379539</c:v>
                </c:pt>
                <c:pt idx="159">
                  <c:v>1060357</c:v>
                </c:pt>
                <c:pt idx="160">
                  <c:v>1060357</c:v>
                </c:pt>
                <c:pt idx="161">
                  <c:v>1379539</c:v>
                </c:pt>
                <c:pt idx="162">
                  <c:v>1164373</c:v>
                </c:pt>
                <c:pt idx="163">
                  <c:v>1228647</c:v>
                </c:pt>
                <c:pt idx="164">
                  <c:v>1060357</c:v>
                </c:pt>
                <c:pt idx="165">
                  <c:v>1060357</c:v>
                </c:pt>
                <c:pt idx="166">
                  <c:v>1164373</c:v>
                </c:pt>
                <c:pt idx="167">
                  <c:v>1379539</c:v>
                </c:pt>
                <c:pt idx="168">
                  <c:v>1228647</c:v>
                </c:pt>
                <c:pt idx="169">
                  <c:v>1060357</c:v>
                </c:pt>
                <c:pt idx="170">
                  <c:v>1228647</c:v>
                </c:pt>
                <c:pt idx="171">
                  <c:v>1379539</c:v>
                </c:pt>
                <c:pt idx="172">
                  <c:v>1060357</c:v>
                </c:pt>
                <c:pt idx="173">
                  <c:v>1379539</c:v>
                </c:pt>
                <c:pt idx="174">
                  <c:v>1164373</c:v>
                </c:pt>
                <c:pt idx="175">
                  <c:v>1379539</c:v>
                </c:pt>
                <c:pt idx="176">
                  <c:v>1164373</c:v>
                </c:pt>
                <c:pt idx="177">
                  <c:v>1164373</c:v>
                </c:pt>
                <c:pt idx="178">
                  <c:v>1379539</c:v>
                </c:pt>
                <c:pt idx="179">
                  <c:v>1228647</c:v>
                </c:pt>
                <c:pt idx="180">
                  <c:v>1228647</c:v>
                </c:pt>
                <c:pt idx="181">
                  <c:v>1379539</c:v>
                </c:pt>
                <c:pt idx="182">
                  <c:v>1164373</c:v>
                </c:pt>
                <c:pt idx="183">
                  <c:v>1060357</c:v>
                </c:pt>
                <c:pt idx="184">
                  <c:v>1164373</c:v>
                </c:pt>
                <c:pt idx="185">
                  <c:v>1379539</c:v>
                </c:pt>
                <c:pt idx="186">
                  <c:v>1060357</c:v>
                </c:pt>
                <c:pt idx="187">
                  <c:v>1228647</c:v>
                </c:pt>
                <c:pt idx="188">
                  <c:v>1379539</c:v>
                </c:pt>
                <c:pt idx="189">
                  <c:v>1228647</c:v>
                </c:pt>
                <c:pt idx="190">
                  <c:v>1228647</c:v>
                </c:pt>
                <c:pt idx="191">
                  <c:v>1164373</c:v>
                </c:pt>
                <c:pt idx="192">
                  <c:v>1060357</c:v>
                </c:pt>
                <c:pt idx="193">
                  <c:v>1228647</c:v>
                </c:pt>
                <c:pt idx="194">
                  <c:v>1164373</c:v>
                </c:pt>
                <c:pt idx="195">
                  <c:v>1164373</c:v>
                </c:pt>
                <c:pt idx="196">
                  <c:v>1060357</c:v>
                </c:pt>
                <c:pt idx="197">
                  <c:v>1060357</c:v>
                </c:pt>
                <c:pt idx="198">
                  <c:v>1228647</c:v>
                </c:pt>
                <c:pt idx="199">
                  <c:v>1379539</c:v>
                </c:pt>
                <c:pt idx="200">
                  <c:v>1060357</c:v>
                </c:pt>
                <c:pt idx="201">
                  <c:v>1379539</c:v>
                </c:pt>
                <c:pt idx="202">
                  <c:v>1164373</c:v>
                </c:pt>
                <c:pt idx="203">
                  <c:v>1164373</c:v>
                </c:pt>
                <c:pt idx="204">
                  <c:v>1060357</c:v>
                </c:pt>
                <c:pt idx="205">
                  <c:v>1060357</c:v>
                </c:pt>
                <c:pt idx="206">
                  <c:v>1060357</c:v>
                </c:pt>
                <c:pt idx="207">
                  <c:v>1228647</c:v>
                </c:pt>
                <c:pt idx="208">
                  <c:v>1060357</c:v>
                </c:pt>
                <c:pt idx="209">
                  <c:v>1228647</c:v>
                </c:pt>
                <c:pt idx="210">
                  <c:v>1060357</c:v>
                </c:pt>
                <c:pt idx="211">
                  <c:v>1228647</c:v>
                </c:pt>
                <c:pt idx="212">
                  <c:v>1379539</c:v>
                </c:pt>
                <c:pt idx="213">
                  <c:v>1164373</c:v>
                </c:pt>
                <c:pt idx="214">
                  <c:v>1379539</c:v>
                </c:pt>
                <c:pt idx="215">
                  <c:v>1228647</c:v>
                </c:pt>
                <c:pt idx="216">
                  <c:v>1379539</c:v>
                </c:pt>
                <c:pt idx="217">
                  <c:v>1379539</c:v>
                </c:pt>
                <c:pt idx="218">
                  <c:v>1060357</c:v>
                </c:pt>
                <c:pt idx="219">
                  <c:v>1164373</c:v>
                </c:pt>
                <c:pt idx="220">
                  <c:v>1379539</c:v>
                </c:pt>
                <c:pt idx="221">
                  <c:v>1379539</c:v>
                </c:pt>
                <c:pt idx="222">
                  <c:v>1060357</c:v>
                </c:pt>
                <c:pt idx="223">
                  <c:v>1379539</c:v>
                </c:pt>
                <c:pt idx="224">
                  <c:v>1060357</c:v>
                </c:pt>
                <c:pt idx="225">
                  <c:v>1164373</c:v>
                </c:pt>
                <c:pt idx="226">
                  <c:v>1164373</c:v>
                </c:pt>
                <c:pt idx="227">
                  <c:v>1164373</c:v>
                </c:pt>
                <c:pt idx="228">
                  <c:v>1164373</c:v>
                </c:pt>
                <c:pt idx="229">
                  <c:v>1379539</c:v>
                </c:pt>
                <c:pt idx="230">
                  <c:v>1164373</c:v>
                </c:pt>
                <c:pt idx="231">
                  <c:v>1060357</c:v>
                </c:pt>
                <c:pt idx="232">
                  <c:v>1379539</c:v>
                </c:pt>
                <c:pt idx="233">
                  <c:v>1379539</c:v>
                </c:pt>
                <c:pt idx="234">
                  <c:v>1379539</c:v>
                </c:pt>
                <c:pt idx="235">
                  <c:v>1379539</c:v>
                </c:pt>
                <c:pt idx="236">
                  <c:v>1164373</c:v>
                </c:pt>
                <c:pt idx="237">
                  <c:v>1060357</c:v>
                </c:pt>
                <c:pt idx="238">
                  <c:v>1228647</c:v>
                </c:pt>
                <c:pt idx="239">
                  <c:v>1060357</c:v>
                </c:pt>
                <c:pt idx="240">
                  <c:v>1379539</c:v>
                </c:pt>
                <c:pt idx="241">
                  <c:v>1379539</c:v>
                </c:pt>
                <c:pt idx="242">
                  <c:v>1060357</c:v>
                </c:pt>
                <c:pt idx="243">
                  <c:v>1228647</c:v>
                </c:pt>
                <c:pt idx="244">
                  <c:v>1379539</c:v>
                </c:pt>
                <c:pt idx="245">
                  <c:v>1379539</c:v>
                </c:pt>
                <c:pt idx="246">
                  <c:v>1379539</c:v>
                </c:pt>
                <c:pt idx="247">
                  <c:v>1379539</c:v>
                </c:pt>
                <c:pt idx="248">
                  <c:v>1060357</c:v>
                </c:pt>
                <c:pt idx="249">
                  <c:v>1379539</c:v>
                </c:pt>
                <c:pt idx="250">
                  <c:v>1164373</c:v>
                </c:pt>
                <c:pt idx="251">
                  <c:v>1379539</c:v>
                </c:pt>
                <c:pt idx="252">
                  <c:v>1060357</c:v>
                </c:pt>
                <c:pt idx="253">
                  <c:v>1060357</c:v>
                </c:pt>
                <c:pt idx="254">
                  <c:v>1379539</c:v>
                </c:pt>
                <c:pt idx="255">
                  <c:v>1228647</c:v>
                </c:pt>
                <c:pt idx="256">
                  <c:v>1379539</c:v>
                </c:pt>
                <c:pt idx="257">
                  <c:v>1164373</c:v>
                </c:pt>
                <c:pt idx="258">
                  <c:v>1379539</c:v>
                </c:pt>
                <c:pt idx="259">
                  <c:v>1164373</c:v>
                </c:pt>
                <c:pt idx="260">
                  <c:v>1164373</c:v>
                </c:pt>
                <c:pt idx="261">
                  <c:v>1228647</c:v>
                </c:pt>
                <c:pt idx="262">
                  <c:v>1164373</c:v>
                </c:pt>
                <c:pt idx="263">
                  <c:v>1060357</c:v>
                </c:pt>
                <c:pt idx="264">
                  <c:v>1060357</c:v>
                </c:pt>
                <c:pt idx="265">
                  <c:v>1379539</c:v>
                </c:pt>
                <c:pt idx="266">
                  <c:v>1060357</c:v>
                </c:pt>
                <c:pt idx="267">
                  <c:v>1164373</c:v>
                </c:pt>
                <c:pt idx="268">
                  <c:v>1164373</c:v>
                </c:pt>
                <c:pt idx="269">
                  <c:v>1228647</c:v>
                </c:pt>
                <c:pt idx="270">
                  <c:v>1164373</c:v>
                </c:pt>
                <c:pt idx="271">
                  <c:v>1164373</c:v>
                </c:pt>
                <c:pt idx="272">
                  <c:v>1228647</c:v>
                </c:pt>
                <c:pt idx="273">
                  <c:v>1060357</c:v>
                </c:pt>
                <c:pt idx="274">
                  <c:v>1379539</c:v>
                </c:pt>
                <c:pt idx="275">
                  <c:v>1060357</c:v>
                </c:pt>
                <c:pt idx="276">
                  <c:v>1379539</c:v>
                </c:pt>
                <c:pt idx="277">
                  <c:v>1060357</c:v>
                </c:pt>
                <c:pt idx="278">
                  <c:v>1228647</c:v>
                </c:pt>
                <c:pt idx="279">
                  <c:v>1228647</c:v>
                </c:pt>
                <c:pt idx="280">
                  <c:v>1228647</c:v>
                </c:pt>
                <c:pt idx="281">
                  <c:v>1164373</c:v>
                </c:pt>
                <c:pt idx="282">
                  <c:v>1060357</c:v>
                </c:pt>
                <c:pt idx="283">
                  <c:v>1060357</c:v>
                </c:pt>
                <c:pt idx="284">
                  <c:v>1228647</c:v>
                </c:pt>
                <c:pt idx="285">
                  <c:v>1228647</c:v>
                </c:pt>
                <c:pt idx="286">
                  <c:v>1164373</c:v>
                </c:pt>
                <c:pt idx="287">
                  <c:v>1228647</c:v>
                </c:pt>
                <c:pt idx="288">
                  <c:v>1379539</c:v>
                </c:pt>
                <c:pt idx="289">
                  <c:v>1164373</c:v>
                </c:pt>
                <c:pt idx="290">
                  <c:v>1379539</c:v>
                </c:pt>
                <c:pt idx="291">
                  <c:v>1379539</c:v>
                </c:pt>
                <c:pt idx="292">
                  <c:v>1379539</c:v>
                </c:pt>
                <c:pt idx="293">
                  <c:v>1379539</c:v>
                </c:pt>
                <c:pt idx="294">
                  <c:v>1060357</c:v>
                </c:pt>
                <c:pt idx="295">
                  <c:v>1060357</c:v>
                </c:pt>
                <c:pt idx="296">
                  <c:v>1060357</c:v>
                </c:pt>
                <c:pt idx="297">
                  <c:v>1379539</c:v>
                </c:pt>
                <c:pt idx="298">
                  <c:v>1379539</c:v>
                </c:pt>
                <c:pt idx="299">
                  <c:v>1060357</c:v>
                </c:pt>
              </c:numCache>
            </c:numRef>
          </c:xVal>
          <c:yVal>
            <c:numRef>
              <c:f>'TASK 6(3)'!$B$2:$B$301</c:f>
              <c:numCache>
                <c:formatCode>General</c:formatCode>
                <c:ptCount val="300"/>
                <c:pt idx="0">
                  <c:v>41177</c:v>
                </c:pt>
                <c:pt idx="1">
                  <c:v>41177</c:v>
                </c:pt>
                <c:pt idx="2">
                  <c:v>48004</c:v>
                </c:pt>
                <c:pt idx="3">
                  <c:v>35367</c:v>
                </c:pt>
                <c:pt idx="4">
                  <c:v>35367</c:v>
                </c:pt>
                <c:pt idx="5">
                  <c:v>35557</c:v>
                </c:pt>
                <c:pt idx="6">
                  <c:v>41177</c:v>
                </c:pt>
                <c:pt idx="7">
                  <c:v>35367</c:v>
                </c:pt>
                <c:pt idx="8">
                  <c:v>35557</c:v>
                </c:pt>
                <c:pt idx="9">
                  <c:v>35557</c:v>
                </c:pt>
                <c:pt idx="10">
                  <c:v>48004</c:v>
                </c:pt>
                <c:pt idx="11">
                  <c:v>35557</c:v>
                </c:pt>
                <c:pt idx="12">
                  <c:v>35367</c:v>
                </c:pt>
                <c:pt idx="13">
                  <c:v>35557</c:v>
                </c:pt>
                <c:pt idx="14">
                  <c:v>35557</c:v>
                </c:pt>
                <c:pt idx="15">
                  <c:v>35557</c:v>
                </c:pt>
                <c:pt idx="16">
                  <c:v>35557</c:v>
                </c:pt>
                <c:pt idx="17">
                  <c:v>48004</c:v>
                </c:pt>
                <c:pt idx="18">
                  <c:v>48004</c:v>
                </c:pt>
                <c:pt idx="19">
                  <c:v>48004</c:v>
                </c:pt>
                <c:pt idx="20">
                  <c:v>48004</c:v>
                </c:pt>
                <c:pt idx="21">
                  <c:v>35557</c:v>
                </c:pt>
                <c:pt idx="22">
                  <c:v>35557</c:v>
                </c:pt>
                <c:pt idx="23">
                  <c:v>35557</c:v>
                </c:pt>
                <c:pt idx="24">
                  <c:v>41177</c:v>
                </c:pt>
                <c:pt idx="25">
                  <c:v>35367</c:v>
                </c:pt>
                <c:pt idx="26">
                  <c:v>35367</c:v>
                </c:pt>
                <c:pt idx="27">
                  <c:v>48004</c:v>
                </c:pt>
                <c:pt idx="28">
                  <c:v>48004</c:v>
                </c:pt>
                <c:pt idx="29">
                  <c:v>48004</c:v>
                </c:pt>
                <c:pt idx="30">
                  <c:v>48004</c:v>
                </c:pt>
                <c:pt idx="31">
                  <c:v>41177</c:v>
                </c:pt>
                <c:pt idx="32">
                  <c:v>35557</c:v>
                </c:pt>
                <c:pt idx="33">
                  <c:v>35557</c:v>
                </c:pt>
                <c:pt idx="34">
                  <c:v>48004</c:v>
                </c:pt>
                <c:pt idx="35">
                  <c:v>48004</c:v>
                </c:pt>
                <c:pt idx="36">
                  <c:v>35557</c:v>
                </c:pt>
                <c:pt idx="37">
                  <c:v>35367</c:v>
                </c:pt>
                <c:pt idx="38">
                  <c:v>35557</c:v>
                </c:pt>
                <c:pt idx="39">
                  <c:v>41177</c:v>
                </c:pt>
                <c:pt idx="40">
                  <c:v>48004</c:v>
                </c:pt>
                <c:pt idx="41">
                  <c:v>35367</c:v>
                </c:pt>
                <c:pt idx="42">
                  <c:v>48004</c:v>
                </c:pt>
                <c:pt idx="43">
                  <c:v>41177</c:v>
                </c:pt>
                <c:pt idx="44">
                  <c:v>35557</c:v>
                </c:pt>
                <c:pt idx="45">
                  <c:v>41177</c:v>
                </c:pt>
                <c:pt idx="46">
                  <c:v>41177</c:v>
                </c:pt>
                <c:pt idx="47">
                  <c:v>41177</c:v>
                </c:pt>
                <c:pt idx="48">
                  <c:v>41177</c:v>
                </c:pt>
                <c:pt idx="49">
                  <c:v>35367</c:v>
                </c:pt>
                <c:pt idx="50">
                  <c:v>35557</c:v>
                </c:pt>
                <c:pt idx="51">
                  <c:v>35557</c:v>
                </c:pt>
                <c:pt idx="52">
                  <c:v>35367</c:v>
                </c:pt>
                <c:pt idx="53">
                  <c:v>35367</c:v>
                </c:pt>
                <c:pt idx="54">
                  <c:v>35557</c:v>
                </c:pt>
                <c:pt idx="55">
                  <c:v>35557</c:v>
                </c:pt>
                <c:pt idx="56">
                  <c:v>41177</c:v>
                </c:pt>
                <c:pt idx="57">
                  <c:v>48004</c:v>
                </c:pt>
                <c:pt idx="58">
                  <c:v>48004</c:v>
                </c:pt>
                <c:pt idx="59">
                  <c:v>48004</c:v>
                </c:pt>
                <c:pt idx="60">
                  <c:v>41177</c:v>
                </c:pt>
                <c:pt idx="61">
                  <c:v>41177</c:v>
                </c:pt>
                <c:pt idx="62">
                  <c:v>41177</c:v>
                </c:pt>
                <c:pt idx="63">
                  <c:v>35557</c:v>
                </c:pt>
                <c:pt idx="64">
                  <c:v>48004</c:v>
                </c:pt>
                <c:pt idx="65">
                  <c:v>41177</c:v>
                </c:pt>
                <c:pt idx="66">
                  <c:v>35557</c:v>
                </c:pt>
                <c:pt idx="67">
                  <c:v>48004</c:v>
                </c:pt>
                <c:pt idx="68">
                  <c:v>41177</c:v>
                </c:pt>
                <c:pt idx="69">
                  <c:v>35557</c:v>
                </c:pt>
                <c:pt idx="70">
                  <c:v>35367</c:v>
                </c:pt>
                <c:pt idx="71">
                  <c:v>35367</c:v>
                </c:pt>
                <c:pt idx="72">
                  <c:v>35557</c:v>
                </c:pt>
                <c:pt idx="73">
                  <c:v>35367</c:v>
                </c:pt>
                <c:pt idx="74">
                  <c:v>48004</c:v>
                </c:pt>
                <c:pt idx="75">
                  <c:v>41177</c:v>
                </c:pt>
                <c:pt idx="76">
                  <c:v>35557</c:v>
                </c:pt>
                <c:pt idx="77">
                  <c:v>41177</c:v>
                </c:pt>
                <c:pt idx="78">
                  <c:v>48004</c:v>
                </c:pt>
                <c:pt idx="79">
                  <c:v>48004</c:v>
                </c:pt>
                <c:pt idx="80">
                  <c:v>48004</c:v>
                </c:pt>
                <c:pt idx="81">
                  <c:v>48004</c:v>
                </c:pt>
                <c:pt idx="82">
                  <c:v>35367</c:v>
                </c:pt>
                <c:pt idx="83">
                  <c:v>35557</c:v>
                </c:pt>
                <c:pt idx="84">
                  <c:v>48004</c:v>
                </c:pt>
                <c:pt idx="85">
                  <c:v>35367</c:v>
                </c:pt>
                <c:pt idx="86">
                  <c:v>41177</c:v>
                </c:pt>
                <c:pt idx="87">
                  <c:v>35557</c:v>
                </c:pt>
                <c:pt idx="88">
                  <c:v>41177</c:v>
                </c:pt>
                <c:pt idx="89">
                  <c:v>48004</c:v>
                </c:pt>
                <c:pt idx="90">
                  <c:v>35557</c:v>
                </c:pt>
                <c:pt idx="91">
                  <c:v>41177</c:v>
                </c:pt>
                <c:pt idx="92">
                  <c:v>48004</c:v>
                </c:pt>
                <c:pt idx="93">
                  <c:v>48004</c:v>
                </c:pt>
                <c:pt idx="94">
                  <c:v>48004</c:v>
                </c:pt>
                <c:pt idx="95">
                  <c:v>41177</c:v>
                </c:pt>
                <c:pt idx="96">
                  <c:v>48004</c:v>
                </c:pt>
                <c:pt idx="97">
                  <c:v>41177</c:v>
                </c:pt>
                <c:pt idx="98">
                  <c:v>35367</c:v>
                </c:pt>
                <c:pt idx="99">
                  <c:v>35367</c:v>
                </c:pt>
                <c:pt idx="100">
                  <c:v>35367</c:v>
                </c:pt>
                <c:pt idx="101">
                  <c:v>41177</c:v>
                </c:pt>
                <c:pt idx="102">
                  <c:v>35557</c:v>
                </c:pt>
                <c:pt idx="103">
                  <c:v>35367</c:v>
                </c:pt>
                <c:pt idx="104">
                  <c:v>48004</c:v>
                </c:pt>
                <c:pt idx="105">
                  <c:v>48004</c:v>
                </c:pt>
                <c:pt idx="106">
                  <c:v>35367</c:v>
                </c:pt>
                <c:pt idx="107">
                  <c:v>41177</c:v>
                </c:pt>
                <c:pt idx="108">
                  <c:v>41177</c:v>
                </c:pt>
                <c:pt idx="109">
                  <c:v>48004</c:v>
                </c:pt>
                <c:pt idx="110">
                  <c:v>35367</c:v>
                </c:pt>
                <c:pt idx="111">
                  <c:v>41177</c:v>
                </c:pt>
                <c:pt idx="112">
                  <c:v>41177</c:v>
                </c:pt>
                <c:pt idx="113">
                  <c:v>41177</c:v>
                </c:pt>
                <c:pt idx="114">
                  <c:v>41177</c:v>
                </c:pt>
                <c:pt idx="115">
                  <c:v>35367</c:v>
                </c:pt>
                <c:pt idx="116">
                  <c:v>41177</c:v>
                </c:pt>
                <c:pt idx="117">
                  <c:v>35557</c:v>
                </c:pt>
                <c:pt idx="118">
                  <c:v>48004</c:v>
                </c:pt>
                <c:pt idx="119">
                  <c:v>35557</c:v>
                </c:pt>
                <c:pt idx="120">
                  <c:v>48004</c:v>
                </c:pt>
                <c:pt idx="121">
                  <c:v>48004</c:v>
                </c:pt>
                <c:pt idx="122">
                  <c:v>48004</c:v>
                </c:pt>
                <c:pt idx="123">
                  <c:v>35367</c:v>
                </c:pt>
                <c:pt idx="124">
                  <c:v>41177</c:v>
                </c:pt>
                <c:pt idx="125">
                  <c:v>48004</c:v>
                </c:pt>
                <c:pt idx="126">
                  <c:v>35557</c:v>
                </c:pt>
                <c:pt idx="127">
                  <c:v>41177</c:v>
                </c:pt>
                <c:pt idx="128">
                  <c:v>41177</c:v>
                </c:pt>
                <c:pt idx="129">
                  <c:v>35367</c:v>
                </c:pt>
                <c:pt idx="130">
                  <c:v>48004</c:v>
                </c:pt>
                <c:pt idx="131">
                  <c:v>48004</c:v>
                </c:pt>
                <c:pt idx="132">
                  <c:v>35557</c:v>
                </c:pt>
                <c:pt idx="133">
                  <c:v>41177</c:v>
                </c:pt>
                <c:pt idx="134">
                  <c:v>35557</c:v>
                </c:pt>
                <c:pt idx="135">
                  <c:v>48004</c:v>
                </c:pt>
                <c:pt idx="136">
                  <c:v>35557</c:v>
                </c:pt>
                <c:pt idx="137">
                  <c:v>41177</c:v>
                </c:pt>
                <c:pt idx="138">
                  <c:v>35367</c:v>
                </c:pt>
                <c:pt idx="139">
                  <c:v>35557</c:v>
                </c:pt>
                <c:pt idx="140">
                  <c:v>41177</c:v>
                </c:pt>
                <c:pt idx="141">
                  <c:v>35367</c:v>
                </c:pt>
                <c:pt idx="142">
                  <c:v>35367</c:v>
                </c:pt>
                <c:pt idx="143">
                  <c:v>35367</c:v>
                </c:pt>
                <c:pt idx="144">
                  <c:v>48004</c:v>
                </c:pt>
                <c:pt idx="145">
                  <c:v>35367</c:v>
                </c:pt>
                <c:pt idx="146">
                  <c:v>48004</c:v>
                </c:pt>
                <c:pt idx="147">
                  <c:v>48004</c:v>
                </c:pt>
                <c:pt idx="148">
                  <c:v>41177</c:v>
                </c:pt>
                <c:pt idx="149">
                  <c:v>35367</c:v>
                </c:pt>
                <c:pt idx="150">
                  <c:v>48004</c:v>
                </c:pt>
                <c:pt idx="151">
                  <c:v>35557</c:v>
                </c:pt>
                <c:pt idx="152">
                  <c:v>41177</c:v>
                </c:pt>
                <c:pt idx="153">
                  <c:v>48004</c:v>
                </c:pt>
                <c:pt idx="154">
                  <c:v>35367</c:v>
                </c:pt>
                <c:pt idx="155">
                  <c:v>35557</c:v>
                </c:pt>
                <c:pt idx="156">
                  <c:v>35367</c:v>
                </c:pt>
                <c:pt idx="157">
                  <c:v>48004</c:v>
                </c:pt>
                <c:pt idx="158">
                  <c:v>35557</c:v>
                </c:pt>
                <c:pt idx="159">
                  <c:v>41177</c:v>
                </c:pt>
                <c:pt idx="160">
                  <c:v>41177</c:v>
                </c:pt>
                <c:pt idx="161">
                  <c:v>35557</c:v>
                </c:pt>
                <c:pt idx="162">
                  <c:v>48004</c:v>
                </c:pt>
                <c:pt idx="163">
                  <c:v>35367</c:v>
                </c:pt>
                <c:pt idx="164">
                  <c:v>41177</c:v>
                </c:pt>
                <c:pt idx="165">
                  <c:v>41177</c:v>
                </c:pt>
                <c:pt idx="166">
                  <c:v>48004</c:v>
                </c:pt>
                <c:pt idx="167">
                  <c:v>35557</c:v>
                </c:pt>
                <c:pt idx="168">
                  <c:v>35367</c:v>
                </c:pt>
                <c:pt idx="169">
                  <c:v>41177</c:v>
                </c:pt>
                <c:pt idx="170">
                  <c:v>35367</c:v>
                </c:pt>
                <c:pt idx="171">
                  <c:v>35557</c:v>
                </c:pt>
                <c:pt idx="172">
                  <c:v>41177</c:v>
                </c:pt>
                <c:pt idx="173">
                  <c:v>35557</c:v>
                </c:pt>
                <c:pt idx="174">
                  <c:v>48004</c:v>
                </c:pt>
                <c:pt idx="175">
                  <c:v>35557</c:v>
                </c:pt>
                <c:pt idx="176">
                  <c:v>48004</c:v>
                </c:pt>
                <c:pt idx="177">
                  <c:v>48004</c:v>
                </c:pt>
                <c:pt idx="178">
                  <c:v>35557</c:v>
                </c:pt>
                <c:pt idx="179">
                  <c:v>35367</c:v>
                </c:pt>
                <c:pt idx="180">
                  <c:v>35367</c:v>
                </c:pt>
                <c:pt idx="181">
                  <c:v>35557</c:v>
                </c:pt>
                <c:pt idx="182">
                  <c:v>48004</c:v>
                </c:pt>
                <c:pt idx="183">
                  <c:v>41177</c:v>
                </c:pt>
                <c:pt idx="184">
                  <c:v>48004</c:v>
                </c:pt>
                <c:pt idx="185">
                  <c:v>35557</c:v>
                </c:pt>
                <c:pt idx="186">
                  <c:v>41177</c:v>
                </c:pt>
                <c:pt idx="187">
                  <c:v>35367</c:v>
                </c:pt>
                <c:pt idx="188">
                  <c:v>35557</c:v>
                </c:pt>
                <c:pt idx="189">
                  <c:v>35367</c:v>
                </c:pt>
                <c:pt idx="190">
                  <c:v>35367</c:v>
                </c:pt>
                <c:pt idx="191">
                  <c:v>48004</c:v>
                </c:pt>
                <c:pt idx="192">
                  <c:v>41177</c:v>
                </c:pt>
                <c:pt idx="193">
                  <c:v>35367</c:v>
                </c:pt>
                <c:pt idx="194">
                  <c:v>48004</c:v>
                </c:pt>
                <c:pt idx="195">
                  <c:v>48004</c:v>
                </c:pt>
                <c:pt idx="196">
                  <c:v>41177</c:v>
                </c:pt>
                <c:pt idx="197">
                  <c:v>41177</c:v>
                </c:pt>
                <c:pt idx="198">
                  <c:v>35367</c:v>
                </c:pt>
                <c:pt idx="199">
                  <c:v>35557</c:v>
                </c:pt>
                <c:pt idx="200">
                  <c:v>41177</c:v>
                </c:pt>
                <c:pt idx="201">
                  <c:v>35557</c:v>
                </c:pt>
                <c:pt idx="202">
                  <c:v>48004</c:v>
                </c:pt>
                <c:pt idx="203">
                  <c:v>48004</c:v>
                </c:pt>
                <c:pt idx="204">
                  <c:v>41177</c:v>
                </c:pt>
                <c:pt idx="205">
                  <c:v>41177</c:v>
                </c:pt>
                <c:pt idx="206">
                  <c:v>41177</c:v>
                </c:pt>
                <c:pt idx="207">
                  <c:v>35367</c:v>
                </c:pt>
                <c:pt idx="208">
                  <c:v>41177</c:v>
                </c:pt>
                <c:pt idx="209">
                  <c:v>35367</c:v>
                </c:pt>
                <c:pt idx="210">
                  <c:v>41177</c:v>
                </c:pt>
                <c:pt idx="211">
                  <c:v>35367</c:v>
                </c:pt>
                <c:pt idx="212">
                  <c:v>35557</c:v>
                </c:pt>
                <c:pt idx="213">
                  <c:v>48004</c:v>
                </c:pt>
                <c:pt idx="214">
                  <c:v>35557</c:v>
                </c:pt>
                <c:pt idx="215">
                  <c:v>35367</c:v>
                </c:pt>
                <c:pt idx="216">
                  <c:v>35557</c:v>
                </c:pt>
                <c:pt idx="217">
                  <c:v>35557</c:v>
                </c:pt>
                <c:pt idx="218">
                  <c:v>41177</c:v>
                </c:pt>
                <c:pt idx="219">
                  <c:v>48004</c:v>
                </c:pt>
                <c:pt idx="220">
                  <c:v>35557</c:v>
                </c:pt>
                <c:pt idx="221">
                  <c:v>35557</c:v>
                </c:pt>
                <c:pt idx="222">
                  <c:v>41177</c:v>
                </c:pt>
                <c:pt idx="223">
                  <c:v>35557</c:v>
                </c:pt>
                <c:pt idx="224">
                  <c:v>41177</c:v>
                </c:pt>
                <c:pt idx="225">
                  <c:v>48004</c:v>
                </c:pt>
                <c:pt idx="226">
                  <c:v>48004</c:v>
                </c:pt>
                <c:pt idx="227">
                  <c:v>48004</c:v>
                </c:pt>
                <c:pt idx="228">
                  <c:v>48004</c:v>
                </c:pt>
                <c:pt idx="229">
                  <c:v>35557</c:v>
                </c:pt>
                <c:pt idx="230">
                  <c:v>48004</c:v>
                </c:pt>
                <c:pt idx="231">
                  <c:v>41177</c:v>
                </c:pt>
                <c:pt idx="232">
                  <c:v>35557</c:v>
                </c:pt>
                <c:pt idx="233">
                  <c:v>35557</c:v>
                </c:pt>
                <c:pt idx="234">
                  <c:v>35557</c:v>
                </c:pt>
                <c:pt idx="235">
                  <c:v>35557</c:v>
                </c:pt>
                <c:pt idx="236">
                  <c:v>48004</c:v>
                </c:pt>
                <c:pt idx="237">
                  <c:v>41177</c:v>
                </c:pt>
                <c:pt idx="238">
                  <c:v>35367</c:v>
                </c:pt>
                <c:pt idx="239">
                  <c:v>41177</c:v>
                </c:pt>
                <c:pt idx="240">
                  <c:v>35557</c:v>
                </c:pt>
                <c:pt idx="241">
                  <c:v>35557</c:v>
                </c:pt>
                <c:pt idx="242">
                  <c:v>41177</c:v>
                </c:pt>
                <c:pt idx="243">
                  <c:v>35367</c:v>
                </c:pt>
                <c:pt idx="244">
                  <c:v>35557</c:v>
                </c:pt>
                <c:pt idx="245">
                  <c:v>35557</c:v>
                </c:pt>
                <c:pt idx="246">
                  <c:v>35557</c:v>
                </c:pt>
                <c:pt idx="247">
                  <c:v>35557</c:v>
                </c:pt>
                <c:pt idx="248">
                  <c:v>41177</c:v>
                </c:pt>
                <c:pt idx="249">
                  <c:v>35557</c:v>
                </c:pt>
                <c:pt idx="250">
                  <c:v>48004</c:v>
                </c:pt>
                <c:pt idx="251">
                  <c:v>35557</c:v>
                </c:pt>
                <c:pt idx="252">
                  <c:v>41177</c:v>
                </c:pt>
                <c:pt idx="253">
                  <c:v>41177</c:v>
                </c:pt>
                <c:pt idx="254">
                  <c:v>35557</c:v>
                </c:pt>
                <c:pt idx="255">
                  <c:v>35367</c:v>
                </c:pt>
                <c:pt idx="256">
                  <c:v>35557</c:v>
                </c:pt>
                <c:pt idx="257">
                  <c:v>48004</c:v>
                </c:pt>
                <c:pt idx="258">
                  <c:v>35557</c:v>
                </c:pt>
                <c:pt idx="259">
                  <c:v>48004</c:v>
                </c:pt>
                <c:pt idx="260">
                  <c:v>48004</c:v>
                </c:pt>
                <c:pt idx="261">
                  <c:v>35367</c:v>
                </c:pt>
                <c:pt idx="262">
                  <c:v>48004</c:v>
                </c:pt>
                <c:pt idx="263">
                  <c:v>41177</c:v>
                </c:pt>
                <c:pt idx="264">
                  <c:v>41177</c:v>
                </c:pt>
                <c:pt idx="265">
                  <c:v>35557</c:v>
                </c:pt>
                <c:pt idx="266">
                  <c:v>41177</c:v>
                </c:pt>
                <c:pt idx="267">
                  <c:v>48004</c:v>
                </c:pt>
                <c:pt idx="268">
                  <c:v>48004</c:v>
                </c:pt>
                <c:pt idx="269">
                  <c:v>35367</c:v>
                </c:pt>
                <c:pt idx="270">
                  <c:v>48004</c:v>
                </c:pt>
                <c:pt idx="271">
                  <c:v>48004</c:v>
                </c:pt>
                <c:pt idx="272">
                  <c:v>35367</c:v>
                </c:pt>
                <c:pt idx="273">
                  <c:v>41177</c:v>
                </c:pt>
                <c:pt idx="274">
                  <c:v>35557</c:v>
                </c:pt>
                <c:pt idx="275">
                  <c:v>41177</c:v>
                </c:pt>
                <c:pt idx="276">
                  <c:v>35557</c:v>
                </c:pt>
                <c:pt idx="277">
                  <c:v>41177</c:v>
                </c:pt>
                <c:pt idx="278">
                  <c:v>35367</c:v>
                </c:pt>
                <c:pt idx="279">
                  <c:v>35367</c:v>
                </c:pt>
                <c:pt idx="280">
                  <c:v>35367</c:v>
                </c:pt>
                <c:pt idx="281">
                  <c:v>48004</c:v>
                </c:pt>
                <c:pt idx="282">
                  <c:v>41177</c:v>
                </c:pt>
                <c:pt idx="283">
                  <c:v>41177</c:v>
                </c:pt>
                <c:pt idx="284">
                  <c:v>35367</c:v>
                </c:pt>
                <c:pt idx="285">
                  <c:v>35367</c:v>
                </c:pt>
                <c:pt idx="286">
                  <c:v>48004</c:v>
                </c:pt>
                <c:pt idx="287">
                  <c:v>35367</c:v>
                </c:pt>
                <c:pt idx="288">
                  <c:v>35557</c:v>
                </c:pt>
                <c:pt idx="289">
                  <c:v>48004</c:v>
                </c:pt>
                <c:pt idx="290">
                  <c:v>35557</c:v>
                </c:pt>
                <c:pt idx="291">
                  <c:v>35557</c:v>
                </c:pt>
                <c:pt idx="292">
                  <c:v>35557</c:v>
                </c:pt>
                <c:pt idx="293">
                  <c:v>35557</c:v>
                </c:pt>
                <c:pt idx="294">
                  <c:v>41177</c:v>
                </c:pt>
                <c:pt idx="295">
                  <c:v>41177</c:v>
                </c:pt>
                <c:pt idx="296">
                  <c:v>41177</c:v>
                </c:pt>
                <c:pt idx="297">
                  <c:v>35557</c:v>
                </c:pt>
                <c:pt idx="298">
                  <c:v>35557</c:v>
                </c:pt>
                <c:pt idx="299">
                  <c:v>41177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0E-4C38-954D-F28856D8B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961008"/>
        <c:axId val="1381961840"/>
      </c:scatterChart>
      <c:valAx>
        <c:axId val="138196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61840"/>
        <c:crosses val="autoZero"/>
        <c:crossBetween val="midCat"/>
      </c:valAx>
      <c:valAx>
        <c:axId val="13819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6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8</xdr:row>
      <xdr:rowOff>41910</xdr:rowOff>
    </xdr:from>
    <xdr:to>
      <xdr:col>3</xdr:col>
      <xdr:colOff>708660</xdr:colOff>
      <xdr:row>23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69185-726A-4B37-95B2-8F6CF1282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502920</xdr:colOff>
      <xdr:row>2</xdr:row>
      <xdr:rowOff>19050</xdr:rowOff>
    </xdr:from>
    <xdr:to>
      <xdr:col>18</xdr:col>
      <xdr:colOff>198120</xdr:colOff>
      <xdr:row>17</xdr:row>
      <xdr:rowOff>19050</xdr:rowOff>
    </xdr:to>
    <xdr:graphicFrame macro="">
      <xdr:nvGraphicFramePr>
        <xdr:cNvPr id="2" name="&quot;Weekly Follower Growth by Platform&quot;">
          <a:extLst>
            <a:ext uri="{FF2B5EF4-FFF2-40B4-BE49-F238E27FC236}">
              <a16:creationId xmlns:a16="http://schemas.microsoft.com/office/drawing/2014/main" id="{84FA157E-B15F-4437-A8E6-C93AAEF8D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3</xdr:row>
      <xdr:rowOff>57150</xdr:rowOff>
    </xdr:from>
    <xdr:to>
      <xdr:col>8</xdr:col>
      <xdr:colOff>464820</xdr:colOff>
      <xdr:row>18</xdr:row>
      <xdr:rowOff>57150</xdr:rowOff>
    </xdr:to>
    <xdr:graphicFrame macro="">
      <xdr:nvGraphicFramePr>
        <xdr:cNvPr id="2" name="&quot;Ad Spend vs Follower Growth&quot;">
          <a:extLst>
            <a:ext uri="{FF2B5EF4-FFF2-40B4-BE49-F238E27FC236}">
              <a16:creationId xmlns:a16="http://schemas.microsoft.com/office/drawing/2014/main" id="{FC1E1A79-12E2-474D-9DEF-5D176680C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 NAVEEN" refreshedDate="46098.432793171298" createdVersion="7" refreshedVersion="7" minRefreshableVersion="3" recordCount="338" xr:uid="{0FE389B9-A2F1-42F0-87EF-B6CAE89104CB}">
  <cacheSource type="worksheet">
    <worksheetSource name="_2"/>
  </cacheSource>
  <cacheFields count="14">
    <cacheField name="Post ID" numFmtId="0">
      <sharedItems/>
    </cacheField>
    <cacheField name="Platform" numFmtId="0">
      <sharedItems count="4">
        <s v="Twitter"/>
        <s v="Facebook"/>
        <s v="YouTube"/>
        <s v="Instagram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Carousel"/>
        <s v="Video"/>
        <s v="Reel"/>
        <s v="Text"/>
        <s v="Story"/>
        <s v="Image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 count="293">
        <n v="4507"/>
        <n v="3798"/>
        <n v="2795"/>
        <n v="1963"/>
        <n v="1878"/>
        <n v="4672"/>
        <n v="3773"/>
        <n v="3095"/>
        <n v="2143"/>
        <n v="3367"/>
        <n v="1509"/>
        <n v="4303"/>
        <n v="3440"/>
        <n v="3888"/>
        <n v="3128"/>
        <n v="4905"/>
        <n v="3338"/>
        <n v="2493"/>
        <n v="4832"/>
        <n v="3718"/>
        <n v="4606"/>
        <n v="3166"/>
        <n v="4295"/>
        <n v="4712"/>
        <n v="4054"/>
        <n v="4187"/>
        <n v="4126"/>
        <n v="4213"/>
        <n v="4782"/>
        <n v="4929"/>
        <n v="3428"/>
        <n v="3557"/>
        <n v="3774"/>
        <n v="3770"/>
        <n v="4780"/>
        <n v="3182"/>
        <n v="3577"/>
        <n v="3452"/>
        <n v="2070"/>
        <n v="3860"/>
        <n v="1652"/>
        <n v="3861"/>
        <n v="3731"/>
        <n v="2076"/>
        <n v="2072"/>
        <n v="4663"/>
        <n v="4241"/>
        <n v="4171"/>
        <n v="3961"/>
        <n v="4872"/>
        <n v="3564"/>
        <n v="3360"/>
        <n v="4725"/>
        <n v="3073"/>
        <n v="2382"/>
        <n v="2751"/>
        <n v="3813"/>
        <n v="1950"/>
        <n v="4450"/>
        <n v="2719"/>
        <n v="2418"/>
        <n v="3371"/>
        <n v="3796"/>
        <n v="1171"/>
        <n v="1272"/>
        <n v="4518"/>
        <n v="1606"/>
        <n v="4838"/>
        <n v="1702"/>
        <n v="3663"/>
        <n v="2103"/>
        <n v="2200"/>
        <n v="3535"/>
        <n v="1263"/>
        <n v="3090"/>
        <n v="4551"/>
        <n v="1570"/>
        <n v="3432"/>
        <n v="2825"/>
        <n v="1121"/>
        <n v="4808"/>
        <n v="2878"/>
        <n v="954"/>
        <n v="1871"/>
        <n v="2696"/>
        <n v="3160"/>
        <n v="4853"/>
        <n v="4275"/>
        <n v="4494"/>
        <n v="1644"/>
        <n v="2107"/>
        <n v="4579"/>
        <n v="4350"/>
        <n v="4292"/>
        <n v="2728"/>
        <n v="2509"/>
        <n v="725"/>
        <n v="4619"/>
        <n v="1430"/>
        <n v="929"/>
        <n v="2949"/>
        <n v="3430"/>
        <n v="1841"/>
        <n v="3791"/>
        <n v="4739"/>
        <n v="827"/>
        <n v="4332"/>
        <n v="3784"/>
        <n v="296"/>
        <n v="3068"/>
        <n v="2936"/>
        <n v="3009"/>
        <n v="3711"/>
        <n v="802"/>
        <n v="1461"/>
        <n v="1082"/>
        <n v="3099"/>
        <n v="1226"/>
        <n v="1766"/>
        <n v="2180"/>
        <n v="1292"/>
        <n v="2746"/>
        <n v="4441"/>
        <n v="1816"/>
        <n v="4523"/>
        <n v="3592"/>
        <n v="3641"/>
        <n v="1018"/>
        <n v="2358"/>
        <n v="4771"/>
        <n v="4858"/>
        <n v="4285"/>
        <n v="3689"/>
        <n v="4158"/>
        <n v="4050"/>
        <n v="1071"/>
        <n v="4182"/>
        <n v="4689"/>
        <n v="3000"/>
        <n v="1238"/>
        <n v="3929"/>
        <n v="3820"/>
        <n v="2164"/>
        <n v="1488"/>
        <n v="941"/>
        <n v="4775"/>
        <n v="3352"/>
        <n v="3559"/>
        <n v="4516"/>
        <n v="1814"/>
        <n v="246"/>
        <n v="1575"/>
        <n v="1762"/>
        <n v="4419"/>
        <n v="571"/>
        <n v="2283"/>
        <n v="4671"/>
        <n v="1792"/>
        <n v="1377"/>
        <n v="3775"/>
        <n v="3960"/>
        <n v="1881"/>
        <n v="2551"/>
        <n v="3767"/>
        <n v="1674"/>
        <n v="4134"/>
        <n v="3523"/>
        <n v="3874"/>
        <n v="880"/>
        <n v="2634"/>
        <n v="3809"/>
        <n v="3092"/>
        <n v="1813"/>
        <n v="3138"/>
        <n v="1407"/>
        <n v="3196"/>
        <n v="1946"/>
        <n v="498"/>
        <n v="2946"/>
        <n v="4000"/>
        <n v="1257"/>
        <n v="4840"/>
        <n v="2692"/>
        <n v="1855"/>
        <n v="4799"/>
        <n v="1947"/>
        <n v="2754"/>
        <n v="4021"/>
        <n v="302"/>
        <n v="3801"/>
        <n v="3215"/>
        <n v="914"/>
        <n v="3655"/>
        <n v="3828"/>
        <n v="2581"/>
        <n v="4750"/>
        <n v="4941"/>
        <n v="3811"/>
        <n v="4886"/>
        <n v="4274"/>
        <n v="1076"/>
        <n v="1330"/>
        <n v="1176"/>
        <n v="4242"/>
        <n v="2404"/>
        <n v="3256"/>
        <n v="1206"/>
        <n v="4934"/>
        <n v="3239"/>
        <n v="2291"/>
        <n v="947"/>
        <n v="2089"/>
        <n v="4453"/>
        <n v="305"/>
        <n v="1094"/>
        <n v="904"/>
        <n v="1686"/>
        <n v="1952"/>
        <n v="2704"/>
        <n v="3649"/>
        <n v="1741"/>
        <n v="3704"/>
        <n v="2647"/>
        <n v="2214"/>
        <n v="1108"/>
        <n v="432"/>
        <n v="2147"/>
        <n v="1957"/>
        <n v="4321"/>
        <n v="3024"/>
        <n v="754"/>
        <n v="2945"/>
        <n v="4731"/>
        <n v="456"/>
        <n v="4767"/>
        <n v="2120"/>
        <n v="1869"/>
        <n v="2278"/>
        <n v="4177"/>
        <n v="2610"/>
        <n v="3389"/>
        <n v="4804"/>
        <n v="1048"/>
        <n v="4133"/>
        <n v="1556"/>
        <n v="3601"/>
        <n v="3134"/>
        <n v="1249"/>
        <n v="3575"/>
        <n v="1436"/>
        <n v="3008"/>
        <n v="2566"/>
        <n v="3065"/>
        <n v="2174"/>
        <n v="1543"/>
        <n v="4561"/>
        <n v="4501"/>
        <n v="3170"/>
        <n v="780"/>
        <n v="4363"/>
        <n v="400"/>
        <n v="606"/>
        <n v="2166"/>
        <n v="4236"/>
        <n v="4188"/>
        <n v="1877"/>
        <n v="1188"/>
        <n v="562"/>
        <n v="4661"/>
        <n v="886"/>
        <n v="2603"/>
        <n v="1431"/>
        <n v="438"/>
        <n v="360"/>
        <n v="2234"/>
        <n v="1164"/>
        <n v="1970"/>
        <n v="985"/>
        <n v="602"/>
        <n v="736"/>
        <n v="1000"/>
        <n v="804"/>
        <n v="521"/>
        <n v="199"/>
        <n v="257"/>
        <n v="80"/>
        <n v="59"/>
        <n v="53"/>
        <n v="142"/>
        <n v="129"/>
        <n v="249"/>
        <n v="103"/>
        <n v="84"/>
      </sharedItems>
    </cacheField>
    <cacheField name="Shares" numFmtId="0">
      <sharedItems containsSemiMixedTypes="0" containsString="0" containsNumber="1" containsInteger="1" minValue="10" maxValue="983" count="259">
        <n v="217"/>
        <n v="31"/>
        <n v="105"/>
        <n v="213"/>
        <n v="62"/>
        <n v="325"/>
        <n v="299"/>
        <n v="39"/>
        <n v="12"/>
        <n v="302"/>
        <n v="88"/>
        <n v="451"/>
        <n v="13"/>
        <n v="604"/>
        <n v="211"/>
        <n v="845"/>
        <n v="277"/>
        <n v="97"/>
        <n v="893"/>
        <n v="385"/>
        <n v="931"/>
        <n v="90"/>
        <n v="853"/>
        <n v="568"/>
        <n v="488"/>
        <n v="66"/>
        <n v="426"/>
        <n v="253"/>
        <n v="721"/>
        <n v="749"/>
        <n v="305"/>
        <n v="687"/>
        <n v="239"/>
        <n v="917"/>
        <n v="691"/>
        <n v="559"/>
        <n v="596"/>
        <n v="652"/>
        <n v="275"/>
        <n v="201"/>
        <n v="89"/>
        <n v="960"/>
        <n v="115"/>
        <n v="195"/>
        <n v="532"/>
        <n v="145"/>
        <n v="902"/>
        <n v="548"/>
        <n v="761"/>
        <n v="925"/>
        <n v="629"/>
        <n v="525"/>
        <n v="400"/>
        <n v="553"/>
        <n v="265"/>
        <n v="33"/>
        <n v="935"/>
        <n v="295"/>
        <n v="983"/>
        <n v="17"/>
        <n v="754"/>
        <n v="106"/>
        <n v="667"/>
        <n v="377"/>
        <n v="286"/>
        <n v="465"/>
        <n v="389"/>
        <n v="285"/>
        <n v="547"/>
        <n v="640"/>
        <n v="750"/>
        <n v="892"/>
        <n v="504"/>
        <n v="494"/>
        <n v="397"/>
        <n v="697"/>
        <n v="714"/>
        <n v="187"/>
        <n v="869"/>
        <n v="535"/>
        <n v="135"/>
        <n v="772"/>
        <n v="248"/>
        <n v="324"/>
        <n v="252"/>
        <n v="628"/>
        <n v="204"/>
        <n v="837"/>
        <n v="680"/>
        <n v="717"/>
        <n v="546"/>
        <n v="550"/>
        <n v="125"/>
        <n v="771"/>
        <n v="51"/>
        <n v="533"/>
        <n v="821"/>
        <n v="376"/>
        <n v="192"/>
        <n v="476"/>
        <n v="566"/>
        <n v="851"/>
        <n v="593"/>
        <n v="527"/>
        <n v="77"/>
        <n v="808"/>
        <n v="60"/>
        <n v="137"/>
        <n v="439"/>
        <n v="413"/>
        <n v="352"/>
        <n v="262"/>
        <n v="184"/>
        <n v="209"/>
        <n v="694"/>
        <n v="119"/>
        <n v="92"/>
        <n v="263"/>
        <n v="626"/>
        <n v="156"/>
        <n v="511"/>
        <n v="29"/>
        <n v="61"/>
        <n v="911"/>
        <n v="226"/>
        <n v="447"/>
        <n v="784"/>
        <n v="818"/>
        <n v="317"/>
        <n v="886"/>
        <n v="48"/>
        <n v="167"/>
        <n v="871"/>
        <n v="519"/>
        <n v="134"/>
        <n v="382"/>
        <n v="366"/>
        <n v="549"/>
        <n v="417"/>
        <n v="121"/>
        <n v="173"/>
        <n v="941"/>
        <n v="59"/>
        <n v="836"/>
        <n v="653"/>
        <n v="149"/>
        <n v="405"/>
        <n v="236"/>
        <n v="190"/>
        <n v="210"/>
        <n v="876"/>
        <n v="614"/>
        <n v="796"/>
        <n v="16"/>
        <n v="266"/>
        <n v="501"/>
        <n v="915"/>
        <n v="514"/>
        <n v="929"/>
        <n v="824"/>
        <n v="753"/>
        <n v="884"/>
        <n v="297"/>
        <n v="726"/>
        <n v="273"/>
        <n v="623"/>
        <n v="123"/>
        <n v="686"/>
        <n v="38"/>
        <n v="498"/>
        <n v="689"/>
        <n v="19"/>
        <n v="658"/>
        <n v="200"/>
        <n v="842"/>
        <n v="130"/>
        <n v="794"/>
        <n v="47"/>
        <n v="967"/>
        <n v="464"/>
        <n v="148"/>
        <n v="517"/>
        <n v="151"/>
        <n v="414"/>
        <n v="866"/>
        <n v="340"/>
        <n v="313"/>
        <n v="555"/>
        <n v="363"/>
        <n v="459"/>
        <n v="238"/>
        <n v="971"/>
        <n v="43"/>
        <n v="78"/>
        <n v="338"/>
        <n v="111"/>
        <n v="472"/>
        <n v="973"/>
        <n v="904"/>
        <n v="344"/>
        <n v="752"/>
        <n v="215"/>
        <n v="831"/>
        <n v="186"/>
        <n v="304"/>
        <n v="249"/>
        <n v="177"/>
        <n v="624"/>
        <n v="430"/>
        <n v="877"/>
        <n v="874"/>
        <n v="197"/>
        <n v="930"/>
        <n v="453"/>
        <n v="10"/>
        <n v="569"/>
        <n v="126"/>
        <n v="374"/>
        <n v="466"/>
        <n v="695"/>
        <n v="888"/>
        <n v="116"/>
        <n v="765"/>
        <n v="94"/>
        <n v="118"/>
        <n v="158"/>
        <n v="820"/>
        <n v="375"/>
        <n v="857"/>
        <n v="928"/>
        <n v="649"/>
        <n v="789"/>
        <n v="354"/>
        <n v="711"/>
        <n v="942"/>
        <n v="745"/>
        <n v="164"/>
        <n v="470"/>
        <n v="690"/>
        <n v="951"/>
        <n v="153"/>
        <n v="590"/>
        <n v="171"/>
        <n v="616"/>
        <n v="675"/>
        <n v="932"/>
        <n v="594"/>
        <n v="701"/>
        <n v="978"/>
        <n v="639"/>
        <n v="746"/>
        <n v="966"/>
        <n v="362"/>
        <n v="163"/>
        <n v="81"/>
        <n v="643"/>
        <n v="592"/>
        <n v="770"/>
        <n v="897"/>
      </sharedItems>
    </cacheField>
    <cacheField name="Comments" numFmtId="0">
      <sharedItems containsSemiMixedTypes="0" containsString="0" containsNumber="1" containsInteger="1" minValue="7" maxValue="500" count="227">
        <n v="13"/>
        <n v="279"/>
        <n v="49"/>
        <n v="19"/>
        <n v="179"/>
        <n v="32"/>
        <n v="38"/>
        <n v="78"/>
        <n v="204"/>
        <n v="57"/>
        <n v="163"/>
        <n v="286"/>
        <n v="20"/>
        <n v="128"/>
        <n v="197"/>
        <n v="129"/>
        <n v="118"/>
        <n v="44"/>
        <n v="10"/>
        <n v="310"/>
        <n v="230"/>
        <n v="341"/>
        <n v="325"/>
        <n v="127"/>
        <n v="373"/>
        <n v="31"/>
        <n v="486"/>
        <n v="434"/>
        <n v="82"/>
        <n v="452"/>
        <n v="85"/>
        <n v="424"/>
        <n v="39"/>
        <n v="380"/>
        <n v="160"/>
        <n v="493"/>
        <n v="442"/>
        <n v="386"/>
        <n v="357"/>
        <n v="101"/>
        <n v="135"/>
        <n v="104"/>
        <n v="71"/>
        <n v="225"/>
        <n v="47"/>
        <n v="86"/>
        <n v="131"/>
        <n v="176"/>
        <n v="177"/>
        <n v="500"/>
        <n v="362"/>
        <n v="174"/>
        <n v="134"/>
        <n v="430"/>
        <n v="274"/>
        <n v="478"/>
        <n v="143"/>
        <n v="285"/>
        <n v="54"/>
        <n v="327"/>
        <n v="395"/>
        <n v="360"/>
        <n v="231"/>
        <n v="99"/>
        <n v="383"/>
        <n v="316"/>
        <n v="295"/>
        <n v="103"/>
        <n v="239"/>
        <n v="152"/>
        <n v="164"/>
        <n v="207"/>
        <n v="260"/>
        <n v="123"/>
        <n v="18"/>
        <n v="320"/>
        <n v="416"/>
        <n v="288"/>
        <n v="335"/>
        <n v="443"/>
        <n v="297"/>
        <n v="340"/>
        <n v="385"/>
        <n v="45"/>
        <n v="150"/>
        <n v="349"/>
        <n v="300"/>
        <n v="7"/>
        <n v="392"/>
        <n v="215"/>
        <n v="171"/>
        <n v="428"/>
        <n v="499"/>
        <n v="33"/>
        <n v="322"/>
        <n v="403"/>
        <n v="342"/>
        <n v="228"/>
        <n v="402"/>
        <n v="219"/>
        <n v="404"/>
        <n v="141"/>
        <n v="329"/>
        <n v="358"/>
        <n v="290"/>
        <n v="244"/>
        <n v="344"/>
        <n v="484"/>
        <n v="387"/>
        <n v="496"/>
        <n v="203"/>
        <n v="70"/>
        <n v="41"/>
        <n v="157"/>
        <n v="375"/>
        <n v="46"/>
        <n v="332"/>
        <n v="56"/>
        <n v="376"/>
        <n v="306"/>
        <n v="241"/>
        <n v="347"/>
        <n v="22"/>
        <n v="240"/>
        <n v="444"/>
        <n v="278"/>
        <n v="268"/>
        <n v="168"/>
        <n v="458"/>
        <n v="206"/>
        <n v="482"/>
        <n v="289"/>
        <n v="169"/>
        <n v="363"/>
        <n v="130"/>
        <n v="423"/>
        <n v="369"/>
        <n v="352"/>
        <n v="366"/>
        <n v="497"/>
        <n v="405"/>
        <n v="8"/>
        <n v="205"/>
        <n v="238"/>
        <n v="37"/>
        <n v="345"/>
        <n v="200"/>
        <n v="291"/>
        <n v="72"/>
        <n v="351"/>
        <n v="377"/>
        <n v="42"/>
        <n v="367"/>
        <n v="488"/>
        <n v="211"/>
        <n v="64"/>
        <n v="90"/>
        <n v="77"/>
        <n v="401"/>
        <n v="202"/>
        <n v="246"/>
        <n v="253"/>
        <n v="117"/>
        <n v="415"/>
        <n v="266"/>
        <n v="216"/>
        <n v="409"/>
        <n v="281"/>
        <n v="35"/>
        <n v="394"/>
        <n v="138"/>
        <n v="36"/>
        <n v="156"/>
        <n v="485"/>
        <n v="350"/>
        <n v="69"/>
        <n v="420"/>
        <n v="243"/>
        <n v="21"/>
        <n v="63"/>
        <n v="472"/>
        <n v="287"/>
        <n v="153"/>
        <n v="413"/>
        <n v="170"/>
        <n v="212"/>
        <n v="393"/>
        <n v="172"/>
        <n v="257"/>
        <n v="355"/>
        <n v="276"/>
        <n v="490"/>
        <n v="321"/>
        <n v="55"/>
        <n v="229"/>
        <n v="270"/>
        <n v="450"/>
        <n v="75"/>
        <n v="111"/>
        <n v="142"/>
        <n v="15"/>
        <n v="333"/>
        <n v="441"/>
        <n v="323"/>
        <n v="379"/>
        <n v="301"/>
        <n v="140"/>
        <n v="470"/>
        <n v="298"/>
        <n v="318"/>
        <n v="149"/>
        <n v="433"/>
        <n v="26"/>
        <n v="275"/>
        <n v="280"/>
        <n v="432"/>
        <n v="324"/>
        <n v="412"/>
        <n v="162"/>
        <n v="43"/>
        <n v="315"/>
        <n v="400"/>
        <n v="398"/>
        <n v="80"/>
        <n v="93"/>
        <n v="183"/>
        <n v="136"/>
      </sharedItems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/>
    </cacheField>
    <cacheField name="Engagement Rate" numFmtId="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 NAVEEN" refreshedDate="46098.44980613426" createdVersion="7" refreshedVersion="7" minRefreshableVersion="3" recordCount="339" xr:uid="{BC3FE319-C98C-49AC-B812-E0DC2ED2EFE7}">
  <cacheSource type="worksheet">
    <worksheetSource ref="A1:N340" sheet="TASK 2(1.1)"/>
  </cacheSource>
  <cacheFields count="14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  <cacheField name="Campaign_Name" numFmtId="0">
      <sharedItems containsBlank="1"/>
    </cacheField>
    <cacheField name="Engagement Rate" numFmtId="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 NAVEEN" refreshedDate="46098.693977199073" createdVersion="7" refreshedVersion="7" minRefreshableVersion="3" recordCount="200" xr:uid="{B1920B1A-F07B-464A-8B6F-A273116A4BBC}">
  <cacheSource type="worksheet">
    <worksheetSource ref="A1:G201" sheet="Engagement Summary"/>
  </cacheSource>
  <cacheFields count="7">
    <cacheField name="Week_Start_Date" numFmtId="0">
      <sharedItems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 count="191">
        <n v="1135"/>
        <n v="1312"/>
        <n v="584"/>
        <n v="1535"/>
        <n v="656"/>
        <n v="1697"/>
        <n v="436"/>
        <n v="1197"/>
        <n v="1048"/>
        <n v="1753"/>
        <n v="1335"/>
        <n v="403"/>
        <n v="911"/>
        <n v="1779"/>
        <n v="1238"/>
        <n v="308"/>
        <n v="226"/>
        <n v="505"/>
        <n v="1420"/>
        <n v="144"/>
        <n v="1757"/>
        <n v="350"/>
        <n v="987"/>
        <n v="883"/>
        <n v="1960"/>
        <n v="170"/>
        <n v="704"/>
        <n v="224"/>
        <n v="508"/>
        <n v="1391"/>
        <n v="1701"/>
        <n v="804"/>
        <n v="653"/>
        <n v="160"/>
        <n v="1756"/>
        <n v="576"/>
        <n v="645"/>
        <n v="214"/>
        <n v="826"/>
        <n v="460"/>
        <n v="1528"/>
        <n v="1534"/>
        <n v="485"/>
        <n v="1210"/>
        <n v="215"/>
        <n v="1078"/>
        <n v="1751"/>
        <n v="221"/>
        <n v="1685"/>
        <n v="248"/>
        <n v="1300"/>
        <n v="422"/>
        <n v="1429"/>
        <n v="1520"/>
        <n v="557"/>
        <n v="728"/>
        <n v="1592"/>
        <n v="1842"/>
        <n v="751"/>
        <n v="1409"/>
        <n v="778"/>
        <n v="443"/>
        <n v="1472"/>
        <n v="123"/>
        <n v="817"/>
        <n v="198"/>
        <n v="1911"/>
        <n v="1218"/>
        <n v="1433"/>
        <n v="250"/>
        <n v="752"/>
        <n v="1918"/>
        <n v="1939"/>
        <n v="1929"/>
        <n v="437"/>
        <n v="307"/>
        <n v="1527"/>
        <n v="643"/>
        <n v="201"/>
        <n v="414"/>
        <n v="703"/>
        <n v="697"/>
        <n v="1707"/>
        <n v="642"/>
        <n v="859"/>
        <n v="191"/>
        <n v="1814"/>
        <n v="1466"/>
        <n v="947"/>
        <n v="1821"/>
        <n v="1507"/>
        <n v="1075"/>
        <n v="171"/>
        <n v="1487"/>
        <n v="454"/>
        <n v="187"/>
        <n v="513"/>
        <n v="628"/>
        <n v="278"/>
        <n v="1854"/>
        <n v="1710"/>
        <n v="330"/>
        <n v="1293"/>
        <n v="1696"/>
        <n v="1902"/>
        <n v="1441"/>
        <n v="452"/>
        <n v="1494"/>
        <n v="1514"/>
        <n v="1937"/>
        <n v="736"/>
        <n v="1502"/>
        <n v="1623"/>
        <n v="1004"/>
        <n v="1092"/>
        <n v="1155"/>
        <n v="1137"/>
        <n v="1900"/>
        <n v="1980"/>
        <n v="1786"/>
        <n v="1495"/>
        <n v="1013"/>
        <n v="816"/>
        <n v="1633"/>
        <n v="891"/>
        <n v="1855"/>
        <n v="651"/>
        <n v="118"/>
        <n v="1331"/>
        <n v="1748"/>
        <n v="663"/>
        <n v="1040"/>
        <n v="1166"/>
        <n v="115"/>
        <n v="1249"/>
        <n v="1501"/>
        <n v="1411"/>
        <n v="1556"/>
        <n v="1159"/>
        <n v="927"/>
        <n v="152"/>
        <n v="1957"/>
        <n v="1294"/>
        <n v="1587"/>
        <n v="1138"/>
        <n v="1895"/>
        <n v="362"/>
        <n v="1662"/>
        <n v="1440"/>
        <n v="1884"/>
        <n v="861"/>
        <n v="1063"/>
        <n v="1371"/>
        <n v="345"/>
        <n v="946"/>
        <n v="510"/>
        <n v="393"/>
        <n v="1098"/>
        <n v="1399"/>
        <n v="1658"/>
        <n v="1102"/>
        <n v="1358"/>
        <n v="1077"/>
        <n v="1596"/>
        <n v="490"/>
        <n v="609"/>
        <n v="364"/>
        <n v="442"/>
        <n v="1033"/>
        <n v="988"/>
        <n v="1946"/>
        <n v="559"/>
        <n v="1307"/>
        <n v="1432"/>
        <n v="623"/>
        <n v="353"/>
        <n v="520"/>
        <n v="961"/>
        <n v="1375"/>
        <n v="1147"/>
        <n v="1693"/>
        <n v="833"/>
        <n v="1222"/>
        <n v="777"/>
        <n v="405"/>
        <n v="1581"/>
        <n v="1035"/>
        <n v="1765"/>
        <n v="837"/>
        <n v="337"/>
        <n v="119"/>
      </sharedItems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 count="200">
        <n v="344084"/>
        <n v="42654"/>
        <n v="146834"/>
        <n v="395536"/>
        <n v="49157"/>
        <n v="316555"/>
        <n v="254347"/>
        <n v="413878"/>
        <n v="456946"/>
        <n v="169496"/>
        <n v="122732"/>
        <n v="382851"/>
        <n v="35664"/>
        <n v="26295"/>
        <n v="298421"/>
        <n v="426184"/>
        <n v="419447"/>
        <n v="220020"/>
        <n v="315305"/>
        <n v="113678"/>
        <n v="58223"/>
        <n v="251694"/>
        <n v="389810"/>
        <n v="233694"/>
        <n v="154169"/>
        <n v="334626"/>
        <n v="226002"/>
        <n v="156683"/>
        <n v="473812"/>
        <n v="295032"/>
        <n v="198278"/>
        <n v="306564"/>
        <n v="23664"/>
        <n v="435034"/>
        <n v="287574"/>
        <n v="62499"/>
        <n v="437968"/>
        <n v="125034"/>
        <n v="449994"/>
        <n v="320650"/>
        <n v="489188"/>
        <n v="307612"/>
        <n v="434883"/>
        <n v="102042"/>
        <n v="325444"/>
        <n v="183924"/>
        <n v="188655"/>
        <n v="87443"/>
        <n v="453799"/>
        <n v="379380"/>
        <n v="186454"/>
        <n v="239044"/>
        <n v="101332"/>
        <n v="496982"/>
        <n v="318779"/>
        <n v="370971"/>
        <n v="378054"/>
        <n v="307524"/>
        <n v="434047"/>
        <n v="64583"/>
        <n v="50793"/>
        <n v="474162"/>
        <n v="392355"/>
        <n v="119934"/>
        <n v="422625"/>
        <n v="239753"/>
        <n v="268516"/>
        <n v="63177"/>
        <n v="370269"/>
        <n v="453423"/>
        <n v="64906"/>
        <n v="94360"/>
        <n v="187183"/>
        <n v="379363"/>
        <n v="476486"/>
        <n v="117767"/>
        <n v="388555"/>
        <n v="157599"/>
        <n v="309772"/>
        <n v="199178"/>
        <n v="357089"/>
        <n v="23492"/>
        <n v="258287"/>
        <n v="256910"/>
        <n v="346522"/>
        <n v="209987"/>
        <n v="240550"/>
        <n v="305827"/>
        <n v="54935"/>
        <n v="319186"/>
        <n v="439080"/>
        <n v="258944"/>
        <n v="51395"/>
        <n v="309483"/>
        <n v="87305"/>
        <n v="121091"/>
        <n v="51087"/>
        <n v="338847"/>
        <n v="487523"/>
        <n v="301695"/>
        <n v="282466"/>
        <n v="336661"/>
        <n v="88455"/>
        <n v="62535"/>
        <n v="421957"/>
        <n v="470269"/>
        <n v="309904"/>
        <n v="221274"/>
        <n v="220616"/>
        <n v="35842"/>
        <n v="20607"/>
        <n v="451894"/>
        <n v="465553"/>
        <n v="415815"/>
        <n v="327183"/>
        <n v="488901"/>
        <n v="280795"/>
        <n v="93347"/>
        <n v="81119"/>
        <n v="25177"/>
        <n v="140804"/>
        <n v="379431"/>
        <n v="274831"/>
        <n v="136845"/>
        <n v="466382"/>
        <n v="95728"/>
        <n v="371156"/>
        <n v="95410"/>
        <n v="349413"/>
        <n v="224699"/>
        <n v="487896"/>
        <n v="14437"/>
        <n v="383681"/>
        <n v="479490"/>
        <n v="124404"/>
        <n v="336949"/>
        <n v="357265"/>
        <n v="321307"/>
        <n v="262569"/>
        <n v="461669"/>
        <n v="351556"/>
        <n v="135987"/>
        <n v="177554"/>
        <n v="270766"/>
        <n v="222126"/>
        <n v="309914"/>
        <n v="126582"/>
        <n v="485280"/>
        <n v="453243"/>
        <n v="104967"/>
        <n v="145608"/>
        <n v="105980"/>
        <n v="126524"/>
        <n v="230448"/>
        <n v="317007"/>
        <n v="464239"/>
        <n v="257579"/>
        <n v="366881"/>
        <n v="466575"/>
        <n v="224534"/>
        <n v="462142"/>
        <n v="340842"/>
        <n v="12471"/>
        <n v="98397"/>
        <n v="410330"/>
        <n v="342129"/>
        <n v="12447"/>
        <n v="17380"/>
        <n v="364810"/>
        <n v="373606"/>
        <n v="211090"/>
        <n v="441931"/>
        <n v="282780"/>
        <n v="370070"/>
        <n v="198350"/>
        <n v="435726"/>
        <n v="78789"/>
        <n v="98596"/>
        <n v="29589"/>
        <n v="290354"/>
        <n v="66682"/>
        <n v="70707"/>
        <n v="142507"/>
        <n v="369525"/>
        <n v="62942"/>
        <n v="377382"/>
        <n v="333851"/>
        <n v="270958"/>
        <n v="445944"/>
        <n v="224830"/>
        <n v="487289"/>
        <n v="11435"/>
        <n v="447902"/>
        <n v="418696"/>
        <n v="484364"/>
        <n v="148477"/>
        <n v="468301"/>
        <n v="364820"/>
        <n v="456298"/>
        <n v="82558"/>
      </sharedItems>
    </cacheField>
    <cacheField name="Engagement_Rate" numFmtId="0">
      <sharedItems containsSemiMixedTypes="0" containsString="0" containsNumber="1" minValue="1.53" maxValue="9.48" count="172">
        <n v="8.06"/>
        <n v="4.9800000000000004"/>
        <n v="8.31"/>
        <n v="4.1100000000000003"/>
        <n v="9.0500000000000007"/>
        <n v="2.37"/>
        <n v="4.01"/>
        <n v="3.16"/>
        <n v="2.46"/>
        <n v="8.11"/>
        <n v="8.19"/>
        <n v="3.49"/>
        <n v="6.92"/>
        <n v="9.1199999999999992"/>
        <n v="3.5"/>
        <n v="2.62"/>
        <n v="9.36"/>
        <n v="4.4800000000000004"/>
        <n v="6.19"/>
        <n v="8.7200000000000006"/>
        <n v="8.74"/>
        <n v="1.91"/>
        <n v="4.66"/>
        <n v="2.88"/>
        <n v="3.74"/>
        <n v="6.44"/>
        <n v="8.56"/>
        <n v="4.5599999999999996"/>
        <n v="7.88"/>
        <n v="7.86"/>
        <n v="5.34"/>
        <n v="5.52"/>
        <n v="4.05"/>
        <n v="7.73"/>
        <n v="4.3600000000000003"/>
        <n v="3.48"/>
        <n v="7.83"/>
        <n v="6.11"/>
        <n v="9.43"/>
        <n v="4.04"/>
        <n v="6.23"/>
        <n v="6.01"/>
        <n v="8.5500000000000007"/>
        <n v="5.42"/>
        <n v="3.25"/>
        <n v="8.84"/>
        <n v="7.24"/>
        <n v="5.71"/>
        <n v="9.0399999999999991"/>
        <n v="3.91"/>
        <n v="7.16"/>
        <n v="6.41"/>
        <n v="8.02"/>
        <n v="3.86"/>
        <n v="9.09"/>
        <n v="1.76"/>
        <n v="9.24"/>
        <n v="8.99"/>
        <n v="3.4"/>
        <n v="9.1999999999999993"/>
        <n v="8.59"/>
        <n v="2.36"/>
        <n v="7.36"/>
        <n v="8.1300000000000008"/>
        <n v="3.3"/>
        <n v="1.77"/>
        <n v="2.09"/>
        <n v="6.25"/>
        <n v="1.75"/>
        <n v="4.97"/>
        <n v="9.3000000000000007"/>
        <n v="8.9"/>
        <n v="3.88"/>
        <n v="5.9"/>
        <n v="1.53"/>
        <n v="6.5"/>
        <n v="8.25"/>
        <n v="5.41"/>
        <n v="5.85"/>
        <n v="4.46"/>
        <n v="5.22"/>
        <n v="1.99"/>
        <n v="6.85"/>
        <n v="3.32"/>
        <n v="5.68"/>
        <n v="6.08"/>
        <n v="8.6999999999999993"/>
        <n v="7.97"/>
        <n v="9.41"/>
        <n v="2.68"/>
        <n v="7.32"/>
        <n v="4.68"/>
        <n v="5.17"/>
        <n v="6.2"/>
        <n v="2.69"/>
        <n v="3.79"/>
        <n v="4.79"/>
        <n v="6.37"/>
        <n v="2.65"/>
        <n v="1.81"/>
        <n v="7.47"/>
        <n v="4.2"/>
        <n v="5.43"/>
        <n v="6.66"/>
        <n v="8.09"/>
        <n v="8.44"/>
        <n v="2.02"/>
        <n v="7.74"/>
        <n v="2.89"/>
        <n v="3.09"/>
        <n v="5.3"/>
        <n v="8.1999999999999993"/>
        <n v="2.2200000000000002"/>
        <n v="8.33"/>
        <n v="5.61"/>
        <n v="2.56"/>
        <n v="3.29"/>
        <n v="4.51"/>
        <n v="5.23"/>
        <n v="9.23"/>
        <n v="2.0099999999999998"/>
        <n v="3.72"/>
        <n v="3.89"/>
        <n v="6.95"/>
        <n v="9.48"/>
        <n v="4.6100000000000003"/>
        <n v="8.0299999999999994"/>
        <n v="6.99"/>
        <n v="9.0299999999999994"/>
        <n v="2.86"/>
        <n v="3.85"/>
        <n v="7.3"/>
        <n v="9.08"/>
        <n v="4.34"/>
        <n v="7.8"/>
        <n v="6.58"/>
        <n v="8.6199999999999992"/>
        <n v="4.55"/>
        <n v="9.4"/>
        <n v="7.23"/>
        <n v="9.39"/>
        <n v="5.12"/>
        <n v="4.9400000000000004"/>
        <n v="1.8"/>
        <n v="8.64"/>
        <n v="8.52"/>
        <n v="5.53"/>
        <n v="1.87"/>
        <n v="6.27"/>
        <n v="9.4600000000000009"/>
        <n v="7.5"/>
        <n v="4.7300000000000004"/>
        <n v="3.19"/>
        <n v="2.4900000000000002"/>
        <n v="4.5"/>
        <n v="6.49"/>
        <n v="6.73"/>
        <n v="4.83"/>
        <n v="6.54"/>
        <n v="6.8"/>
        <n v="2.6"/>
        <n v="2.44"/>
        <n v="5.69"/>
        <n v="1.6"/>
        <n v="6.09"/>
        <n v="5.59"/>
        <n v="3.55"/>
        <n v="5.21"/>
        <n v="1.82"/>
        <n v="4"/>
        <n v="7.57"/>
        <n v="6.81"/>
      </sharedItems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 NAVEEN" refreshedDate="46098.700502199077" createdVersion="7" refreshedVersion="7" minRefreshableVersion="3" recordCount="200" xr:uid="{2172781E-4413-4BB3-8763-9405D995D011}">
  <cacheSource type="worksheet">
    <worksheetSource ref="A1:H201" sheet="Engagement Summary"/>
  </cacheSource>
  <cacheFields count="8">
    <cacheField name="Week_Start_Date" numFmtId="0">
      <sharedItems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_Growth" numFmtId="0">
      <sharedItems containsSemiMixedTypes="0" containsString="0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 NAVEEN" refreshedDate="46098.743588425925" createdVersion="7" refreshedVersion="7" minRefreshableVersion="3" recordCount="16950" xr:uid="{56684D73-9F23-495A-8AD3-2A49A76AF645}">
  <cacheSource type="worksheet">
    <worksheetSource name="Task_7"/>
  </cacheSource>
  <cacheFields count="14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Carousel"/>
        <s v="Image"/>
        <s v="Video"/>
        <s v="Story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  <cacheField name="Campaign_Name" numFmtId="0">
      <sharedItems containsBlank="1"/>
    </cacheField>
    <cacheField name="Task 6.Engagement_Rate" numFmtId="0">
      <sharedItems containsSemiMixedTypes="0" containsString="0" containsNumber="1" minValue="1.53" maxValue="9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 NAVEEN" refreshedDate="46101.900659837964" createdVersion="7" refreshedVersion="7" minRefreshableVersion="3" recordCount="301" xr:uid="{DE90B644-EF31-4106-B1BE-187D5C01C9AA}">
  <cacheSource type="worksheet">
    <worksheetSource name="Posts7"/>
  </cacheSource>
  <cacheFields count="17">
    <cacheField name="Post ID" numFmtId="0">
      <sharedItems containsBlank="1"/>
    </cacheField>
    <cacheField name="Platform" numFmtId="0">
      <sharedItems containsBlank="1"/>
    </cacheField>
    <cacheField name="Date" numFmtId="14">
      <sharedItems containsNonDate="0" containsDate="1" containsString="0" containsBlank="1" minDate="2024-06-01T00:00:00" maxDate="2025-05-15T00:00:00"/>
    </cacheField>
    <cacheField name="Content Type" numFmtId="0">
      <sharedItems containsBlank="1"/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" numFmtId="0">
      <sharedItems containsBlank="1"/>
    </cacheField>
    <cacheField name="Campaign_Name" numFmtId="0">
      <sharedItems containsBlank="1" count="5">
        <s v="CybertruckLaunch"/>
        <s v="ModelYCampaign"/>
        <s v="SustainabilityDrive"/>
        <s v="FSDUpdate"/>
        <m/>
      </sharedItems>
    </cacheField>
    <cacheField name="Sheet5.Total_Followers_Gained" numFmtId="0">
      <sharedItems containsString="0" containsBlank="1" containsNumber="1" containsInteger="1" minValue="47471" maxValue="58311"/>
    </cacheField>
    <cacheField name="Sheet5.Total_Unfollows" numFmtId="0">
      <sharedItems containsString="0" containsBlank="1" containsNumber="1" containsInteger="1" minValue="10307" maxValue="15305"/>
    </cacheField>
    <cacheField name="Sheet5.Avg_Engagement" numFmtId="0">
      <sharedItems containsString="0" containsBlank="1" containsNumber="1" minValue="5.5587999999999997" maxValue="5.7155999999999993"/>
    </cacheField>
    <cacheField name="Sheet5.Total_Ad_Spend" numFmtId="0">
      <sharedItems containsString="0" containsBlank="1" containsNumber="1" containsInteger="1" minValue="1060357" maxValue="13795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 NAVEEN" refreshedDate="46101.909398611111" createdVersion="7" refreshedVersion="7" minRefreshableVersion="3" recordCount="300" xr:uid="{7D66CAFD-436A-4D8D-8446-9DF5A5358CF6}">
  <cacheSource type="worksheet">
    <worksheetSource ref="A1:S301" sheet="TASK 5(1)"/>
  </cacheSource>
  <cacheFields count="19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 count="5">
        <s v="CybertruckLaunch"/>
        <s v="ModelYCampaign"/>
        <s v="SustainabilityDrive"/>
        <s v="FSDUpdate"/>
        <m/>
      </sharedItems>
    </cacheField>
    <cacheField name="Sheet5.Total_Followers_Gained" numFmtId="0">
      <sharedItems containsSemiMixedTypes="0" containsString="0" containsNumber="1" containsInteger="1" minValue="47471" maxValue="58311"/>
    </cacheField>
    <cacheField name="Sheet5.Total_Unfollows" numFmtId="0">
      <sharedItems containsSemiMixedTypes="0" containsString="0" containsNumber="1" containsInteger="1" minValue="10307" maxValue="15305"/>
    </cacheField>
    <cacheField name="Sheet5.Avg_Engagement" numFmtId="0">
      <sharedItems containsSemiMixedTypes="0" containsString="0" containsNumber="1" minValue="5.5587999999999997" maxValue="5.7155999999999993"/>
    </cacheField>
    <cacheField name="Sheet5.Total_Ad_Spend" numFmtId="0">
      <sharedItems containsSemiMixedTypes="0" containsString="0" containsNumber="1" containsInteger="1" minValue="1060357" maxValue="1379539"/>
    </cacheField>
    <cacheField name="ROI" numFmtId="0">
      <sharedItems containsSemiMixedTypes="0" containsString="0" containsNumber="1" minValue="8.2447806673634647E-5" maxValue="4.7917823902704467E-3"/>
    </cacheField>
    <cacheField name="sum o fgrowth" numFmtId="0">
      <sharedItems containsSemiMixedTypes="0" containsString="0" containsNumber="1" containsInteger="1" minValue="35367" maxValue="48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 NAVEEN" refreshedDate="46101.931141550929" createdVersion="7" refreshedVersion="7" minRefreshableVersion="3" recordCount="300" xr:uid="{231D7A6C-E693-4707-A7A4-30A1CF68C4C4}">
  <cacheSource type="worksheet">
    <worksheetSource ref="A1:U301" sheet="TASK 6(1)"/>
  </cacheSource>
  <cacheFields count="21">
    <cacheField name="Post ID" numFmtId="0">
      <sharedItems/>
    </cacheField>
    <cacheField name="Platform" numFmtId="0">
      <sharedItems count="4">
        <s v="Twitter"/>
        <s v="Instagram"/>
        <s v="YouTube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/>
    </cacheField>
    <cacheField name="Sheet5.Total_Followers_Gained" numFmtId="0">
      <sharedItems containsSemiMixedTypes="0" containsString="0" containsNumber="1" containsInteger="1" minValue="47471" maxValue="58311"/>
    </cacheField>
    <cacheField name="Sheet5.Total_Unfollows" numFmtId="0">
      <sharedItems containsSemiMixedTypes="0" containsString="0" containsNumber="1" containsInteger="1" minValue="10307" maxValue="15305"/>
    </cacheField>
    <cacheField name="Sheet5.Avg_Engagement" numFmtId="0">
      <sharedItems containsSemiMixedTypes="0" containsString="0" containsNumber="1" minValue="5.5587999999999997" maxValue="5.7155999999999993"/>
    </cacheField>
    <cacheField name="Sheet5.Total_Ad_Spend" numFmtId="0">
      <sharedItems containsSemiMixedTypes="0" containsString="0" containsNumber="1" containsInteger="1" minValue="1060357" maxValue="1379539" count="4">
        <n v="1060357"/>
        <n v="1164373"/>
        <n v="1228647"/>
        <n v="1379539"/>
      </sharedItems>
    </cacheField>
    <cacheField name="ROI" numFmtId="0">
      <sharedItems containsSemiMixedTypes="0" containsString="0" containsNumber="1" minValue="8.2447806673634647E-5" maxValue="4.7917823902704467E-3"/>
    </cacheField>
    <cacheField name="growth_of_followers" numFmtId="0">
      <sharedItems containsSemiMixedTypes="0" containsString="0" containsNumber="1" containsInteger="1" minValue="35367" maxValue="48004" count="4">
        <n v="41177"/>
        <n v="48004"/>
        <n v="35367"/>
        <n v="35557"/>
      </sharedItems>
    </cacheField>
    <cacheField name="Week" numFmtId="0">
      <sharedItems containsSemiMixedTypes="0" containsString="0" containsNumber="1" containsInteger="1" minValue="1" maxValue="53" count="52">
        <n v="52"/>
        <n v="14"/>
        <n v="33"/>
        <n v="20"/>
        <n v="26"/>
        <n v="44"/>
        <n v="28"/>
        <n v="35"/>
        <n v="11"/>
        <n v="6"/>
        <n v="30"/>
        <n v="47"/>
        <n v="8"/>
        <n v="43"/>
        <n v="19"/>
        <n v="34"/>
        <n v="37"/>
        <n v="1"/>
        <n v="9"/>
        <n v="45"/>
        <n v="4"/>
        <n v="15"/>
        <n v="38"/>
        <n v="10"/>
        <n v="5"/>
        <n v="51"/>
        <n v="31"/>
        <n v="13"/>
        <n v="48"/>
        <n v="16"/>
        <n v="2"/>
        <n v="50"/>
        <n v="18"/>
        <n v="24"/>
        <n v="27"/>
        <n v="25"/>
        <n v="36"/>
        <n v="42"/>
        <n v="41"/>
        <n v="23"/>
        <n v="7"/>
        <n v="32"/>
        <n v="40"/>
        <n v="46"/>
        <n v="12"/>
        <n v="17"/>
        <n v="29"/>
        <n v="49"/>
        <n v="53"/>
        <n v="3"/>
        <n v="22"/>
        <n v="39"/>
      </sharedItems>
    </cacheField>
    <cacheField name="Moving Average" numFmtId="0">
      <sharedItems containsSemiMixedTypes="0" containsString="0" containsNumber="1" minValue="35367" maxValue="48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">
  <r>
    <s v="P063"/>
    <x v="0"/>
    <d v="2024-07-31T00:00:00"/>
    <x v="0"/>
    <s v="Check out our latest carousel on twitter!"/>
    <x v="0"/>
    <x v="0"/>
    <x v="0"/>
    <n v="90140"/>
    <n v="89591"/>
    <n v="125"/>
    <s v="#FutureOfDriving"/>
    <s v="FSDUpdate"/>
    <n v="5.2551586421122697E-2"/>
  </r>
  <r>
    <s v="P176"/>
    <x v="1"/>
    <d v="2024-06-20T00:00:00"/>
    <x v="1"/>
    <s v="Check out our latest video on facebook!"/>
    <x v="1"/>
    <x v="1"/>
    <x v="1"/>
    <n v="75960"/>
    <n v="75813"/>
    <n v="266"/>
    <s v="#TeslaCoInnovation"/>
    <s v="CybertruckLaunch"/>
    <n v="5.4081095313322801E-2"/>
  </r>
  <r>
    <s v="P003"/>
    <x v="2"/>
    <d v="2025-05-12T00:00:00"/>
    <x v="2"/>
    <s v="Check out our latest reel on youtube!"/>
    <x v="2"/>
    <x v="2"/>
    <x v="2"/>
    <n v="53105"/>
    <n v="52307"/>
    <n v="204"/>
    <s v="#TeslaCoInnovation"/>
    <s v="FSDUpdate"/>
    <n v="5.5531494209584788E-2"/>
  </r>
  <r>
    <s v="P190"/>
    <x v="2"/>
    <d v="2024-10-04T00:00:00"/>
    <x v="3"/>
    <s v="Check out our latest text on youtube!"/>
    <x v="3"/>
    <x v="3"/>
    <x v="3"/>
    <n v="39260"/>
    <n v="38771"/>
    <n v="145"/>
    <s v="#FutureOfDriving"/>
    <m/>
    <n v="5.5909322465613857E-2"/>
  </r>
  <r>
    <s v="P145"/>
    <x v="3"/>
    <d v="2024-08-12T00:00:00"/>
    <x v="0"/>
    <s v="Check out our latest carousel on instagram!"/>
    <x v="4"/>
    <x v="4"/>
    <x v="4"/>
    <n v="37560"/>
    <n v="36874"/>
    <n v="142"/>
    <s v="#TeslaCoInnovation"/>
    <s v="SustainabilityDrive"/>
    <n v="5.6416400425985093E-2"/>
  </r>
  <r>
    <s v="P225"/>
    <x v="0"/>
    <d v="2024-06-20T00:00:00"/>
    <x v="0"/>
    <s v="Check out our latest carousel on twitter!"/>
    <x v="5"/>
    <x v="5"/>
    <x v="5"/>
    <n v="88768"/>
    <n v="87833"/>
    <n v="118"/>
    <s v="#EVRevolution"/>
    <m/>
    <n v="5.6653298485940883E-2"/>
  </r>
  <r>
    <s v="P203"/>
    <x v="3"/>
    <d v="2024-11-21T00:00:00"/>
    <x v="0"/>
    <s v="Check out our latest carousel on instagram!"/>
    <x v="6"/>
    <x v="6"/>
    <x v="6"/>
    <n v="71687"/>
    <n v="71447"/>
    <n v="286"/>
    <s v="#FutureOfDriving"/>
    <s v="CybertruckLaunch"/>
    <n v="5.7332570758993957E-2"/>
  </r>
  <r>
    <s v="P030"/>
    <x v="3"/>
    <d v="2025-02-25T00:00:00"/>
    <x v="1"/>
    <s v="Check out our latest video on instagram!"/>
    <x v="7"/>
    <x v="7"/>
    <x v="7"/>
    <n v="55710"/>
    <n v="54808"/>
    <n v="93"/>
    <s v="#EVRevolution"/>
    <m/>
    <n v="5.7655717106444085E-2"/>
  </r>
  <r>
    <s v="P256"/>
    <x v="2"/>
    <d v="2024-09-18T00:00:00"/>
    <x v="0"/>
    <s v="Check out our latest carousel on youtube!"/>
    <x v="8"/>
    <x v="8"/>
    <x v="8"/>
    <n v="40717"/>
    <n v="40125"/>
    <n v="248"/>
    <s v="#EVRevolution"/>
    <s v="ModelYCampaign"/>
    <n v="5.7936488444630008E-2"/>
  </r>
  <r>
    <s v="P283"/>
    <x v="0"/>
    <d v="2025-05-09T00:00:00"/>
    <x v="2"/>
    <s v="Check out our latest reel on twitter!"/>
    <x v="9"/>
    <x v="9"/>
    <x v="9"/>
    <n v="63973"/>
    <n v="63789"/>
    <n v="157"/>
    <s v="#FutureOfDriving"/>
    <s v="ModelYCampaign"/>
    <n v="5.8243321401216137E-2"/>
  </r>
  <r>
    <s v="P216"/>
    <x v="2"/>
    <d v="2024-07-29T00:00:00"/>
    <x v="4"/>
    <s v="Check out our latest story on youtube!"/>
    <x v="10"/>
    <x v="10"/>
    <x v="10"/>
    <n v="30180"/>
    <n v="29689"/>
    <n v="119"/>
    <s v="#EVRevolution"/>
    <s v="ModelYCampaign"/>
    <n v="5.8316766070245198E-2"/>
  </r>
  <r>
    <s v="P298"/>
    <x v="1"/>
    <d v="2024-10-24T00:00:00"/>
    <x v="5"/>
    <s v="Check out our latest image on facebook!"/>
    <x v="11"/>
    <x v="11"/>
    <x v="11"/>
    <n v="86060"/>
    <n v="85823"/>
    <n v="14"/>
    <s v="#TeslaCoInnovation"/>
    <s v="FSDUpdate"/>
    <n v="5.8563792702765516E-2"/>
  </r>
  <r>
    <s v="P296"/>
    <x v="0"/>
    <d v="2025-02-11T00:00:00"/>
    <x v="1"/>
    <s v="Check out our latest video on twitter!"/>
    <x v="12"/>
    <x v="12"/>
    <x v="12"/>
    <n v="58480"/>
    <n v="58146"/>
    <n v="210"/>
    <s v="#TeslaCoInnovation"/>
    <s v="SustainabilityDrive"/>
    <n v="5.9387824897400819E-2"/>
  </r>
  <r>
    <s v="P296"/>
    <x v="0"/>
    <d v="2025-02-11T00:00:00"/>
    <x v="1"/>
    <s v="Check out our latest video on twitter!"/>
    <x v="12"/>
    <x v="12"/>
    <x v="12"/>
    <n v="58480"/>
    <n v="58146"/>
    <n v="210"/>
    <s v="#SmoothLikeNitroTesla"/>
    <s v="SustainabilityDrive"/>
    <n v="5.9387824897400819E-2"/>
  </r>
  <r>
    <s v="P015"/>
    <x v="1"/>
    <d v="2024-10-24T00:00:00"/>
    <x v="1"/>
    <s v="Check out our latest video on facebook!"/>
    <x v="13"/>
    <x v="13"/>
    <x v="13"/>
    <n v="77760"/>
    <n v="77167"/>
    <n v="20"/>
    <s v="#FutureOfDriving"/>
    <s v="CybertruckLaunch"/>
    <n v="5.941358024691358E-2"/>
  </r>
  <r>
    <s v="P025"/>
    <x v="0"/>
    <d v="2025-04-10T00:00:00"/>
    <x v="0"/>
    <s v="Check out our latest carousel on twitter!"/>
    <x v="14"/>
    <x v="14"/>
    <x v="14"/>
    <n v="59432"/>
    <n v="59182"/>
    <n v="238"/>
    <s v="#EVRevolution"/>
    <m/>
    <n v="5.9496567505720827E-2"/>
  </r>
  <r>
    <s v="P279"/>
    <x v="2"/>
    <d v="2024-09-02T00:00:00"/>
    <x v="5"/>
    <s v="Check out our latest image on youtube!"/>
    <x v="15"/>
    <x v="15"/>
    <x v="15"/>
    <n v="98100"/>
    <n v="97772"/>
    <n v="279"/>
    <s v="#TeslaCoInnovation"/>
    <s v="ModelYCampaign"/>
    <n v="5.9928644240570844E-2"/>
  </r>
  <r>
    <s v="P223"/>
    <x v="0"/>
    <d v="2024-11-12T00:00:00"/>
    <x v="5"/>
    <s v="Check out our latest image on twitter!"/>
    <x v="16"/>
    <x v="16"/>
    <x v="16"/>
    <n v="60084"/>
    <n v="59842"/>
    <n v="252"/>
    <s v="#TeslaCoInnovation"/>
    <m/>
    <n v="6.2129685107516146E-2"/>
  </r>
  <r>
    <s v="P115"/>
    <x v="0"/>
    <d v="2025-05-11T00:00:00"/>
    <x v="5"/>
    <s v="Check out our latest image on twitter!"/>
    <x v="17"/>
    <x v="17"/>
    <x v="17"/>
    <n v="42381"/>
    <n v="41991"/>
    <n v="242"/>
    <s v="#TeslaCoInnovation"/>
    <s v="SustainabilityDrive"/>
    <n v="6.2150491965739366E-2"/>
  </r>
  <r>
    <s v="P115"/>
    <x v="0"/>
    <d v="2025-05-11T00:00:00"/>
    <x v="5"/>
    <s v="Check out our latest image on twitter!"/>
    <x v="17"/>
    <x v="17"/>
    <x v="17"/>
    <n v="42381"/>
    <n v="41991"/>
    <n v="242"/>
    <s v="#AnytimeIsTeslaTime"/>
    <s v="SustainabilityDrive"/>
    <n v="6.2150491965739366E-2"/>
  </r>
  <r>
    <s v="P107"/>
    <x v="2"/>
    <d v="2024-06-21T00:00:00"/>
    <x v="5"/>
    <s v="Check out our latest image on youtube!"/>
    <x v="18"/>
    <x v="18"/>
    <x v="18"/>
    <n v="91808"/>
    <n v="91296"/>
    <n v="182"/>
    <s v="#TeslaCoInnovation"/>
    <m/>
    <n v="6.2467323109097243E-2"/>
  </r>
  <r>
    <s v="P200"/>
    <x v="1"/>
    <d v="2025-04-07T00:00:00"/>
    <x v="2"/>
    <s v="Check out our latest reel on facebook!"/>
    <x v="19"/>
    <x v="19"/>
    <x v="19"/>
    <n v="70642"/>
    <n v="69749"/>
    <n v="233"/>
    <s v="#TeslaCoInnovation"/>
    <s v="ModelYCampaign"/>
    <n v="6.246991874522239E-2"/>
  </r>
  <r>
    <s v="P217"/>
    <x v="1"/>
    <d v="2024-12-03T00:00:00"/>
    <x v="5"/>
    <s v="Check out our latest image on facebook!"/>
    <x v="20"/>
    <x v="20"/>
    <x v="20"/>
    <n v="92120"/>
    <n v="91440"/>
    <n v="56"/>
    <s v="#TeslaCoInnovation"/>
    <m/>
    <n v="6.2603126356925748E-2"/>
  </r>
  <r>
    <s v="P281"/>
    <x v="2"/>
    <d v="2025-03-22T00:00:00"/>
    <x v="5"/>
    <s v="Check out our latest image on youtube!"/>
    <x v="21"/>
    <x v="21"/>
    <x v="21"/>
    <n v="56988"/>
    <n v="56125"/>
    <n v="135"/>
    <s v="#EVRevolution"/>
    <s v="ModelYCampaign"/>
    <n v="6.3118551273952411E-2"/>
  </r>
  <r>
    <s v="P150"/>
    <x v="2"/>
    <d v="2024-08-22T00:00:00"/>
    <x v="0"/>
    <s v="Check out our latest carousel on youtube!"/>
    <x v="22"/>
    <x v="22"/>
    <x v="22"/>
    <n v="85900"/>
    <n v="85788"/>
    <n v="290"/>
    <s v="#TeslaCoInnovation"/>
    <s v="SustainabilityDrive"/>
    <n v="6.3713620488940623E-2"/>
  </r>
  <r>
    <s v="P067"/>
    <x v="1"/>
    <d v="2025-03-29T00:00:00"/>
    <x v="0"/>
    <s v="Check out our latest carousel on facebook!"/>
    <x v="23"/>
    <x v="23"/>
    <x v="23"/>
    <n v="84816"/>
    <n v="84691"/>
    <n v="100"/>
    <s v="#EVRevolution"/>
    <s v="FSDUpdate"/>
    <n v="6.3749764195434822E-2"/>
  </r>
  <r>
    <s v="P020"/>
    <x v="3"/>
    <d v="2024-09-09T00:00:00"/>
    <x v="0"/>
    <s v="Check out our latest carousel on instagram!"/>
    <x v="24"/>
    <x v="24"/>
    <x v="24"/>
    <n v="77026"/>
    <n v="76881"/>
    <n v="25"/>
    <s v="#TeslaCoInnovation"/>
    <s v="CybertruckLaunch"/>
    <n v="6.3809622724794221E-2"/>
  </r>
  <r>
    <s v="P267"/>
    <x v="0"/>
    <d v="2024-10-04T00:00:00"/>
    <x v="2"/>
    <s v="Check out our latest reel on twitter!"/>
    <x v="25"/>
    <x v="25"/>
    <x v="25"/>
    <n v="66992"/>
    <n v="66614"/>
    <n v="62"/>
    <s v="#FutureOfDriving"/>
    <m/>
    <n v="6.3947934081681396E-2"/>
  </r>
  <r>
    <s v="P073"/>
    <x v="1"/>
    <d v="2024-10-18T00:00:00"/>
    <x v="4"/>
    <s v="Check out our latest story on facebook!"/>
    <x v="26"/>
    <x v="26"/>
    <x v="26"/>
    <n v="78394"/>
    <n v="77798"/>
    <n v="88"/>
    <s v="#FutureOfDriving"/>
    <s v="SustainabilityDrive"/>
    <n v="6.4265122330790625E-2"/>
  </r>
  <r>
    <s v="P135"/>
    <x v="1"/>
    <d v="2024-11-28T00:00:00"/>
    <x v="3"/>
    <s v="Check out our latest text on facebook!"/>
    <x v="27"/>
    <x v="27"/>
    <x v="27"/>
    <n v="75834"/>
    <n v="75437"/>
    <n v="272"/>
    <s v="#FutureOfDriving"/>
    <s v="SustainabilityDrive"/>
    <n v="6.461481657304112E-2"/>
  </r>
  <r>
    <s v="P197"/>
    <x v="0"/>
    <d v="2024-10-22T00:00:00"/>
    <x v="2"/>
    <s v="Check out our latest reel on twitter!"/>
    <x v="28"/>
    <x v="28"/>
    <x v="28"/>
    <n v="86076"/>
    <n v="85339"/>
    <n v="19"/>
    <s v="#EVRevolution"/>
    <s v="CybertruckLaunch"/>
    <n v="6.4884520656164318E-2"/>
  </r>
  <r>
    <s v="P144"/>
    <x v="2"/>
    <d v="2024-10-28T00:00:00"/>
    <x v="4"/>
    <s v="Check out our latest story on youtube!"/>
    <x v="29"/>
    <x v="29"/>
    <x v="29"/>
    <n v="93651"/>
    <n v="92810"/>
    <n v="66"/>
    <s v="#EVRevolution"/>
    <s v="SustainabilityDrive"/>
    <n v="6.5455787978772245E-2"/>
  </r>
  <r>
    <s v="P086"/>
    <x v="2"/>
    <d v="2025-01-27T00:00:00"/>
    <x v="3"/>
    <s v="Check out our latest text on youtube!"/>
    <x v="30"/>
    <x v="30"/>
    <x v="30"/>
    <n v="58276"/>
    <n v="58052"/>
    <n v="242"/>
    <s v="#EVRevolution"/>
    <s v="SustainabilityDrive"/>
    <n v="6.5515821264328367E-2"/>
  </r>
  <r>
    <s v="P086"/>
    <x v="2"/>
    <d v="2025-01-27T00:00:00"/>
    <x v="3"/>
    <s v="Check out our latest text on youtube!"/>
    <x v="30"/>
    <x v="30"/>
    <x v="30"/>
    <n v="58276"/>
    <n v="58052"/>
    <n v="242"/>
    <s v="#BetterWithTesla"/>
    <s v="SustainabilityDrive"/>
    <n v="6.5515821264328367E-2"/>
  </r>
  <r>
    <s v="P005"/>
    <x v="2"/>
    <d v="2024-06-26T00:00:00"/>
    <x v="2"/>
    <s v="Check out our latest reel on youtube!"/>
    <x v="31"/>
    <x v="31"/>
    <x v="31"/>
    <n v="71140"/>
    <n v="70701"/>
    <n v="224"/>
    <s v="#EVRevolution"/>
    <s v="CybertruckLaunch"/>
    <n v="6.5617093055946027E-2"/>
  </r>
  <r>
    <s v="P005"/>
    <x v="2"/>
    <d v="2024-06-26T00:00:00"/>
    <x v="2"/>
    <s v="Check out our latest reel on youtube!"/>
    <x v="31"/>
    <x v="31"/>
    <x v="31"/>
    <n v="71140"/>
    <n v="70701"/>
    <n v="224"/>
    <s v="#TeslaCoInnovation"/>
    <s v="CybertruckLaunch"/>
    <n v="6.5617093055946027E-2"/>
  </r>
  <r>
    <s v="P270"/>
    <x v="2"/>
    <d v="2025-01-15T00:00:00"/>
    <x v="2"/>
    <s v="Check out our latest reel on youtube!"/>
    <x v="32"/>
    <x v="32"/>
    <x v="32"/>
    <n v="60384"/>
    <n v="59490"/>
    <n v="241"/>
    <s v="#TeslaCoInnovation"/>
    <s v="FSDUpdate"/>
    <n v="6.7103868574456813E-2"/>
  </r>
  <r>
    <s v="P237"/>
    <x v="3"/>
    <d v="2024-10-22T00:00:00"/>
    <x v="4"/>
    <s v="Check out our latest story on instagram!"/>
    <x v="33"/>
    <x v="33"/>
    <x v="15"/>
    <n v="71630"/>
    <n v="71322"/>
    <n v="76"/>
    <s v="#FutureOfDriving"/>
    <s v="CybertruckLaunch"/>
    <n v="6.7234398994834563E-2"/>
  </r>
  <r>
    <s v="P288"/>
    <x v="2"/>
    <d v="2025-04-17T00:00:00"/>
    <x v="0"/>
    <s v="Check out our latest carousel on youtube!"/>
    <x v="34"/>
    <x v="34"/>
    <x v="33"/>
    <n v="86040"/>
    <n v="85743"/>
    <n v="262"/>
    <s v="#FutureOfDriving"/>
    <s v="FSDUpdate"/>
    <n v="6.800325430032543E-2"/>
  </r>
  <r>
    <s v="P095"/>
    <x v="3"/>
    <d v="2024-11-08T00:00:00"/>
    <x v="3"/>
    <s v="Check out our latest text on instagram!"/>
    <x v="35"/>
    <x v="35"/>
    <x v="34"/>
    <n v="57276"/>
    <n v="56890"/>
    <n v="163"/>
    <s v="#FutureOfDriving"/>
    <s v="SustainabilityDrive"/>
    <n v="6.8108806480899509E-2"/>
  </r>
  <r>
    <s v="P170"/>
    <x v="0"/>
    <d v="2025-04-28T00:00:00"/>
    <x v="3"/>
    <s v="Check out our latest text on twitter!"/>
    <x v="36"/>
    <x v="36"/>
    <x v="35"/>
    <n v="67963"/>
    <n v="67839"/>
    <n v="53"/>
    <s v="#TeslaCoInnovation"/>
    <s v="FSDUpdate"/>
    <n v="6.8655003457763777E-2"/>
  </r>
  <r>
    <s v="P127"/>
    <x v="1"/>
    <d v="2025-01-27T00:00:00"/>
    <x v="2"/>
    <s v="Check out our latest reel on facebook!"/>
    <x v="37"/>
    <x v="37"/>
    <x v="36"/>
    <n v="65588"/>
    <n v="65049"/>
    <n v="158"/>
    <s v="#FutureOfDriving"/>
    <s v="FSDUpdate"/>
    <n v="6.9311459413307311E-2"/>
  </r>
  <r>
    <s v="P142"/>
    <x v="2"/>
    <d v="2025-03-25T00:00:00"/>
    <x v="4"/>
    <s v="Check out our latest story on youtube!"/>
    <x v="38"/>
    <x v="38"/>
    <x v="37"/>
    <n v="39330"/>
    <n v="38627"/>
    <n v="114"/>
    <s v="#FutureOfDriving"/>
    <s v="SustainabilityDrive"/>
    <n v="6.9438087973557078E-2"/>
  </r>
  <r>
    <s v="P007"/>
    <x v="0"/>
    <d v="2024-06-24T00:00:00"/>
    <x v="0"/>
    <s v="Check out our latest carousel on twitter!"/>
    <x v="39"/>
    <x v="39"/>
    <x v="1"/>
    <n v="61760"/>
    <n v="61660"/>
    <n v="235"/>
    <s v="#TeslaCoInnovation"/>
    <s v="ModelYCampaign"/>
    <n v="7.0272020725388601E-2"/>
  </r>
  <r>
    <s v="P034"/>
    <x v="1"/>
    <d v="2025-03-26T00:00:00"/>
    <x v="3"/>
    <s v="Check out our latest text on facebook!"/>
    <x v="40"/>
    <x v="40"/>
    <x v="38"/>
    <n v="29736"/>
    <n v="28771"/>
    <n v="215"/>
    <s v="#TeslaCoInnovation"/>
    <s v="FSDUpdate"/>
    <n v="7.055421038471886E-2"/>
  </r>
  <r>
    <s v="P090"/>
    <x v="3"/>
    <d v="2024-06-03T00:00:00"/>
    <x v="5"/>
    <s v="Check out our latest image on instagram!"/>
    <x v="41"/>
    <x v="41"/>
    <x v="39"/>
    <n v="69498"/>
    <n v="68817"/>
    <n v="297"/>
    <s v="#TeslaCoInnovation"/>
    <s v="SustainabilityDrive"/>
    <n v="7.0822181933293038E-2"/>
  </r>
  <r>
    <s v="P134"/>
    <x v="0"/>
    <d v="2025-04-24T00:00:00"/>
    <x v="2"/>
    <s v="Check out our latest reel on twitter!"/>
    <x v="42"/>
    <x v="42"/>
    <x v="40"/>
    <n v="55965"/>
    <n v="55436"/>
    <n v="103"/>
    <s v="#TeslaCoInnovation"/>
    <s v="CybertruckLaunch"/>
    <n v="7.1133744304476013E-2"/>
  </r>
  <r>
    <s v="P027"/>
    <x v="2"/>
    <d v="2024-09-17T00:00:00"/>
    <x v="3"/>
    <s v="Check out our latest text on youtube!"/>
    <x v="43"/>
    <x v="43"/>
    <x v="41"/>
    <n v="33216"/>
    <n v="32244"/>
    <n v="51"/>
    <s v="#FutureOfDriving"/>
    <s v="SustainabilityDrive"/>
    <n v="7.1501685934489398E-2"/>
  </r>
  <r>
    <s v="P133"/>
    <x v="1"/>
    <d v="2025-02-06T00:00:00"/>
    <x v="5"/>
    <s v="Check out our latest image on facebook!"/>
    <x v="44"/>
    <x v="44"/>
    <x v="42"/>
    <n v="37296"/>
    <n v="36467"/>
    <n v="25"/>
    <s v="#TeslaCoInnovation"/>
    <s v="SustainabilityDrive"/>
    <n v="7.172350922350923E-2"/>
  </r>
  <r>
    <s v="P291"/>
    <x v="1"/>
    <d v="2024-11-06T00:00:00"/>
    <x v="1"/>
    <s v="Check out our latest video on facebook!"/>
    <x v="45"/>
    <x v="45"/>
    <x v="43"/>
    <n v="69945"/>
    <n v="69596"/>
    <n v="35"/>
    <s v="#EVRevolution"/>
    <s v="SustainabilityDrive"/>
    <n v="7.1956537279290869E-2"/>
  </r>
  <r>
    <s v="P010"/>
    <x v="1"/>
    <d v="2025-03-11T00:00:00"/>
    <x v="5"/>
    <s v="Check out our latest image on facebook!"/>
    <x v="46"/>
    <x v="46"/>
    <x v="44"/>
    <n v="72097"/>
    <n v="71598"/>
    <n v="167"/>
    <s v="#TeslaCoInnovation"/>
    <s v="ModelYCampaign"/>
    <n v="7.198635172059864E-2"/>
  </r>
  <r>
    <s v="P099"/>
    <x v="2"/>
    <d v="2024-07-02T00:00:00"/>
    <x v="0"/>
    <s v="Check out our latest carousel on youtube!"/>
    <x v="47"/>
    <x v="47"/>
    <x v="45"/>
    <n v="66736"/>
    <n v="66634"/>
    <n v="173"/>
    <s v="#FutureOfDriving"/>
    <s v="FSDUpdate"/>
    <n v="7.2000119875329657E-2"/>
  </r>
  <r>
    <s v="P024"/>
    <x v="1"/>
    <d v="2025-01-23T00:00:00"/>
    <x v="1"/>
    <s v="Check out our latest video on facebook!"/>
    <x v="48"/>
    <x v="48"/>
    <x v="46"/>
    <n v="67337"/>
    <n v="66615"/>
    <n v="161"/>
    <s v="#FutureOfDriving"/>
    <s v="FSDUpdate"/>
    <n v="7.2070332803659209E-2"/>
  </r>
  <r>
    <s v="P215"/>
    <x v="1"/>
    <d v="2025-05-06T00:00:00"/>
    <x v="5"/>
    <s v="Check out our latest image on facebook!"/>
    <x v="49"/>
    <x v="49"/>
    <x v="47"/>
    <n v="82824"/>
    <n v="82543"/>
    <n v="89"/>
    <s v="#EVRevolution"/>
    <s v="ModelYCampaign"/>
    <n v="7.2116777745580993E-2"/>
  </r>
  <r>
    <s v="P039"/>
    <x v="1"/>
    <d v="2024-11-25T00:00:00"/>
    <x v="5"/>
    <s v="Check out our latest image on facebook!"/>
    <x v="50"/>
    <x v="50"/>
    <x v="48"/>
    <n v="60588"/>
    <n v="59627"/>
    <n v="92"/>
    <s v="#TeslaCoInnovation"/>
    <m/>
    <n v="7.2126493695121141E-2"/>
  </r>
  <r>
    <s v="P189"/>
    <x v="1"/>
    <d v="2025-03-24T00:00:00"/>
    <x v="2"/>
    <s v="Check out our latest reel on facebook!"/>
    <x v="51"/>
    <x v="51"/>
    <x v="49"/>
    <n v="60480"/>
    <n v="59610"/>
    <n v="192"/>
    <s v="#TeslaCoInnovation"/>
    <s v="CybertruckLaunch"/>
    <n v="7.2503306878306875E-2"/>
  </r>
  <r>
    <s v="P238"/>
    <x v="0"/>
    <d v="2024-07-16T00:00:00"/>
    <x v="3"/>
    <s v="Check out our latest text on twitter!"/>
    <x v="52"/>
    <x v="52"/>
    <x v="50"/>
    <n v="75600"/>
    <n v="74927"/>
    <n v="43"/>
    <s v="#FutureOfDriving"/>
    <s v="SustainabilityDrive"/>
    <n v="7.2579365079365077E-2"/>
  </r>
  <r>
    <s v="P172"/>
    <x v="1"/>
    <d v="2024-08-14T00:00:00"/>
    <x v="0"/>
    <s v="Check out our latest carousel on facebook!"/>
    <x v="53"/>
    <x v="53"/>
    <x v="51"/>
    <n v="52241"/>
    <n v="51605"/>
    <n v="246"/>
    <s v="#EVRevolution"/>
    <s v="FSDUpdate"/>
    <n v="7.2739802071170159E-2"/>
  </r>
  <r>
    <s v="P233"/>
    <x v="1"/>
    <d v="2025-03-08T00:00:00"/>
    <x v="5"/>
    <s v="Check out our latest image on facebook!"/>
    <x v="54"/>
    <x v="54"/>
    <x v="52"/>
    <n v="38112"/>
    <n v="37437"/>
    <n v="249"/>
    <s v="#FutureOfDriving"/>
    <s v="SustainabilityDrive"/>
    <n v="7.2969143576826198E-2"/>
  </r>
  <r>
    <s v="P289"/>
    <x v="1"/>
    <d v="2024-11-28T00:00:00"/>
    <x v="0"/>
    <s v="Check out our latest carousel on facebook!"/>
    <x v="55"/>
    <x v="55"/>
    <x v="53"/>
    <n v="44016"/>
    <n v="43415"/>
    <n v="129"/>
    <s v="#FutureOfDriving"/>
    <m/>
    <n v="7.3018902217375503E-2"/>
  </r>
  <r>
    <s v="P250"/>
    <x v="1"/>
    <d v="2024-06-22T00:00:00"/>
    <x v="2"/>
    <s v="Check out our latest reel on facebook!"/>
    <x v="56"/>
    <x v="56"/>
    <x v="54"/>
    <n v="68634"/>
    <n v="68488"/>
    <n v="251"/>
    <s v="#FutureOfDriving"/>
    <m/>
    <n v="7.3170731707317069E-2"/>
  </r>
  <r>
    <s v="P048"/>
    <x v="0"/>
    <d v="2025-03-11T00:00:00"/>
    <x v="4"/>
    <s v="Check out our latest story on twitter!"/>
    <x v="57"/>
    <x v="57"/>
    <x v="55"/>
    <n v="37050"/>
    <n v="36272"/>
    <n v="119"/>
    <s v="#TeslaCoInnovation"/>
    <m/>
    <n v="7.349527665317139E-2"/>
  </r>
  <r>
    <s v="P101"/>
    <x v="2"/>
    <d v="2024-10-18T00:00:00"/>
    <x v="1"/>
    <s v="Check out our latest video on youtube!"/>
    <x v="58"/>
    <x v="58"/>
    <x v="56"/>
    <n v="75650"/>
    <n v="75008"/>
    <n v="12"/>
    <s v="#FutureOfDriving"/>
    <s v="FSDUpdate"/>
    <n v="7.3707865168539333E-2"/>
  </r>
  <r>
    <s v="P111"/>
    <x v="2"/>
    <d v="2024-11-23T00:00:00"/>
    <x v="5"/>
    <s v="Check out our latest image on youtube!"/>
    <x v="59"/>
    <x v="59"/>
    <x v="57"/>
    <n v="40785"/>
    <n v="40281"/>
    <n v="40"/>
    <s v="#TeslaCoInnovation"/>
    <s v="ModelYCampaign"/>
    <n v="7.4071349760941527E-2"/>
  </r>
  <r>
    <s v="P168"/>
    <x v="1"/>
    <d v="2024-11-12T00:00:00"/>
    <x v="3"/>
    <s v="Check out our latest text on facebook!"/>
    <x v="60"/>
    <x v="60"/>
    <x v="58"/>
    <n v="43524"/>
    <n v="42743"/>
    <n v="182"/>
    <s v="#EVRevolution"/>
    <s v="CybertruckLaunch"/>
    <n v="7.412002573292896E-2"/>
  </r>
  <r>
    <s v="P045"/>
    <x v="1"/>
    <d v="2024-11-01T00:00:00"/>
    <x v="1"/>
    <s v="Check out our latest video on facebook!"/>
    <x v="61"/>
    <x v="61"/>
    <x v="59"/>
    <n v="50565"/>
    <n v="49816"/>
    <n v="176"/>
    <s v="#FutureOfDriving"/>
    <s v="CybertruckLaunch"/>
    <n v="7.5229902106199939E-2"/>
  </r>
  <r>
    <s v="P179"/>
    <x v="1"/>
    <d v="2024-07-15T00:00:00"/>
    <x v="0"/>
    <s v="Check out our latest carousel on facebook!"/>
    <x v="62"/>
    <x v="62"/>
    <x v="60"/>
    <n v="64532"/>
    <n v="63550"/>
    <n v="292"/>
    <s v="#TeslaCoInnovation"/>
    <m/>
    <n v="7.5280481001673588E-2"/>
  </r>
  <r>
    <s v="P016"/>
    <x v="1"/>
    <d v="2024-08-26T00:00:00"/>
    <x v="3"/>
    <s v="Check out our latest text on facebook!"/>
    <x v="37"/>
    <x v="63"/>
    <x v="61"/>
    <n v="55232"/>
    <n v="55075"/>
    <n v="87"/>
    <s v="#FutureOfDriving"/>
    <s v="FSDUpdate"/>
    <n v="7.5843713789107758E-2"/>
  </r>
  <r>
    <s v="P013"/>
    <x v="2"/>
    <d v="2024-11-18T00:00:00"/>
    <x v="0"/>
    <s v="Check out our latest carousel on youtube!"/>
    <x v="63"/>
    <x v="64"/>
    <x v="62"/>
    <n v="22249"/>
    <n v="21282"/>
    <n v="114"/>
    <s v="#EVRevolution"/>
    <s v="CybertruckLaunch"/>
    <n v="7.5868578363072495E-2"/>
  </r>
  <r>
    <s v="P234"/>
    <x v="1"/>
    <d v="2024-06-01T00:00:00"/>
    <x v="3"/>
    <s v="Check out our latest text on facebook!"/>
    <x v="64"/>
    <x v="65"/>
    <x v="63"/>
    <n v="24168"/>
    <n v="23719"/>
    <n v="42"/>
    <s v="#TeslaCoInnovation"/>
    <m/>
    <n v="7.5968222442899705E-2"/>
  </r>
  <r>
    <s v="P002"/>
    <x v="0"/>
    <d v="2025-04-03T00:00:00"/>
    <x v="3"/>
    <s v="Check out our latest text on twitter!"/>
    <x v="24"/>
    <x v="66"/>
    <x v="35"/>
    <n v="64864"/>
    <n v="64383"/>
    <n v="117"/>
    <s v="#TeslaCoInnovation"/>
    <s v="ModelYCampaign"/>
    <n v="7.6097681302417369E-2"/>
  </r>
  <r>
    <s v="P002"/>
    <x v="0"/>
    <d v="2025-04-03T00:00:00"/>
    <x v="3"/>
    <s v="Check out our latest text on twitter!"/>
    <x v="24"/>
    <x v="66"/>
    <x v="35"/>
    <n v="64864"/>
    <n v="64383"/>
    <n v="117"/>
    <s v="#BetterWithTesla"/>
    <s v="ModelYCampaign"/>
    <n v="7.6097681302417369E-2"/>
  </r>
  <r>
    <s v="P036"/>
    <x v="3"/>
    <d v="2025-04-19T00:00:00"/>
    <x v="4"/>
    <s v="Check out our latest story on instagram!"/>
    <x v="65"/>
    <x v="67"/>
    <x v="64"/>
    <n v="67770"/>
    <n v="67621"/>
    <n v="31"/>
    <s v="#EVRevolution"/>
    <s v="ModelYCampaign"/>
    <n v="7.6523535487678915E-2"/>
  </r>
  <r>
    <s v="P023"/>
    <x v="1"/>
    <d v="2024-11-06T00:00:00"/>
    <x v="1"/>
    <s v="Check out our latest video on facebook!"/>
    <x v="66"/>
    <x v="68"/>
    <x v="65"/>
    <n v="32120"/>
    <n v="31736"/>
    <n v="225"/>
    <s v="#TeslaCoInnovation"/>
    <s v="ModelYCampaign"/>
    <n v="7.6867995018679955E-2"/>
  </r>
  <r>
    <s v="P023"/>
    <x v="1"/>
    <d v="2024-11-06T00:00:00"/>
    <x v="1"/>
    <s v="Check out our latest video on facebook!"/>
    <x v="66"/>
    <x v="68"/>
    <x v="65"/>
    <n v="32120"/>
    <n v="31736"/>
    <n v="225"/>
    <s v="#AnytimeIsTeslaTime"/>
    <s v="ModelYCampaign"/>
    <n v="7.6867995018679955E-2"/>
  </r>
  <r>
    <s v="P021"/>
    <x v="3"/>
    <d v="2025-01-04T00:00:00"/>
    <x v="2"/>
    <s v="Check out our latest reel on instagram!"/>
    <x v="67"/>
    <x v="69"/>
    <x v="13"/>
    <n v="72570"/>
    <n v="72396"/>
    <n v="83"/>
    <s v="#FutureOfDriving"/>
    <s v="SustainabilityDrive"/>
    <n v="7.7249552156538517E-2"/>
  </r>
  <r>
    <s v="P149"/>
    <x v="0"/>
    <d v="2024-06-16T00:00:00"/>
    <x v="1"/>
    <s v="Check out our latest video on twitter!"/>
    <x v="68"/>
    <x v="70"/>
    <x v="4"/>
    <n v="34040"/>
    <n v="33174"/>
    <n v="76"/>
    <s v="#EVRevolution"/>
    <s v="CybertruckLaunch"/>
    <n v="7.7291421856639245E-2"/>
  </r>
  <r>
    <s v="P230"/>
    <x v="1"/>
    <d v="2024-07-15T00:00:00"/>
    <x v="2"/>
    <s v="Check out our latest reel on facebook!"/>
    <x v="69"/>
    <x v="59"/>
    <x v="66"/>
    <n v="51282"/>
    <n v="50567"/>
    <n v="84"/>
    <s v="#EVRevolution"/>
    <s v="FSDUpdate"/>
    <n v="7.7512577512577507E-2"/>
  </r>
  <r>
    <s v="P080"/>
    <x v="3"/>
    <d v="2024-06-13T00:00:00"/>
    <x v="4"/>
    <s v="Check out our latest story on instagram!"/>
    <x v="70"/>
    <x v="71"/>
    <x v="67"/>
    <n v="39957"/>
    <n v="39466"/>
    <n v="28"/>
    <s v="#FutureOfDriving"/>
    <m/>
    <n v="7.7533348349475686E-2"/>
  </r>
  <r>
    <s v="P051"/>
    <x v="1"/>
    <d v="2024-06-13T00:00:00"/>
    <x v="0"/>
    <s v="Check out our latest carousel on facebook!"/>
    <x v="71"/>
    <x v="72"/>
    <x v="68"/>
    <n v="37400"/>
    <n v="36938"/>
    <n v="225"/>
    <s v="#FutureOfDriving"/>
    <s v="ModelYCampaign"/>
    <n v="7.8689839572192513E-2"/>
  </r>
  <r>
    <s v="P274"/>
    <x v="0"/>
    <d v="2025-01-01T00:00:00"/>
    <x v="0"/>
    <s v="Check out our latest carousel on twitter!"/>
    <x v="72"/>
    <x v="73"/>
    <x v="69"/>
    <n v="53025"/>
    <n v="52791"/>
    <n v="44"/>
    <s v="#TeslaCoInnovation"/>
    <s v="SustainabilityDrive"/>
    <n v="7.8849599245638849E-2"/>
  </r>
  <r>
    <s v="P091"/>
    <x v="1"/>
    <d v="2025-03-24T00:00:00"/>
    <x v="5"/>
    <s v="Check out our latest image on facebook!"/>
    <x v="73"/>
    <x v="74"/>
    <x v="38"/>
    <n v="25260"/>
    <n v="24615"/>
    <n v="137"/>
    <s v="#EVRevolution"/>
    <s v="SustainabilityDrive"/>
    <n v="7.984956452889945E-2"/>
  </r>
  <r>
    <s v="P257"/>
    <x v="1"/>
    <d v="2025-04-06T00:00:00"/>
    <x v="5"/>
    <s v="Check out our latest image on facebook!"/>
    <x v="74"/>
    <x v="75"/>
    <x v="70"/>
    <n v="49440"/>
    <n v="48524"/>
    <n v="25"/>
    <s v="#EVRevolution"/>
    <s v="ModelYCampaign"/>
    <n v="7.9915048543689318E-2"/>
  </r>
  <r>
    <s v="P257"/>
    <x v="1"/>
    <d v="2025-04-06T00:00:00"/>
    <x v="5"/>
    <s v="Check out our latest image on facebook!"/>
    <x v="74"/>
    <x v="75"/>
    <x v="70"/>
    <n v="49440"/>
    <n v="48524"/>
    <n v="25"/>
    <s v="#BetterWithTesla"/>
    <s v="ModelYCampaign"/>
    <n v="7.9915048543689318E-2"/>
  </r>
  <r>
    <s v="P118"/>
    <x v="1"/>
    <d v="2024-11-04T00:00:00"/>
    <x v="5"/>
    <s v="Check out our latest image on facebook!"/>
    <x v="75"/>
    <x v="76"/>
    <x v="71"/>
    <n v="68265"/>
    <n v="67754"/>
    <n v="57"/>
    <s v="#FutureOfDriving"/>
    <s v="FSDUpdate"/>
    <n v="8.0158206987475278E-2"/>
  </r>
  <r>
    <s v="P022"/>
    <x v="1"/>
    <d v="2025-02-27T00:00:00"/>
    <x v="3"/>
    <s v="Check out our latest text on facebook!"/>
    <x v="76"/>
    <x v="77"/>
    <x v="72"/>
    <n v="25120"/>
    <n v="24613"/>
    <n v="133"/>
    <s v="#TeslaCoInnovation"/>
    <s v="SustainabilityDrive"/>
    <n v="8.0294585987261149E-2"/>
  </r>
  <r>
    <s v="P122"/>
    <x v="3"/>
    <d v="2024-10-02T00:00:00"/>
    <x v="3"/>
    <s v="Check out our latest text on instagram!"/>
    <x v="77"/>
    <x v="78"/>
    <x v="73"/>
    <n v="54912"/>
    <n v="53916"/>
    <n v="264"/>
    <s v="#EVRevolution"/>
    <s v="ModelYCampaign"/>
    <n v="8.0565268065268064E-2"/>
  </r>
  <r>
    <s v="P057"/>
    <x v="0"/>
    <d v="2024-10-21T00:00:00"/>
    <x v="1"/>
    <s v="Check out our latest video on twitter!"/>
    <x v="78"/>
    <x v="79"/>
    <x v="66"/>
    <n v="45200"/>
    <n v="44739"/>
    <n v="169"/>
    <s v="#TeslaCoInnovation"/>
    <s v="CybertruckLaunch"/>
    <n v="8.0862831858407078E-2"/>
  </r>
  <r>
    <s v="P076"/>
    <x v="0"/>
    <d v="2024-11-07T00:00:00"/>
    <x v="4"/>
    <s v="Check out our latest story on twitter!"/>
    <x v="79"/>
    <x v="80"/>
    <x v="74"/>
    <n v="15694"/>
    <n v="14957"/>
    <n v="99"/>
    <s v="#TeslaCoInnovation"/>
    <s v="SustainabilityDrive"/>
    <n v="8.1177520071364848E-2"/>
  </r>
  <r>
    <s v="P228"/>
    <x v="3"/>
    <d v="2024-07-01T00:00:00"/>
    <x v="4"/>
    <s v="Check out our latest story on instagram!"/>
    <x v="80"/>
    <x v="81"/>
    <x v="75"/>
    <n v="72120"/>
    <n v="71696"/>
    <n v="195"/>
    <s v="#EVRevolution"/>
    <s v="CybertruckLaunch"/>
    <n v="8.1808097615085965E-2"/>
  </r>
  <r>
    <s v="P064"/>
    <x v="1"/>
    <d v="2024-08-17T00:00:00"/>
    <x v="5"/>
    <s v="Check out our latest image on facebook!"/>
    <x v="81"/>
    <x v="82"/>
    <x v="76"/>
    <n v="43170"/>
    <n v="42667"/>
    <n v="75"/>
    <s v="#FutureOfDriving"/>
    <s v="FSDUpdate"/>
    <n v="8.2047718322909427E-2"/>
  </r>
  <r>
    <s v="P078"/>
    <x v="0"/>
    <d v="2024-06-17T00:00:00"/>
    <x v="5"/>
    <s v="Check out our latest image on twitter!"/>
    <x v="82"/>
    <x v="83"/>
    <x v="77"/>
    <n v="19080"/>
    <n v="18859"/>
    <n v="21"/>
    <s v="#FutureOfDriving"/>
    <s v="SustainabilityDrive"/>
    <n v="8.2075471698113203E-2"/>
  </r>
  <r>
    <s v="P202"/>
    <x v="1"/>
    <d v="2024-06-02T00:00:00"/>
    <x v="5"/>
    <s v="Check out our latest image on facebook!"/>
    <x v="83"/>
    <x v="84"/>
    <x v="78"/>
    <n v="29936"/>
    <n v="29576"/>
    <n v="288"/>
    <s v="#EVRevolution"/>
    <s v="FSDUpdate"/>
    <n v="8.2108498129342594E-2"/>
  </r>
  <r>
    <s v="P213"/>
    <x v="1"/>
    <d v="2025-05-01T00:00:00"/>
    <x v="0"/>
    <s v="Check out our latest carousel on facebook!"/>
    <x v="84"/>
    <x v="85"/>
    <x v="79"/>
    <n v="45832"/>
    <n v="45632"/>
    <n v="248"/>
    <s v="#EVRevolution"/>
    <s v="SustainabilityDrive"/>
    <n v="8.21914819340199E-2"/>
  </r>
  <r>
    <s v="P209"/>
    <x v="0"/>
    <d v="2025-03-19T00:00:00"/>
    <x v="1"/>
    <s v="Check out our latest video on twitter!"/>
    <x v="85"/>
    <x v="86"/>
    <x v="80"/>
    <n v="44240"/>
    <n v="43666"/>
    <n v="49"/>
    <s v="#FutureOfDriving"/>
    <s v="SustainabilityDrive"/>
    <n v="8.2753164556962022E-2"/>
  </r>
  <r>
    <s v="P209"/>
    <x v="0"/>
    <d v="2025-03-19T00:00:00"/>
    <x v="1"/>
    <s v="Check out our latest video on twitter!"/>
    <x v="85"/>
    <x v="86"/>
    <x v="80"/>
    <n v="44240"/>
    <n v="43666"/>
    <n v="49"/>
    <s v="#AnytimeIsTeslaTime"/>
    <s v="SustainabilityDrive"/>
    <n v="8.2753164556962022E-2"/>
  </r>
  <r>
    <s v="P261"/>
    <x v="3"/>
    <d v="2024-10-27T00:00:00"/>
    <x v="5"/>
    <s v="Check out our latest image on instagram!"/>
    <x v="86"/>
    <x v="87"/>
    <x v="81"/>
    <n v="72795"/>
    <n v="72237"/>
    <n v="170"/>
    <s v="#EVRevolution"/>
    <s v="CybertruckLaunch"/>
    <n v="8.2835359571399134E-2"/>
  </r>
  <r>
    <s v="P280"/>
    <x v="2"/>
    <d v="2024-10-21T00:00:00"/>
    <x v="1"/>
    <s v="Check out our latest video on youtube!"/>
    <x v="87"/>
    <x v="88"/>
    <x v="82"/>
    <n v="64125"/>
    <n v="63650"/>
    <n v="104"/>
    <s v="#EVRevolution"/>
    <s v="SustainabilityDrive"/>
    <n v="8.3274853801169585E-2"/>
  </r>
  <r>
    <s v="P280"/>
    <x v="2"/>
    <d v="2024-10-21T00:00:00"/>
    <x v="1"/>
    <s v="Check out our latest video on youtube!"/>
    <x v="87"/>
    <x v="88"/>
    <x v="82"/>
    <n v="64125"/>
    <n v="63650"/>
    <n v="104"/>
    <s v="#TeslaCoInnovation"/>
    <s v="SustainabilityDrive"/>
    <n v="8.3274853801169585E-2"/>
  </r>
  <r>
    <s v="P280"/>
    <x v="2"/>
    <d v="2024-10-21T00:00:00"/>
    <x v="1"/>
    <s v="Check out our latest video on youtube!"/>
    <x v="87"/>
    <x v="88"/>
    <x v="82"/>
    <n v="64125"/>
    <n v="63650"/>
    <n v="104"/>
    <s v="#AnytimeIsTeslaTime"/>
    <s v="SustainabilityDrive"/>
    <n v="8.3274853801169585E-2"/>
  </r>
  <r>
    <s v="P300"/>
    <x v="0"/>
    <d v="2024-08-31T00:00:00"/>
    <x v="0"/>
    <s v="Check out our latest carousel on twitter!"/>
    <x v="88"/>
    <x v="89"/>
    <x v="83"/>
    <n v="62916"/>
    <n v="62688"/>
    <n v="191"/>
    <s v="#TeslaCoInnovation"/>
    <s v="CybertruckLaunch"/>
    <n v="8.3539958039290485E-2"/>
  </r>
  <r>
    <s v="P300"/>
    <x v="0"/>
    <d v="2024-08-31T00:00:00"/>
    <x v="0"/>
    <s v="Check out our latest carousel on twitter!"/>
    <x v="88"/>
    <x v="89"/>
    <x v="83"/>
    <n v="62916"/>
    <n v="62688"/>
    <n v="191"/>
    <s v="#EVRevolution"/>
    <s v="CybertruckLaunch"/>
    <n v="8.3539958039290485E-2"/>
  </r>
  <r>
    <s v="P300"/>
    <x v="0"/>
    <d v="2024-08-31T00:00:00"/>
    <x v="0"/>
    <s v="Check out our latest carousel on twitter!"/>
    <x v="88"/>
    <x v="89"/>
    <x v="83"/>
    <n v="62916"/>
    <n v="62688"/>
    <n v="191"/>
    <s v="#BetterWithTesla"/>
    <s v="CybertruckLaunch"/>
    <n v="8.3539958039290485E-2"/>
  </r>
  <r>
    <s v="P187"/>
    <x v="0"/>
    <d v="2024-12-22T00:00:00"/>
    <x v="2"/>
    <s v="Check out our latest reel on twitter!"/>
    <x v="89"/>
    <x v="90"/>
    <x v="84"/>
    <n v="27948"/>
    <n v="27184"/>
    <n v="300"/>
    <s v="#EVRevolution"/>
    <s v="FSDUpdate"/>
    <n v="8.3726921425504502E-2"/>
  </r>
  <r>
    <s v="P290"/>
    <x v="3"/>
    <d v="2024-12-20T00:00:00"/>
    <x v="0"/>
    <s v="Check out our latest carousel on instagram!"/>
    <x v="90"/>
    <x v="91"/>
    <x v="85"/>
    <n v="35819"/>
    <n v="35340"/>
    <n v="191"/>
    <s v="#EVRevolution"/>
    <s v="SustainabilityDrive"/>
    <n v="8.3921940869371006E-2"/>
  </r>
  <r>
    <s v="P268"/>
    <x v="3"/>
    <d v="2025-04-13T00:00:00"/>
    <x v="2"/>
    <s v="Check out our latest reel on instagram!"/>
    <x v="91"/>
    <x v="92"/>
    <x v="86"/>
    <n v="59527"/>
    <n v="59400"/>
    <n v="269"/>
    <s v="#EVRevolution"/>
    <s v="CybertruckLaunch"/>
    <n v="8.4062694239588759E-2"/>
  </r>
  <r>
    <s v="P194"/>
    <x v="2"/>
    <d v="2024-10-02T00:00:00"/>
    <x v="4"/>
    <s v="Check out our latest story on youtube!"/>
    <x v="92"/>
    <x v="93"/>
    <x v="87"/>
    <n v="60900"/>
    <n v="60592"/>
    <n v="195"/>
    <s v="#EVRevolution"/>
    <s v="CybertruckLaunch"/>
    <n v="8.4203612479474554E-2"/>
  </r>
  <r>
    <s v="P186"/>
    <x v="1"/>
    <d v="2024-08-24T00:00:00"/>
    <x v="0"/>
    <s v="Check out our latest carousel on facebook!"/>
    <x v="93"/>
    <x v="94"/>
    <x v="88"/>
    <n v="55796"/>
    <n v="54826"/>
    <n v="264"/>
    <s v="#EVRevolution"/>
    <s v="FSDUpdate"/>
    <n v="8.4862714173059003E-2"/>
  </r>
  <r>
    <s v="P188"/>
    <x v="2"/>
    <d v="2024-06-06T00:00:00"/>
    <x v="2"/>
    <s v="Check out our latest reel on youtube!"/>
    <x v="94"/>
    <x v="95"/>
    <x v="89"/>
    <n v="40920"/>
    <n v="40816"/>
    <n v="137"/>
    <s v="#FutureOfDriving"/>
    <s v="ModelYCampaign"/>
    <n v="8.4946236559139784E-2"/>
  </r>
  <r>
    <s v="P199"/>
    <x v="2"/>
    <d v="2024-11-30T00:00:00"/>
    <x v="0"/>
    <s v="Check out our latest carousel on youtube!"/>
    <x v="95"/>
    <x v="83"/>
    <x v="90"/>
    <n v="35126"/>
    <n v="34685"/>
    <n v="277"/>
    <s v="#TeslaCoInnovation"/>
    <s v="ModelYCampaign"/>
    <n v="8.5520696919660646E-2"/>
  </r>
  <r>
    <s v="P082"/>
    <x v="3"/>
    <d v="2024-07-24T00:00:00"/>
    <x v="5"/>
    <s v="Check out our latest image on instagram!"/>
    <x v="96"/>
    <x v="10"/>
    <x v="91"/>
    <n v="14500"/>
    <n v="13637"/>
    <n v="200"/>
    <s v="#FutureOfDriving"/>
    <s v="FSDUpdate"/>
    <n v="8.558620689655172E-2"/>
  </r>
  <r>
    <s v="P082"/>
    <x v="3"/>
    <d v="2024-07-24T00:00:00"/>
    <x v="5"/>
    <s v="Check out our latest image on instagram!"/>
    <x v="96"/>
    <x v="10"/>
    <x v="91"/>
    <n v="14500"/>
    <n v="13637"/>
    <n v="200"/>
    <s v="#TeslaCoInnovation"/>
    <s v="FSDUpdate"/>
    <n v="8.558620689655172E-2"/>
  </r>
  <r>
    <s v="P082"/>
    <x v="3"/>
    <d v="2024-07-24T00:00:00"/>
    <x v="5"/>
    <s v="Check out our latest image on instagram!"/>
    <x v="96"/>
    <x v="10"/>
    <x v="91"/>
    <n v="14500"/>
    <n v="13637"/>
    <n v="200"/>
    <s v="#AnytimeIsTeslaTime"/>
    <s v="FSDUpdate"/>
    <n v="8.558620689655172E-2"/>
  </r>
  <r>
    <s v="P106"/>
    <x v="3"/>
    <d v="2025-02-04T00:00:00"/>
    <x v="5"/>
    <s v="Check out our latest image on instagram!"/>
    <x v="97"/>
    <x v="96"/>
    <x v="92"/>
    <n v="69285"/>
    <n v="69141"/>
    <n v="298"/>
    <s v="#TeslaCoInnovation"/>
    <s v="SustainabilityDrive"/>
    <n v="8.5718409468138843E-2"/>
  </r>
  <r>
    <s v="P231"/>
    <x v="3"/>
    <d v="2025-05-01T00:00:00"/>
    <x v="3"/>
    <s v="Check out our latest text on instagram!"/>
    <x v="98"/>
    <x v="97"/>
    <x v="93"/>
    <n v="21450"/>
    <n v="20509"/>
    <n v="251"/>
    <s v="#FutureOfDriving"/>
    <s v="CybertruckLaunch"/>
    <n v="8.5734265734265735E-2"/>
  </r>
  <r>
    <s v="P240"/>
    <x v="0"/>
    <d v="2024-08-26T00:00:00"/>
    <x v="0"/>
    <s v="Check out our latest carousel on twitter!"/>
    <x v="99"/>
    <x v="98"/>
    <x v="94"/>
    <n v="16722"/>
    <n v="15996"/>
    <n v="145"/>
    <s v="#EVRevolution"/>
    <s v="FSDUpdate"/>
    <n v="8.6293505561535699E-2"/>
  </r>
  <r>
    <s v="P240"/>
    <x v="0"/>
    <d v="2024-08-26T00:00:00"/>
    <x v="0"/>
    <s v="Check out our latest carousel on twitter!"/>
    <x v="99"/>
    <x v="98"/>
    <x v="94"/>
    <n v="16722"/>
    <n v="15996"/>
    <n v="145"/>
    <s v="#TeslaCoInnovation"/>
    <s v="FSDUpdate"/>
    <n v="8.6293505561535699E-2"/>
  </r>
  <r>
    <s v="P240"/>
    <x v="0"/>
    <d v="2024-08-26T00:00:00"/>
    <x v="0"/>
    <s v="Check out our latest carousel on twitter!"/>
    <x v="99"/>
    <x v="98"/>
    <x v="94"/>
    <n v="16722"/>
    <n v="15996"/>
    <n v="145"/>
    <s v="#AnytimeIsTeslaTime"/>
    <s v="FSDUpdate"/>
    <n v="8.6293505561535699E-2"/>
  </r>
  <r>
    <s v="P208"/>
    <x v="2"/>
    <d v="2024-06-24T00:00:00"/>
    <x v="1"/>
    <s v="Check out our latest video on youtube!"/>
    <x v="100"/>
    <x v="99"/>
    <x v="95"/>
    <n v="44235"/>
    <n v="43705"/>
    <n v="135"/>
    <s v="#TeslaCoInnovation"/>
    <s v="ModelYCampaign"/>
    <n v="8.6537809426924378E-2"/>
  </r>
  <r>
    <s v="P162"/>
    <x v="1"/>
    <d v="2025-04-01T00:00:00"/>
    <x v="4"/>
    <s v="Check out our latest story on facebook!"/>
    <x v="101"/>
    <x v="100"/>
    <x v="70"/>
    <n v="48020"/>
    <n v="47305"/>
    <n v="120"/>
    <s v="#FutureOfDriving"/>
    <m/>
    <n v="8.6630570595585168E-2"/>
  </r>
  <r>
    <s v="P084"/>
    <x v="1"/>
    <d v="2024-12-09T00:00:00"/>
    <x v="5"/>
    <s v="Check out our latest image on facebook!"/>
    <x v="102"/>
    <x v="101"/>
    <x v="96"/>
    <n v="34979"/>
    <n v="34154"/>
    <n v="255"/>
    <s v="#FutureOfDriving"/>
    <s v="SustainabilityDrive"/>
    <n v="8.6737756939878216E-2"/>
  </r>
  <r>
    <s v="P253"/>
    <x v="0"/>
    <d v="2024-08-03T00:00:00"/>
    <x v="2"/>
    <s v="Check out our latest reel on twitter!"/>
    <x v="103"/>
    <x v="102"/>
    <x v="97"/>
    <n v="53074"/>
    <n v="52613"/>
    <n v="205"/>
    <s v="#EVRevolution"/>
    <m/>
    <n v="8.6897539284772202E-2"/>
  </r>
  <r>
    <s v="P097"/>
    <x v="3"/>
    <d v="2024-08-13T00:00:00"/>
    <x v="5"/>
    <s v="Check out our latest image on instagram!"/>
    <x v="104"/>
    <x v="103"/>
    <x v="40"/>
    <n v="61607"/>
    <n v="61333"/>
    <n v="36"/>
    <s v="#TeslaCoInnovation"/>
    <s v="ModelYCampaign"/>
    <n v="8.7668609086629767E-2"/>
  </r>
  <r>
    <s v="P097"/>
    <x v="3"/>
    <d v="2024-08-13T00:00:00"/>
    <x v="5"/>
    <s v="Check out our latest image on instagram!"/>
    <x v="104"/>
    <x v="103"/>
    <x v="40"/>
    <n v="61607"/>
    <n v="61333"/>
    <n v="36"/>
    <s v="#AnytimeIsTeslaTime"/>
    <s v="ModelYCampaign"/>
    <n v="8.7668609086629767E-2"/>
  </r>
  <r>
    <s v="P249"/>
    <x v="0"/>
    <d v="2024-07-18T00:00:00"/>
    <x v="5"/>
    <s v="Check out our latest image on twitter!"/>
    <x v="105"/>
    <x v="104"/>
    <x v="98"/>
    <n v="14886"/>
    <n v="14129"/>
    <n v="254"/>
    <s v="#EVRevolution"/>
    <s v="ModelYCampaign"/>
    <n v="8.7733440816874911E-2"/>
  </r>
  <r>
    <s v="P260"/>
    <x v="3"/>
    <d v="2025-02-12T00:00:00"/>
    <x v="4"/>
    <s v="Check out our latest story on instagram!"/>
    <x v="106"/>
    <x v="93"/>
    <x v="99"/>
    <n v="60648"/>
    <n v="60397"/>
    <n v="10"/>
    <s v="#TeslaCoInnovation"/>
    <s v="FSDUpdate"/>
    <n v="8.7752275425405618E-2"/>
  </r>
  <r>
    <s v="P260"/>
    <x v="3"/>
    <d v="2025-02-12T00:00:00"/>
    <x v="4"/>
    <s v="Check out our latest story on instagram!"/>
    <x v="106"/>
    <x v="93"/>
    <x v="99"/>
    <n v="60648"/>
    <n v="60397"/>
    <n v="10"/>
    <s v="#EVRevolution"/>
    <s v="FSDUpdate"/>
    <n v="8.7752275425405618E-2"/>
  </r>
  <r>
    <s v="P260"/>
    <x v="3"/>
    <d v="2025-02-12T00:00:00"/>
    <x v="4"/>
    <s v="Check out our latest story on instagram!"/>
    <x v="106"/>
    <x v="93"/>
    <x v="99"/>
    <n v="60648"/>
    <n v="60397"/>
    <n v="10"/>
    <s v="#BetterWithTesla"/>
    <s v="FSDUpdate"/>
    <n v="8.7752275425405618E-2"/>
  </r>
  <r>
    <s v="P009"/>
    <x v="1"/>
    <d v="2024-08-30T00:00:00"/>
    <x v="3"/>
    <s v="Check out our latest text on facebook!"/>
    <x v="107"/>
    <x v="105"/>
    <x v="100"/>
    <n v="56760"/>
    <n v="56343"/>
    <n v="131"/>
    <s v="#TeslaCoInnovation"/>
    <s v="ModelYCampaign"/>
    <n v="8.8019732205778717E-2"/>
  </r>
  <r>
    <s v="P072"/>
    <x v="2"/>
    <d v="2025-03-03T00:00:00"/>
    <x v="2"/>
    <s v="Check out our latest reel on youtube!"/>
    <x v="108"/>
    <x v="106"/>
    <x v="101"/>
    <n v="5624"/>
    <n v="5239"/>
    <n v="88"/>
    <s v="#EVRevolution"/>
    <s v="ModelYCampaign"/>
    <n v="8.837126600284495E-2"/>
  </r>
  <r>
    <s v="P079"/>
    <x v="3"/>
    <d v="2024-10-09T00:00:00"/>
    <x v="0"/>
    <s v="Check out our latest carousel on instagram!"/>
    <x v="109"/>
    <x v="107"/>
    <x v="102"/>
    <n v="39884"/>
    <n v="39404"/>
    <n v="266"/>
    <s v="#EVRevolution"/>
    <s v="ModelYCampaign"/>
    <n v="8.860696018453515E-2"/>
  </r>
  <r>
    <s v="P130"/>
    <x v="2"/>
    <d v="2024-09-29T00:00:00"/>
    <x v="2"/>
    <s v="Check out our latest reel on youtube!"/>
    <x v="110"/>
    <x v="108"/>
    <x v="17"/>
    <n v="38168"/>
    <n v="37571"/>
    <n v="22"/>
    <s v="#EVRevolution"/>
    <s v="SustainabilityDrive"/>
    <n v="8.9577656675749323E-2"/>
  </r>
  <r>
    <s v="P026"/>
    <x v="2"/>
    <d v="2025-04-05T00:00:00"/>
    <x v="2"/>
    <s v="Check out our latest reel on youtube!"/>
    <x v="111"/>
    <x v="109"/>
    <x v="103"/>
    <n v="42126"/>
    <n v="41309"/>
    <n v="211"/>
    <s v="#FutureOfDriving"/>
    <s v="ModelYCampaign"/>
    <n v="8.9730807577268201E-2"/>
  </r>
  <r>
    <s v="P180"/>
    <x v="2"/>
    <d v="2024-12-03T00:00:00"/>
    <x v="3"/>
    <s v="Check out our latest text on youtube!"/>
    <x v="112"/>
    <x v="110"/>
    <x v="104"/>
    <n v="48243"/>
    <n v="47579"/>
    <n v="11"/>
    <s v="#TeslaCoInnovation"/>
    <s v="CybertruckLaunch"/>
    <n v="9.023070704558174E-2"/>
  </r>
  <r>
    <s v="P201"/>
    <x v="0"/>
    <d v="2025-01-15T00:00:00"/>
    <x v="2"/>
    <s v="Check out our latest reel on twitter!"/>
    <x v="113"/>
    <x v="111"/>
    <x v="105"/>
    <n v="14436"/>
    <n v="14280"/>
    <n v="49"/>
    <s v="#EVRevolution"/>
    <s v="CybertruckLaunch"/>
    <n v="9.0606816292601824E-2"/>
  </r>
  <r>
    <s v="P001"/>
    <x v="0"/>
    <d v="2024-12-23T00:00:00"/>
    <x v="2"/>
    <s v="Check out our latest reel on twitter!"/>
    <x v="114"/>
    <x v="112"/>
    <x v="106"/>
    <n v="21915"/>
    <n v="21675"/>
    <n v="15"/>
    <s v="#FutureOfDriving"/>
    <s v="CybertruckLaunch"/>
    <n v="9.0759753593429152E-2"/>
  </r>
  <r>
    <s v="P001"/>
    <x v="0"/>
    <d v="2024-12-23T00:00:00"/>
    <x v="2"/>
    <s v="Check out our latest reel on twitter!"/>
    <x v="114"/>
    <x v="112"/>
    <x v="106"/>
    <n v="21915"/>
    <n v="21675"/>
    <n v="15"/>
    <s v="#AnytimeIsTeslaTime"/>
    <s v="CybertruckLaunch"/>
    <n v="9.0759753593429152E-2"/>
  </r>
  <r>
    <s v="P160"/>
    <x v="0"/>
    <d v="2024-08-24T00:00:00"/>
    <x v="1"/>
    <s v="Check out our latest video on twitter!"/>
    <x v="115"/>
    <x v="113"/>
    <x v="107"/>
    <n v="19476"/>
    <n v="18654"/>
    <n v="20"/>
    <s v="#TeslaCoInnovation"/>
    <m/>
    <n v="9.1137810638734856E-2"/>
  </r>
  <r>
    <s v="P177"/>
    <x v="3"/>
    <d v="2024-07-10T00:00:00"/>
    <x v="0"/>
    <s v="Check out our latest carousel on instagram!"/>
    <x v="116"/>
    <x v="114"/>
    <x v="90"/>
    <n v="43386"/>
    <n v="42921"/>
    <n v="52"/>
    <s v="#TeslaCoInnovation"/>
    <s v="FSDUpdate"/>
    <n v="9.1365878393951966E-2"/>
  </r>
  <r>
    <s v="P055"/>
    <x v="1"/>
    <d v="2024-06-17T00:00:00"/>
    <x v="5"/>
    <s v="Check out our latest image on facebook!"/>
    <x v="117"/>
    <x v="115"/>
    <x v="87"/>
    <n v="14712"/>
    <n v="14049"/>
    <n v="123"/>
    <s v="#EVRevolution"/>
    <s v="SustainabilityDrive"/>
    <n v="9.1897770527460579E-2"/>
  </r>
  <r>
    <s v="P100"/>
    <x v="2"/>
    <d v="2025-02-10T00:00:00"/>
    <x v="1"/>
    <s v="Check out our latest video on youtube!"/>
    <x v="118"/>
    <x v="116"/>
    <x v="31"/>
    <n v="24724"/>
    <n v="24333"/>
    <n v="52"/>
    <s v="#EVRevolution"/>
    <m/>
    <n v="9.2298980747451867E-2"/>
  </r>
  <r>
    <s v="P059"/>
    <x v="3"/>
    <d v="2024-06-22T00:00:00"/>
    <x v="3"/>
    <s v="Check out our latest text on instagram!"/>
    <x v="119"/>
    <x v="117"/>
    <x v="108"/>
    <n v="30520"/>
    <n v="30059"/>
    <n v="174"/>
    <s v="#EVRevolution"/>
    <m/>
    <n v="9.2726081258191345E-2"/>
  </r>
  <r>
    <s v="P069"/>
    <x v="0"/>
    <d v="2025-03-08T00:00:00"/>
    <x v="3"/>
    <s v="Check out our latest text on twitter!"/>
    <x v="120"/>
    <x v="118"/>
    <x v="109"/>
    <n v="25840"/>
    <n v="24916"/>
    <n v="149"/>
    <s v="#FutureOfDriving"/>
    <s v="FSDUpdate"/>
    <n v="9.3421052631578946E-2"/>
  </r>
  <r>
    <s v="P139"/>
    <x v="2"/>
    <d v="2024-10-29T00:00:00"/>
    <x v="3"/>
    <s v="Check out our latest text on youtube!"/>
    <x v="121"/>
    <x v="119"/>
    <x v="110"/>
    <n v="32952"/>
    <n v="32147"/>
    <n v="147"/>
    <s v="#EVRevolution"/>
    <s v="CybertruckLaunch"/>
    <n v="9.422796795338674E-2"/>
  </r>
  <r>
    <s v="P017"/>
    <x v="1"/>
    <d v="2025-05-05T00:00:00"/>
    <x v="3"/>
    <s v="Check out our latest text on facebook!"/>
    <x v="122"/>
    <x v="120"/>
    <x v="111"/>
    <n v="53292"/>
    <n v="53082"/>
    <n v="159"/>
    <s v="#EVRevolution"/>
    <s v="SustainabilityDrive"/>
    <n v="9.4235532537716729E-2"/>
  </r>
  <r>
    <s v="P081"/>
    <x v="3"/>
    <d v="2024-10-19T00:00:00"/>
    <x v="4"/>
    <s v="Check out our latest story on instagram!"/>
    <x v="123"/>
    <x v="121"/>
    <x v="112"/>
    <n v="19976"/>
    <n v="19262"/>
    <n v="283"/>
    <s v="#TeslaCoInnovation"/>
    <s v="FSDUpdate"/>
    <n v="9.4413295955146179E-2"/>
  </r>
  <r>
    <s v="P185"/>
    <x v="3"/>
    <d v="2025-01-11T00:00:00"/>
    <x v="0"/>
    <s v="Check out our latest carousel on instagram!"/>
    <x v="124"/>
    <x v="122"/>
    <x v="113"/>
    <n v="49753"/>
    <n v="49329"/>
    <n v="71"/>
    <s v="#EVRevolution"/>
    <m/>
    <n v="9.5290736237010829E-2"/>
  </r>
  <r>
    <s v="P243"/>
    <x v="0"/>
    <d v="2025-03-06T00:00:00"/>
    <x v="5"/>
    <s v="Check out our latest image on twitter!"/>
    <x v="125"/>
    <x v="123"/>
    <x v="114"/>
    <n v="50288"/>
    <n v="49490"/>
    <n v="32"/>
    <s v="#FutureOfDriving"/>
    <s v="SustainabilityDrive"/>
    <n v="9.7001272669424113E-2"/>
  </r>
  <r>
    <s v="P273"/>
    <x v="2"/>
    <d v="2024-10-12T00:00:00"/>
    <x v="4"/>
    <s v="Check out our latest story on youtube!"/>
    <x v="126"/>
    <x v="124"/>
    <x v="115"/>
    <n v="40051"/>
    <n v="39319"/>
    <n v="296"/>
    <s v="#EVRevolution"/>
    <s v="SustainabilityDrive"/>
    <n v="9.7700431949264685E-2"/>
  </r>
  <r>
    <s v="P171"/>
    <x v="2"/>
    <d v="2024-12-31T00:00:00"/>
    <x v="1"/>
    <s v="Check out our latest video on youtube!"/>
    <x v="127"/>
    <x v="125"/>
    <x v="116"/>
    <n v="18324"/>
    <n v="18164"/>
    <n v="38"/>
    <s v="#FutureOfDriving"/>
    <s v="ModelYCampaign"/>
    <n v="9.8068107400130972E-2"/>
  </r>
  <r>
    <s v="P044"/>
    <x v="0"/>
    <d v="2025-03-02T00:00:00"/>
    <x v="5"/>
    <s v="Check out our latest image on twitter!"/>
    <x v="128"/>
    <x v="126"/>
    <x v="106"/>
    <n v="35370"/>
    <n v="34475"/>
    <n v="216"/>
    <s v="#TeslaCoInnovation"/>
    <m/>
    <n v="9.8558100084817649E-2"/>
  </r>
  <r>
    <s v="P167"/>
    <x v="3"/>
    <d v="2024-11-28T00:00:00"/>
    <x v="3"/>
    <s v="Check out our latest text on instagram!"/>
    <x v="129"/>
    <x v="127"/>
    <x v="117"/>
    <n v="57252"/>
    <n v="56378"/>
    <n v="150"/>
    <s v="#FutureOfDriving"/>
    <m/>
    <n v="9.859917557465242E-2"/>
  </r>
  <r>
    <s v="P193"/>
    <x v="0"/>
    <d v="2024-09-11T00:00:00"/>
    <x v="5"/>
    <s v="Check out our latest image on twitter!"/>
    <x v="130"/>
    <x v="128"/>
    <x v="15"/>
    <n v="53438"/>
    <n v="52687"/>
    <n v="223"/>
    <s v="#EVRevolution"/>
    <s v="FSDUpdate"/>
    <n v="9.9255211647142488E-2"/>
  </r>
  <r>
    <s v="P191"/>
    <x v="2"/>
    <d v="2024-12-03T00:00:00"/>
    <x v="4"/>
    <s v="Check out our latest story on youtube!"/>
    <x v="131"/>
    <x v="129"/>
    <x v="118"/>
    <n v="55705"/>
    <n v="55556"/>
    <n v="51"/>
    <s v="#FutureOfDriving"/>
    <s v="FSDUpdate"/>
    <n v="9.9578134817341346E-2"/>
  </r>
  <r>
    <s v="P103"/>
    <x v="1"/>
    <d v="2024-06-11T00:00:00"/>
    <x v="5"/>
    <s v="Check out our latest image on facebook!"/>
    <x v="132"/>
    <x v="130"/>
    <x v="119"/>
    <n v="40579"/>
    <n v="39588"/>
    <n v="212"/>
    <s v="#EVRevolution"/>
    <s v="ModelYCampaign"/>
    <n v="9.9632815002833983E-2"/>
  </r>
  <r>
    <s v="P126"/>
    <x v="3"/>
    <d v="2025-03-28T00:00:00"/>
    <x v="0"/>
    <s v="Check out our latest carousel on instagram!"/>
    <x v="133"/>
    <x v="131"/>
    <x v="120"/>
    <n v="45738"/>
    <n v="45183"/>
    <n v="142"/>
    <s v="#FutureOfDriving"/>
    <m/>
    <n v="9.9829463465827106E-2"/>
  </r>
  <r>
    <s v="P108"/>
    <x v="0"/>
    <d v="2025-03-25T00:00:00"/>
    <x v="1"/>
    <s v="Check out our latest video on twitter!"/>
    <x v="134"/>
    <x v="132"/>
    <x v="121"/>
    <n v="52650"/>
    <n v="51755"/>
    <n v="209"/>
    <s v="#TeslaCoInnovation"/>
    <s v="ModelYCampaign"/>
    <n v="0.10005698005698006"/>
  </r>
  <r>
    <s v="P019"/>
    <x v="3"/>
    <d v="2024-06-23T00:00:00"/>
    <x v="1"/>
    <s v="Check out our latest video on instagram!"/>
    <x v="135"/>
    <x v="133"/>
    <x v="122"/>
    <n v="16065"/>
    <n v="15865"/>
    <n v="103"/>
    <s v="#TeslaCoInnovation"/>
    <s v="SustainabilityDrive"/>
    <n v="0.10034235916588857"/>
  </r>
  <r>
    <s v="P266"/>
    <x v="1"/>
    <d v="2024-11-25T00:00:00"/>
    <x v="4"/>
    <s v="Check out our latest story on facebook!"/>
    <x v="136"/>
    <x v="69"/>
    <x v="123"/>
    <n v="50184"/>
    <n v="49351"/>
    <n v="10"/>
    <s v="#TeslaCoInnovation"/>
    <s v="FSDUpdate"/>
    <n v="0.10086880280567512"/>
  </r>
  <r>
    <s v="P182"/>
    <x v="1"/>
    <d v="2024-07-31T00:00:00"/>
    <x v="5"/>
    <s v="Check out our latest image on facebook!"/>
    <x v="137"/>
    <x v="134"/>
    <x v="95"/>
    <n v="51579"/>
    <n v="50924"/>
    <n v="173"/>
    <s v="#TeslaCoInnovation"/>
    <s v="SustainabilityDrive"/>
    <n v="0.10132030477519921"/>
  </r>
  <r>
    <s v="P018"/>
    <x v="3"/>
    <d v="2024-08-19T00:00:00"/>
    <x v="2"/>
    <s v="Check out our latest reel on instagram!"/>
    <x v="138"/>
    <x v="135"/>
    <x v="22"/>
    <n v="36000"/>
    <n v="35819"/>
    <n v="19"/>
    <s v="#FutureOfDriving"/>
    <s v="CybertruckLaunch"/>
    <n v="0.10297222222222223"/>
  </r>
  <r>
    <s v="P096"/>
    <x v="0"/>
    <d v="2024-09-10T00:00:00"/>
    <x v="5"/>
    <s v="Check out our latest image on twitter!"/>
    <x v="139"/>
    <x v="136"/>
    <x v="124"/>
    <n v="19808"/>
    <n v="19334"/>
    <n v="123"/>
    <s v="#FutureOfDriving"/>
    <m/>
    <n v="0.10339256865912763"/>
  </r>
  <r>
    <s v="P008"/>
    <x v="2"/>
    <d v="2024-07-13T00:00:00"/>
    <x v="5"/>
    <s v="Check out our latest image on youtube!"/>
    <x v="140"/>
    <x v="111"/>
    <x v="125"/>
    <n v="43219"/>
    <n v="42841"/>
    <n v="39"/>
    <s v="#EVRevolution"/>
    <s v="SustainabilityDrive"/>
    <n v="0.10340359564080613"/>
  </r>
  <r>
    <s v="P205"/>
    <x v="0"/>
    <d v="2025-04-24T00:00:00"/>
    <x v="1"/>
    <s v="Check out our latest video on twitter!"/>
    <x v="141"/>
    <x v="75"/>
    <x v="126"/>
    <n v="45840"/>
    <n v="45631"/>
    <n v="171"/>
    <s v="#TeslaCoInnovation"/>
    <s v="SustainabilityDrive"/>
    <n v="0.1043848167539267"/>
  </r>
  <r>
    <s v="P205"/>
    <x v="0"/>
    <d v="2025-04-24T00:00:00"/>
    <x v="1"/>
    <s v="Check out our latest video on twitter!"/>
    <x v="141"/>
    <x v="75"/>
    <x v="126"/>
    <n v="45840"/>
    <n v="45631"/>
    <n v="171"/>
    <s v="#SmoothLikeNitroTesla"/>
    <s v="SustainabilityDrive"/>
    <n v="0.1043848167539267"/>
  </r>
  <r>
    <s v="P049"/>
    <x v="0"/>
    <d v="2024-06-10T00:00:00"/>
    <x v="4"/>
    <s v="Check out our latest story on twitter!"/>
    <x v="142"/>
    <x v="137"/>
    <x v="54"/>
    <n v="28132"/>
    <n v="27361"/>
    <n v="177"/>
    <s v="#TeslaCoInnovation"/>
    <s v="SustainabilityDrive"/>
    <n v="0.10617801791554102"/>
  </r>
  <r>
    <s v="P282"/>
    <x v="3"/>
    <d v="2024-10-03T00:00:00"/>
    <x v="1"/>
    <s v="Check out our latest video on instagram!"/>
    <x v="143"/>
    <x v="138"/>
    <x v="127"/>
    <n v="19344"/>
    <n v="18395"/>
    <n v="30"/>
    <s v="#FutureOfDriving"/>
    <s v="FSDUpdate"/>
    <n v="0.1071650124069479"/>
  </r>
  <r>
    <s v="P206"/>
    <x v="0"/>
    <d v="2024-06-24T00:00:00"/>
    <x v="3"/>
    <s v="Check out our latest text on twitter!"/>
    <x v="144"/>
    <x v="139"/>
    <x v="128"/>
    <n v="14115"/>
    <n v="13838"/>
    <n v="87"/>
    <s v="#EVRevolution"/>
    <s v="CybertruckLaunch"/>
    <n v="0.10768685795253277"/>
  </r>
  <r>
    <s v="P157"/>
    <x v="2"/>
    <d v="2024-07-23T00:00:00"/>
    <x v="4"/>
    <s v="Check out our latest story on youtube!"/>
    <x v="145"/>
    <x v="140"/>
    <x v="129"/>
    <n v="47750"/>
    <n v="47544"/>
    <n v="187"/>
    <s v="#FutureOfDriving"/>
    <s v="ModelYCampaign"/>
    <n v="0.10793717277486911"/>
  </r>
  <r>
    <s v="P156"/>
    <x v="1"/>
    <d v="2024-10-22T00:00:00"/>
    <x v="0"/>
    <s v="Check out our latest carousel on facebook!"/>
    <x v="146"/>
    <x v="141"/>
    <x v="130"/>
    <n v="43576"/>
    <n v="43338"/>
    <n v="240"/>
    <s v="#FutureOfDriving"/>
    <s v="ModelYCampaign"/>
    <n v="0.1095786671562328"/>
  </r>
  <r>
    <s v="P151"/>
    <x v="3"/>
    <d v="2024-07-26T00:00:00"/>
    <x v="5"/>
    <s v="Check out our latest image on instagram!"/>
    <x v="147"/>
    <x v="142"/>
    <x v="131"/>
    <n v="35590"/>
    <n v="35105"/>
    <n v="122"/>
    <s v="#EVRevolution"/>
    <s v="CybertruckLaunch"/>
    <n v="0.10977802753582468"/>
  </r>
  <r>
    <s v="P278"/>
    <x v="0"/>
    <d v="2024-11-26T00:00:00"/>
    <x v="3"/>
    <s v="Check out our latest text on twitter!"/>
    <x v="148"/>
    <x v="143"/>
    <x v="132"/>
    <n v="49676"/>
    <n v="49257"/>
    <n v="282"/>
    <s v="#EVRevolution"/>
    <s v="SustainabilityDrive"/>
    <n v="0.11114018842096787"/>
  </r>
  <r>
    <s v="P222"/>
    <x v="1"/>
    <d v="2024-10-08T00:00:00"/>
    <x v="2"/>
    <s v="Check out our latest reel on facebook!"/>
    <x v="149"/>
    <x v="144"/>
    <x v="133"/>
    <n v="25396"/>
    <n v="25286"/>
    <n v="39"/>
    <s v="#FutureOfDriving"/>
    <s v="CybertruckLaunch"/>
    <n v="0.11143487163332809"/>
  </r>
  <r>
    <s v="P222"/>
    <x v="1"/>
    <d v="2024-10-08T00:00:00"/>
    <x v="2"/>
    <s v="Check out our latest reel on facebook!"/>
    <x v="149"/>
    <x v="144"/>
    <x v="133"/>
    <n v="25396"/>
    <n v="25286"/>
    <n v="39"/>
    <s v="#SmoothLikeNitroTesla"/>
    <s v="CybertruckLaunch"/>
    <n v="0.11143487163332809"/>
  </r>
  <r>
    <s v="P227"/>
    <x v="3"/>
    <d v="2024-06-12T00:00:00"/>
    <x v="3"/>
    <s v="Check out our latest text on instagram!"/>
    <x v="150"/>
    <x v="145"/>
    <x v="134"/>
    <n v="4674"/>
    <n v="4390"/>
    <n v="217"/>
    <s v="#FutureOfDriving"/>
    <s v="FSDUpdate"/>
    <n v="0.11232349165596919"/>
  </r>
  <r>
    <s v="P098"/>
    <x v="0"/>
    <d v="2024-06-10T00:00:00"/>
    <x v="4"/>
    <s v="Check out our latest story on twitter!"/>
    <x v="151"/>
    <x v="93"/>
    <x v="26"/>
    <n v="25200"/>
    <n v="24826"/>
    <n v="17"/>
    <s v="#FutureOfDriving"/>
    <s v="SustainabilityDrive"/>
    <n v="0.11238095238095239"/>
  </r>
  <r>
    <s v="P158"/>
    <x v="3"/>
    <d v="2024-08-11T00:00:00"/>
    <x v="4"/>
    <s v="Check out our latest story on instagram!"/>
    <x v="152"/>
    <x v="146"/>
    <x v="135"/>
    <n v="22906"/>
    <n v="21925"/>
    <n v="25"/>
    <s v="#TeslaCoInnovation"/>
    <s v="CybertruckLaunch"/>
    <n v="0.11307081114118571"/>
  </r>
  <r>
    <s v="P113"/>
    <x v="0"/>
    <d v="2024-10-02T00:00:00"/>
    <x v="0"/>
    <s v="Check out our latest carousel on twitter!"/>
    <x v="153"/>
    <x v="147"/>
    <x v="136"/>
    <n v="44190"/>
    <n v="43582"/>
    <n v="10"/>
    <s v="#EVRevolution"/>
    <s v="CybertruckLaunch"/>
    <n v="0.11369088028965829"/>
  </r>
  <r>
    <s v="P284"/>
    <x v="0"/>
    <d v="2024-09-17T00:00:00"/>
    <x v="3"/>
    <s v="Check out our latest text on twitter!"/>
    <x v="154"/>
    <x v="148"/>
    <x v="137"/>
    <n v="9707"/>
    <n v="9418"/>
    <n v="231"/>
    <s v="#TeslaCoInnovation"/>
    <s v="SustainabilityDrive"/>
    <n v="0.11465952405480581"/>
  </r>
  <r>
    <s v="P155"/>
    <x v="2"/>
    <d v="2024-12-21T00:00:00"/>
    <x v="5"/>
    <s v="Check out our latest image on youtube!"/>
    <x v="155"/>
    <x v="149"/>
    <x v="134"/>
    <n v="22830"/>
    <n v="22617"/>
    <n v="143"/>
    <s v="#FutureOfDriving"/>
    <s v="ModelYCampaign"/>
    <n v="0.11489268506351293"/>
  </r>
  <r>
    <s v="P161"/>
    <x v="0"/>
    <d v="2025-02-19T00:00:00"/>
    <x v="3"/>
    <s v="Check out our latest text on twitter!"/>
    <x v="156"/>
    <x v="150"/>
    <x v="138"/>
    <n v="51381"/>
    <n v="50565"/>
    <n v="245"/>
    <s v="#TeslaCoInnovation"/>
    <s v="SustainabilityDrive"/>
    <n v="0.11508145034156594"/>
  </r>
  <r>
    <s v="P011"/>
    <x v="3"/>
    <d v="2025-02-02T00:00:00"/>
    <x v="4"/>
    <s v="Check out our latest story on instagram!"/>
    <x v="157"/>
    <x v="151"/>
    <x v="139"/>
    <n v="25088"/>
    <n v="24675"/>
    <n v="65"/>
    <s v="#FutureOfDriving"/>
    <s v="SustainabilityDrive"/>
    <n v="0.11571269132653061"/>
  </r>
  <r>
    <s v="P251"/>
    <x v="3"/>
    <d v="2025-03-27T00:00:00"/>
    <x v="0"/>
    <s v="Check out our latest carousel on instagram!"/>
    <x v="158"/>
    <x v="152"/>
    <x v="108"/>
    <n v="22032"/>
    <n v="21869"/>
    <n v="189"/>
    <s v="#FutureOfDriving"/>
    <m/>
    <n v="0.11619462599854757"/>
  </r>
  <r>
    <s v="P117"/>
    <x v="0"/>
    <d v="2024-11-04T00:00:00"/>
    <x v="5"/>
    <s v="Check out our latest image on twitter!"/>
    <x v="66"/>
    <x v="11"/>
    <x v="140"/>
    <n v="20878"/>
    <n v="20190"/>
    <n v="219"/>
    <s v="#EVRevolution"/>
    <s v="SustainabilityDrive"/>
    <n v="0.11792317271769326"/>
  </r>
  <r>
    <s v="P035"/>
    <x v="3"/>
    <d v="2024-11-30T00:00:00"/>
    <x v="1"/>
    <s v="Check out our latest video on instagram!"/>
    <x v="159"/>
    <x v="153"/>
    <x v="68"/>
    <n v="33975"/>
    <n v="33310"/>
    <n v="271"/>
    <s v="#FutureOfDriving"/>
    <s v="ModelYCampaign"/>
    <n v="0.11861662987490802"/>
  </r>
  <r>
    <s v="P247"/>
    <x v="1"/>
    <d v="2024-08-27T00:00:00"/>
    <x v="2"/>
    <s v="Check out our latest reel on facebook!"/>
    <x v="160"/>
    <x v="154"/>
    <x v="141"/>
    <n v="35640"/>
    <n v="34850"/>
    <n v="208"/>
    <s v="#FutureOfDriving"/>
    <m/>
    <n v="0.11879910213243547"/>
  </r>
  <r>
    <s v="P247"/>
    <x v="1"/>
    <d v="2024-08-27T00:00:00"/>
    <x v="2"/>
    <s v="Check out our latest reel on facebook!"/>
    <x v="160"/>
    <x v="154"/>
    <x v="141"/>
    <n v="35640"/>
    <n v="34850"/>
    <n v="208"/>
    <s v="#EVRevolution"/>
    <m/>
    <n v="0.11879910213243547"/>
  </r>
  <r>
    <s v="P247"/>
    <x v="1"/>
    <d v="2024-08-27T00:00:00"/>
    <x v="2"/>
    <s v="Check out our latest reel on facebook!"/>
    <x v="160"/>
    <x v="154"/>
    <x v="141"/>
    <n v="35640"/>
    <n v="34850"/>
    <n v="208"/>
    <s v="#BetterWithTesla"/>
    <m/>
    <n v="0.11879910213243547"/>
  </r>
  <r>
    <s v="P065"/>
    <x v="3"/>
    <d v="2025-03-28T00:00:00"/>
    <x v="4"/>
    <s v="Check out our latest story on instagram!"/>
    <x v="161"/>
    <x v="155"/>
    <x v="63"/>
    <n v="20691"/>
    <n v="19987"/>
    <n v="289"/>
    <s v="#EVRevolution"/>
    <m/>
    <n v="0.11990720603160794"/>
  </r>
  <r>
    <s v="P071"/>
    <x v="2"/>
    <d v="2024-09-02T00:00:00"/>
    <x v="0"/>
    <s v="Check out our latest carousel on youtube!"/>
    <x v="162"/>
    <x v="156"/>
    <x v="142"/>
    <n v="30612"/>
    <n v="30360"/>
    <n v="227"/>
    <s v="#TeslaCoInnovation"/>
    <s v="ModelYCampaign"/>
    <n v="0.1199202926956749"/>
  </r>
  <r>
    <s v="P255"/>
    <x v="1"/>
    <d v="2025-04-03T00:00:00"/>
    <x v="4"/>
    <s v="Check out our latest story on facebook!"/>
    <x v="163"/>
    <x v="157"/>
    <x v="143"/>
    <n v="37670"/>
    <n v="36807"/>
    <n v="226"/>
    <s v="#FutureOfDriving"/>
    <s v="SustainabilityDrive"/>
    <n v="0.11996283514733209"/>
  </r>
  <r>
    <s v="P075"/>
    <x v="3"/>
    <d v="2024-08-01T00:00:00"/>
    <x v="2"/>
    <s v="Check out our latest reel on instagram!"/>
    <x v="164"/>
    <x v="158"/>
    <x v="144"/>
    <n v="21762"/>
    <n v="20998"/>
    <n v="255"/>
    <s v="#TeslaCoInnovation"/>
    <s v="SustainabilityDrive"/>
    <n v="0.12131237937689551"/>
  </r>
  <r>
    <s v="P245"/>
    <x v="1"/>
    <d v="2025-01-12T00:00:00"/>
    <x v="2"/>
    <s v="Check out our latest reel on facebook!"/>
    <x v="165"/>
    <x v="159"/>
    <x v="63"/>
    <n v="41340"/>
    <n v="41050"/>
    <n v="177"/>
    <s v="#EVRevolution"/>
    <s v="CybertruckLaunch"/>
    <n v="0.12232704402515723"/>
  </r>
  <r>
    <s v="P110"/>
    <x v="3"/>
    <d v="2024-07-29T00:00:00"/>
    <x v="2"/>
    <s v="Check out our latest reel on instagram!"/>
    <x v="166"/>
    <x v="160"/>
    <x v="130"/>
    <n v="38753"/>
    <n v="38579"/>
    <n v="270"/>
    <s v="#EVRevolution"/>
    <s v="ModelYCampaign"/>
    <n v="0.12277759141227776"/>
  </r>
  <r>
    <s v="P212"/>
    <x v="2"/>
    <d v="2025-03-03T00:00:00"/>
    <x v="1"/>
    <s v="Check out our latest video on youtube!"/>
    <x v="167"/>
    <x v="161"/>
    <x v="3"/>
    <n v="38740"/>
    <n v="38552"/>
    <n v="219"/>
    <s v="#TeslaCoInnovation"/>
    <s v="ModelYCampaign"/>
    <n v="0.123309241094476"/>
  </r>
  <r>
    <s v="P292"/>
    <x v="1"/>
    <d v="2024-11-17T00:00:00"/>
    <x v="3"/>
    <s v="Check out our latest text on facebook!"/>
    <x v="168"/>
    <x v="162"/>
    <x v="145"/>
    <n v="12320"/>
    <n v="11978"/>
    <n v="238"/>
    <s v="#TeslaCoInnovation"/>
    <m/>
    <n v="0.12353896103896105"/>
  </r>
  <r>
    <s v="P292"/>
    <x v="1"/>
    <d v="2024-11-17T00:00:00"/>
    <x v="3"/>
    <s v="Check out our latest text on facebook!"/>
    <x v="168"/>
    <x v="162"/>
    <x v="145"/>
    <n v="12320"/>
    <n v="11978"/>
    <n v="238"/>
    <s v="#AnytimeIsTeslaTime"/>
    <m/>
    <n v="0.12353896103896105"/>
  </r>
  <r>
    <s v="P293"/>
    <x v="1"/>
    <d v="2025-05-14T00:00:00"/>
    <x v="3"/>
    <s v="Check out our latest text on facebook!"/>
    <x v="169"/>
    <x v="163"/>
    <x v="120"/>
    <n v="28974"/>
    <n v="28102"/>
    <n v="277"/>
    <s v="#EVRevolution"/>
    <s v="CybertruckLaunch"/>
    <n v="0.12428384068475185"/>
  </r>
  <r>
    <s v="P169"/>
    <x v="2"/>
    <d v="2024-12-03T00:00:00"/>
    <x v="1"/>
    <s v="Check out our latest video on youtube!"/>
    <x v="170"/>
    <x v="164"/>
    <x v="146"/>
    <n v="34281"/>
    <n v="33534"/>
    <n v="83"/>
    <s v="#EVRevolution"/>
    <s v="CybertruckLaunch"/>
    <n v="0.12490884163239112"/>
  </r>
  <r>
    <s v="P128"/>
    <x v="0"/>
    <d v="2025-01-10T00:00:00"/>
    <x v="5"/>
    <s v="Check out our latest image on twitter!"/>
    <x v="171"/>
    <x v="61"/>
    <x v="147"/>
    <n v="27828"/>
    <n v="27217"/>
    <n v="102"/>
    <s v="#FutureOfDriving"/>
    <m/>
    <n v="0.12537731780940059"/>
  </r>
  <r>
    <s v="P196"/>
    <x v="3"/>
    <d v="2024-12-19T00:00:00"/>
    <x v="3"/>
    <s v="Check out our latest text on instagram!"/>
    <x v="172"/>
    <x v="165"/>
    <x v="148"/>
    <n v="19943"/>
    <n v="18959"/>
    <n v="85"/>
    <s v="#EVRevolution"/>
    <s v="FSDUpdate"/>
    <n v="0.12575841147269717"/>
  </r>
  <r>
    <s v="P038"/>
    <x v="2"/>
    <d v="2025-02-17T00:00:00"/>
    <x v="2"/>
    <s v="Check out our latest reel on youtube!"/>
    <x v="173"/>
    <x v="166"/>
    <x v="147"/>
    <n v="28242"/>
    <n v="27550"/>
    <n v="87"/>
    <s v="#TeslaCoInnovation"/>
    <s v="SustainabilityDrive"/>
    <n v="0.12577012959422137"/>
  </r>
  <r>
    <s v="P033"/>
    <x v="1"/>
    <d v="2024-08-21T00:00:00"/>
    <x v="5"/>
    <s v="Check out our latest image on facebook!"/>
    <x v="174"/>
    <x v="52"/>
    <x v="149"/>
    <n v="16884"/>
    <n v="15954"/>
    <n v="113"/>
    <s v="#TeslaCoInnovation"/>
    <s v="CybertruckLaunch"/>
    <n v="0.12781331438047855"/>
  </r>
  <r>
    <s v="P235"/>
    <x v="1"/>
    <d v="2024-12-22T00:00:00"/>
    <x v="5"/>
    <s v="Check out our latest image on facebook!"/>
    <x v="175"/>
    <x v="141"/>
    <x v="118"/>
    <n v="35156"/>
    <n v="34444"/>
    <n v="241"/>
    <s v="#TeslaCoInnovation"/>
    <s v="FSDUpdate"/>
    <n v="0.1283706906360223"/>
  </r>
  <r>
    <s v="P012"/>
    <x v="1"/>
    <d v="2024-07-21T00:00:00"/>
    <x v="2"/>
    <s v="Check out our latest reel on facebook!"/>
    <x v="176"/>
    <x v="167"/>
    <x v="150"/>
    <n v="23352"/>
    <n v="22982"/>
    <n v="213"/>
    <s v="#FutureOfDriving"/>
    <s v="FSDUpdate"/>
    <n v="0.12885405960945528"/>
  </r>
  <r>
    <s v="P105"/>
    <x v="3"/>
    <d v="2024-06-14T00:00:00"/>
    <x v="0"/>
    <s v="Check out our latest carousel on instagram!"/>
    <x v="177"/>
    <x v="168"/>
    <x v="151"/>
    <n v="4482"/>
    <n v="3647"/>
    <n v="32"/>
    <s v="#FutureOfDriving"/>
    <s v="CybertruckLaunch"/>
    <n v="0.12896028558679162"/>
  </r>
  <r>
    <s v="P056"/>
    <x v="1"/>
    <d v="2024-12-18T00:00:00"/>
    <x v="0"/>
    <s v="Check out our latest carousel on facebook!"/>
    <x v="178"/>
    <x v="169"/>
    <x v="152"/>
    <n v="29460"/>
    <n v="28527"/>
    <n v="60"/>
    <s v="#FutureOfDriving"/>
    <s v="FSDUpdate"/>
    <n v="0.12936184657162253"/>
  </r>
  <r>
    <s v="P114"/>
    <x v="0"/>
    <d v="2024-11-14T00:00:00"/>
    <x v="4"/>
    <s v="Check out our latest story on twitter!"/>
    <x v="179"/>
    <x v="170"/>
    <x v="153"/>
    <n v="40000"/>
    <n v="39569"/>
    <n v="44"/>
    <s v="#FutureOfDriving"/>
    <s v="CybertruckLaunch"/>
    <n v="0.12942500000000001"/>
  </r>
  <r>
    <s v="P236"/>
    <x v="1"/>
    <d v="2024-08-19T00:00:00"/>
    <x v="3"/>
    <s v="Check out our latest text on facebook!"/>
    <x v="180"/>
    <x v="171"/>
    <x v="149"/>
    <n v="12570"/>
    <n v="11660"/>
    <n v="194"/>
    <s v="#FutureOfDriving"/>
    <s v="ModelYCampaign"/>
    <n v="0.12943516308671441"/>
  </r>
  <r>
    <s v="P236"/>
    <x v="1"/>
    <d v="2024-08-19T00:00:00"/>
    <x v="3"/>
    <s v="Check out our latest text on facebook!"/>
    <x v="180"/>
    <x v="171"/>
    <x v="149"/>
    <n v="12570"/>
    <n v="11660"/>
    <n v="194"/>
    <s v="#AnytimeIsTeslaTime"/>
    <s v="ModelYCampaign"/>
    <n v="0.12943516308671441"/>
  </r>
  <r>
    <s v="P236"/>
    <x v="1"/>
    <d v="2024-08-19T00:00:00"/>
    <x v="3"/>
    <s v="Check out our latest text on facebook!"/>
    <x v="180"/>
    <x v="171"/>
    <x v="149"/>
    <n v="12570"/>
    <n v="11660"/>
    <n v="194"/>
    <s v="#EVRevolution"/>
    <s v="ModelYCampaign"/>
    <n v="0.12943516308671441"/>
  </r>
  <r>
    <s v="P131"/>
    <x v="3"/>
    <d v="2024-10-21T00:00:00"/>
    <x v="2"/>
    <s v="Check out our latest reel on instagram!"/>
    <x v="181"/>
    <x v="172"/>
    <x v="154"/>
    <n v="43560"/>
    <n v="43225"/>
    <n v="57"/>
    <s v="#FutureOfDriving"/>
    <s v="FSDUpdate"/>
    <n v="0.13106060606060607"/>
  </r>
  <r>
    <s v="P254"/>
    <x v="0"/>
    <d v="2025-01-14T00:00:00"/>
    <x v="5"/>
    <s v="Check out our latest image on twitter!"/>
    <x v="182"/>
    <x v="42"/>
    <x v="155"/>
    <n v="21536"/>
    <n v="21120"/>
    <n v="224"/>
    <s v="#FutureOfDriving"/>
    <s v="ModelYCampaign"/>
    <n v="0.13331166419019316"/>
  </r>
  <r>
    <s v="P074"/>
    <x v="2"/>
    <d v="2024-10-28T00:00:00"/>
    <x v="2"/>
    <s v="Check out our latest reel on youtube!"/>
    <x v="183"/>
    <x v="173"/>
    <x v="51"/>
    <n v="16695"/>
    <n v="16330"/>
    <n v="123"/>
    <s v="#TeslaCoInnovation"/>
    <s v="FSDUpdate"/>
    <n v="0.13351302785265048"/>
  </r>
  <r>
    <s v="P229"/>
    <x v="3"/>
    <d v="2024-07-03T00:00:00"/>
    <x v="0"/>
    <s v="Check out our latest carousel on instagram!"/>
    <x v="184"/>
    <x v="114"/>
    <x v="131"/>
    <n v="43191"/>
    <n v="42228"/>
    <n v="118"/>
    <s v="#TeslaCoInnovation"/>
    <m/>
    <n v="0.13387048227640017"/>
  </r>
  <r>
    <s v="P132"/>
    <x v="3"/>
    <d v="2025-03-04T00:00:00"/>
    <x v="4"/>
    <s v="Check out our latest story on instagram!"/>
    <x v="185"/>
    <x v="174"/>
    <x v="39"/>
    <n v="21417"/>
    <n v="20967"/>
    <n v="186"/>
    <s v="#FutureOfDriving"/>
    <s v="ModelYCampaign"/>
    <n v="0.13493953401503478"/>
  </r>
  <r>
    <s v="P050"/>
    <x v="2"/>
    <d v="2024-07-03T00:00:00"/>
    <x v="4"/>
    <s v="Check out our latest story on youtube!"/>
    <x v="186"/>
    <x v="175"/>
    <x v="156"/>
    <n v="22032"/>
    <n v="21288"/>
    <n v="112"/>
    <s v="#TeslaCoInnovation"/>
    <s v="FSDUpdate"/>
    <n v="0.13498547567175018"/>
  </r>
  <r>
    <s v="P285"/>
    <x v="2"/>
    <d v="2024-07-18T00:00:00"/>
    <x v="3"/>
    <s v="Check out our latest text on youtube!"/>
    <x v="187"/>
    <x v="176"/>
    <x v="157"/>
    <n v="36189"/>
    <n v="35505"/>
    <n v="174"/>
    <s v="#EVRevolution"/>
    <m/>
    <n v="0.13517919809886983"/>
  </r>
  <r>
    <s v="P088"/>
    <x v="1"/>
    <d v="2024-07-07T00:00:00"/>
    <x v="4"/>
    <s v="Check out our latest story on facebook!"/>
    <x v="188"/>
    <x v="177"/>
    <x v="53"/>
    <n v="5738"/>
    <n v="4890"/>
    <n v="25"/>
    <s v="#TeslaCoInnovation"/>
    <s v="SustainabilityDrive"/>
    <n v="0.13576158940397351"/>
  </r>
  <r>
    <s v="P092"/>
    <x v="0"/>
    <d v="2024-10-21T00:00:00"/>
    <x v="4"/>
    <s v="Check out our latest story on twitter!"/>
    <x v="189"/>
    <x v="178"/>
    <x v="158"/>
    <n v="38010"/>
    <n v="37625"/>
    <n v="236"/>
    <s v="#FutureOfDriving"/>
    <s v="FSDUpdate"/>
    <n v="0.13599052880820836"/>
  </r>
  <r>
    <s v="P184"/>
    <x v="0"/>
    <d v="2024-07-28T00:00:00"/>
    <x v="5"/>
    <s v="Check out our latest image on twitter!"/>
    <x v="190"/>
    <x v="41"/>
    <x v="159"/>
    <n v="32150"/>
    <n v="31404"/>
    <n v="251"/>
    <s v="#EVRevolution"/>
    <s v="CybertruckLaunch"/>
    <n v="0.13614307931570763"/>
  </r>
  <r>
    <s v="P195"/>
    <x v="3"/>
    <d v="2024-08-15T00:00:00"/>
    <x v="0"/>
    <s v="Check out our latest carousel on instagram!"/>
    <x v="191"/>
    <x v="179"/>
    <x v="160"/>
    <n v="11882"/>
    <n v="11500"/>
    <n v="282"/>
    <s v="#FutureOfDriving"/>
    <s v="SustainabilityDrive"/>
    <n v="0.13667732704931829"/>
  </r>
  <r>
    <s v="P195"/>
    <x v="3"/>
    <d v="2024-08-15T00:00:00"/>
    <x v="0"/>
    <s v="Check out our latest carousel on instagram!"/>
    <x v="191"/>
    <x v="179"/>
    <x v="160"/>
    <n v="11882"/>
    <n v="11500"/>
    <n v="282"/>
    <s v="#TeslaCoInnovation"/>
    <s v="SustainabilityDrive"/>
    <n v="0.13667732704931829"/>
  </r>
  <r>
    <s v="P195"/>
    <x v="3"/>
    <d v="2024-08-15T00:00:00"/>
    <x v="0"/>
    <s v="Check out our latest carousel on instagram!"/>
    <x v="191"/>
    <x v="179"/>
    <x v="160"/>
    <n v="11882"/>
    <n v="11500"/>
    <n v="282"/>
    <s v="#AnytimeIsTeslaTime"/>
    <s v="SustainabilityDrive"/>
    <n v="0.13667732704931829"/>
  </r>
  <r>
    <s v="P104"/>
    <x v="2"/>
    <d v="2025-03-23T00:00:00"/>
    <x v="4"/>
    <s v="Check out our latest story on youtube!"/>
    <x v="192"/>
    <x v="23"/>
    <x v="11"/>
    <n v="32895"/>
    <n v="32015"/>
    <n v="199"/>
    <s v="#TeslaCoInnovation"/>
    <s v="FSDUpdate"/>
    <n v="0.13707250341997265"/>
  </r>
  <r>
    <s v="P174"/>
    <x v="1"/>
    <d v="2024-06-22T00:00:00"/>
    <x v="3"/>
    <s v="Check out our latest text on facebook!"/>
    <x v="193"/>
    <x v="180"/>
    <x v="161"/>
    <n v="30624"/>
    <n v="30229"/>
    <n v="235"/>
    <s v="#EVRevolution"/>
    <m/>
    <n v="0.13809430512016718"/>
  </r>
  <r>
    <s v="P299"/>
    <x v="1"/>
    <d v="2024-08-26T00:00:00"/>
    <x v="5"/>
    <s v="Check out our latest image on facebook!"/>
    <x v="194"/>
    <x v="181"/>
    <x v="162"/>
    <n v="23229"/>
    <n v="22331"/>
    <n v="70"/>
    <s v="#FutureOfDriving"/>
    <s v="FSDUpdate"/>
    <n v="0.13840458048129492"/>
  </r>
  <r>
    <s v="P040"/>
    <x v="0"/>
    <d v="2025-03-07T00:00:00"/>
    <x v="5"/>
    <s v="Check out our latest image on twitter!"/>
    <x v="195"/>
    <x v="182"/>
    <x v="163"/>
    <n v="38000"/>
    <n v="37792"/>
    <n v="299"/>
    <s v="#EVRevolution"/>
    <s v="SustainabilityDrive"/>
    <n v="0.13989473684210527"/>
  </r>
  <r>
    <s v="P272"/>
    <x v="3"/>
    <d v="2025-03-27T00:00:00"/>
    <x v="3"/>
    <s v="Check out our latest text on instagram!"/>
    <x v="196"/>
    <x v="183"/>
    <x v="164"/>
    <n v="39528"/>
    <n v="39154"/>
    <n v="217"/>
    <s v="#TeslaCoInnovation"/>
    <s v="FSDUpdate"/>
    <n v="0.14220299534507186"/>
  </r>
  <r>
    <s v="P125"/>
    <x v="0"/>
    <d v="2024-09-08T00:00:00"/>
    <x v="0"/>
    <s v="Check out our latest carousel on twitter!"/>
    <x v="197"/>
    <x v="184"/>
    <x v="165"/>
    <n v="34299"/>
    <n v="34088"/>
    <n v="233"/>
    <s v="#TeslaCoInnovation"/>
    <s v="SustainabilityDrive"/>
    <n v="0.14265722032712325"/>
  </r>
  <r>
    <s v="P061"/>
    <x v="0"/>
    <d v="2024-09-05T00:00:00"/>
    <x v="1"/>
    <s v="Check out our latest video on twitter!"/>
    <x v="198"/>
    <x v="58"/>
    <x v="166"/>
    <n v="43974"/>
    <n v="43239"/>
    <n v="65"/>
    <s v="#TeslaCoInnovation"/>
    <s v="CybertruckLaunch"/>
    <n v="0.14276618001546368"/>
  </r>
  <r>
    <s v="P207"/>
    <x v="0"/>
    <d v="2024-12-29T00:00:00"/>
    <x v="0"/>
    <s v="Check out our latest carousel on twitter!"/>
    <x v="199"/>
    <x v="185"/>
    <x v="167"/>
    <n v="34192"/>
    <n v="33446"/>
    <n v="129"/>
    <s v="#TeslaCoInnovation"/>
    <s v="FSDUpdate"/>
    <n v="0.14316214319138981"/>
  </r>
  <r>
    <s v="P207"/>
    <x v="0"/>
    <d v="2024-12-29T00:00:00"/>
    <x v="0"/>
    <s v="Check out our latest carousel on twitter!"/>
    <x v="199"/>
    <x v="185"/>
    <x v="167"/>
    <n v="34192"/>
    <n v="33446"/>
    <n v="129"/>
    <s v="#SmoothLikeNitroTesla"/>
    <s v="FSDUpdate"/>
    <n v="0.14316214319138981"/>
  </r>
  <r>
    <s v="P166"/>
    <x v="0"/>
    <d v="2025-02-16T00:00:00"/>
    <x v="2"/>
    <s v="Check out our latest reel on twitter!"/>
    <x v="200"/>
    <x v="186"/>
    <x v="119"/>
    <n v="11836"/>
    <n v="11596"/>
    <n v="104"/>
    <s v="#FutureOfDriving"/>
    <s v="CybertruckLaunch"/>
    <n v="0.14320716458262928"/>
  </r>
  <r>
    <s v="P173"/>
    <x v="0"/>
    <d v="2024-12-05T00:00:00"/>
    <x v="1"/>
    <s v="Check out our latest video on twitter!"/>
    <x v="201"/>
    <x v="49"/>
    <x v="168"/>
    <n v="15960"/>
    <n v="15379"/>
    <n v="229"/>
    <s v="#FutureOfDriving"/>
    <s v="FSDUpdate"/>
    <n v="0.14348370927318296"/>
  </r>
  <r>
    <s v="P192"/>
    <x v="3"/>
    <d v="2024-11-29T00:00:00"/>
    <x v="1"/>
    <s v="Check out our latest video on instagram!"/>
    <x v="202"/>
    <x v="179"/>
    <x v="169"/>
    <n v="14112"/>
    <n v="13588"/>
    <n v="272"/>
    <s v="#EVRevolution"/>
    <m/>
    <n v="0.1441326530612245"/>
  </r>
  <r>
    <s v="P014"/>
    <x v="1"/>
    <d v="2025-02-16T00:00:00"/>
    <x v="4"/>
    <s v="Check out our latest story on facebook!"/>
    <x v="203"/>
    <x v="187"/>
    <x v="46"/>
    <n v="33936"/>
    <n v="33802"/>
    <n v="265"/>
    <s v="#FutureOfDriving"/>
    <m/>
    <n v="0.14521452145214522"/>
  </r>
  <r>
    <s v="P004"/>
    <x v="3"/>
    <d v="2024-08-12T00:00:00"/>
    <x v="4"/>
    <s v="Check out our latest story on instagram!"/>
    <x v="204"/>
    <x v="188"/>
    <x v="170"/>
    <n v="19232"/>
    <n v="18636"/>
    <n v="128"/>
    <s v="#EVRevolution"/>
    <s v="SustainabilityDrive"/>
    <n v="0.15105033277870217"/>
  </r>
  <r>
    <s v="P147"/>
    <x v="3"/>
    <d v="2024-10-21T00:00:00"/>
    <x v="2"/>
    <s v="Check out our latest reel on instagram!"/>
    <x v="205"/>
    <x v="189"/>
    <x v="164"/>
    <n v="26048"/>
    <n v="25529"/>
    <n v="143"/>
    <s v="#TeslaCoInnovation"/>
    <s v="ModelYCampaign"/>
    <n v="0.15283323095823095"/>
  </r>
  <r>
    <s v="P262"/>
    <x v="2"/>
    <d v="2025-01-18T00:00:00"/>
    <x v="5"/>
    <s v="Check out our latest image on youtube!"/>
    <x v="206"/>
    <x v="190"/>
    <x v="171"/>
    <n v="9648"/>
    <n v="9417"/>
    <n v="237"/>
    <s v="#TeslaCoInnovation"/>
    <m/>
    <n v="0.15339966832504145"/>
  </r>
  <r>
    <s v="P164"/>
    <x v="2"/>
    <d v="2025-02-27T00:00:00"/>
    <x v="3"/>
    <s v="Check out our latest text on youtube!"/>
    <x v="207"/>
    <x v="191"/>
    <x v="172"/>
    <n v="39472"/>
    <n v="39025"/>
    <n v="169"/>
    <s v="#TeslaCoInnovation"/>
    <s v="SustainabilityDrive"/>
    <n v="0.15355188488042157"/>
  </r>
  <r>
    <s v="P164"/>
    <x v="2"/>
    <d v="2025-02-27T00:00:00"/>
    <x v="3"/>
    <s v="Check out our latest text on youtube!"/>
    <x v="207"/>
    <x v="191"/>
    <x v="172"/>
    <n v="39472"/>
    <n v="39025"/>
    <n v="169"/>
    <s v="#AnytimeIsTeslaTime"/>
    <s v="SustainabilityDrive"/>
    <n v="0.15355188488042157"/>
  </r>
  <r>
    <s v="P165"/>
    <x v="0"/>
    <d v="2024-12-11T00:00:00"/>
    <x v="3"/>
    <s v="Check out our latest text on twitter!"/>
    <x v="208"/>
    <x v="192"/>
    <x v="154"/>
    <n v="22673"/>
    <n v="22171"/>
    <n v="230"/>
    <s v="#TeslaCoInnovation"/>
    <s v="ModelYCampaign"/>
    <n v="0.15405989502933004"/>
  </r>
  <r>
    <s v="P140"/>
    <x v="1"/>
    <d v="2024-07-15T00:00:00"/>
    <x v="5"/>
    <s v="Check out our latest image on facebook!"/>
    <x v="209"/>
    <x v="193"/>
    <x v="173"/>
    <n v="18328"/>
    <n v="18101"/>
    <n v="10"/>
    <s v="#EVRevolution"/>
    <s v="ModelYCampaign"/>
    <n v="0.15571802706241816"/>
  </r>
  <r>
    <s v="P140"/>
    <x v="1"/>
    <d v="2024-07-15T00:00:00"/>
    <x v="5"/>
    <s v="Check out our latest image on facebook!"/>
    <x v="209"/>
    <x v="193"/>
    <x v="173"/>
    <n v="18328"/>
    <n v="18101"/>
    <n v="10"/>
    <s v="#SmoothLikeNitroTesla"/>
    <s v="ModelYCampaign"/>
    <n v="0.15571802706241816"/>
  </r>
  <r>
    <s v="P052"/>
    <x v="1"/>
    <d v="2025-01-03T00:00:00"/>
    <x v="5"/>
    <s v="Check out our latest image on facebook!"/>
    <x v="210"/>
    <x v="194"/>
    <x v="174"/>
    <n v="10417"/>
    <n v="9730"/>
    <n v="34"/>
    <s v="#TeslaCoInnovation"/>
    <s v="SustainabilityDrive"/>
    <n v="0.1569549774407219"/>
  </r>
  <r>
    <s v="P252"/>
    <x v="1"/>
    <d v="2025-04-28T00:00:00"/>
    <x v="0"/>
    <s v="Check out our latest carousel on facebook!"/>
    <x v="211"/>
    <x v="99"/>
    <x v="175"/>
    <n v="16712"/>
    <n v="16309"/>
    <n v="64"/>
    <s v="#FutureOfDriving"/>
    <s v="FSDUpdate"/>
    <n v="0.15761129727142173"/>
  </r>
  <r>
    <s v="P221"/>
    <x v="1"/>
    <d v="2025-03-23T00:00:00"/>
    <x v="1"/>
    <s v="Check out our latest video on facebook!"/>
    <x v="212"/>
    <x v="195"/>
    <x v="176"/>
    <n v="31171"/>
    <n v="30565"/>
    <n v="23"/>
    <s v="#TeslaCoInnovation"/>
    <m/>
    <n v="0.15989220750056141"/>
  </r>
  <r>
    <s v="P138"/>
    <x v="0"/>
    <d v="2025-03-29T00:00:00"/>
    <x v="5"/>
    <s v="Check out our latest image on twitter!"/>
    <x v="213"/>
    <x v="77"/>
    <x v="177"/>
    <n v="4575"/>
    <n v="3704"/>
    <n v="234"/>
    <s v="#FutureOfDriving"/>
    <s v="FSDUpdate"/>
    <n v="0.16065573770491803"/>
  </r>
  <r>
    <s v="P083"/>
    <x v="2"/>
    <d v="2024-10-15T00:00:00"/>
    <x v="1"/>
    <s v="Check out our latest video on youtube!"/>
    <x v="214"/>
    <x v="196"/>
    <x v="178"/>
    <n v="9846"/>
    <n v="9609"/>
    <n v="112"/>
    <s v="#EVRevolution"/>
    <m/>
    <n v="0.16118220597196831"/>
  </r>
  <r>
    <s v="P060"/>
    <x v="3"/>
    <d v="2025-01-28T00:00:00"/>
    <x v="1"/>
    <s v="Check out our latest video on instagram!"/>
    <x v="215"/>
    <x v="197"/>
    <x v="179"/>
    <n v="11752"/>
    <n v="11580"/>
    <n v="84"/>
    <s v="#EVRevolution"/>
    <s v="FSDUpdate"/>
    <n v="0.1650782845473111"/>
  </r>
  <r>
    <s v="P060"/>
    <x v="3"/>
    <d v="2025-01-28T00:00:00"/>
    <x v="1"/>
    <s v="Check out our latest video on instagram!"/>
    <x v="215"/>
    <x v="197"/>
    <x v="179"/>
    <n v="11752"/>
    <n v="11580"/>
    <n v="84"/>
    <s v="#TeslaCoInnovation"/>
    <s v="FSDUpdate"/>
    <n v="0.1650782845473111"/>
  </r>
  <r>
    <s v="P060"/>
    <x v="3"/>
    <d v="2025-01-28T00:00:00"/>
    <x v="1"/>
    <s v="Check out our latest video on instagram!"/>
    <x v="215"/>
    <x v="197"/>
    <x v="179"/>
    <n v="11752"/>
    <n v="11580"/>
    <n v="84"/>
    <s v="#AnytimeIsTeslaTime"/>
    <s v="FSDUpdate"/>
    <n v="0.1650782845473111"/>
  </r>
  <r>
    <s v="P054"/>
    <x v="2"/>
    <d v="2025-03-13T00:00:00"/>
    <x v="0"/>
    <s v="Check out our latest carousel on youtube!"/>
    <x v="216"/>
    <x v="198"/>
    <x v="180"/>
    <n v="18546"/>
    <n v="18171"/>
    <n v="52"/>
    <s v="#FutureOfDriving"/>
    <s v="ModelYCampaign"/>
    <n v="0.16510298716704411"/>
  </r>
  <r>
    <s v="P295"/>
    <x v="0"/>
    <d v="2025-05-06T00:00:00"/>
    <x v="5"/>
    <s v="Check out our latest image on twitter!"/>
    <x v="217"/>
    <x v="199"/>
    <x v="181"/>
    <n v="15616"/>
    <n v="15403"/>
    <n v="235"/>
    <s v="#FutureOfDriving"/>
    <s v="ModelYCampaign"/>
    <n v="0.16540727459016394"/>
  </r>
  <r>
    <s v="P295"/>
    <x v="0"/>
    <d v="2025-05-06T00:00:00"/>
    <x v="5"/>
    <s v="Check out our latest image on twitter!"/>
    <x v="217"/>
    <x v="199"/>
    <x v="181"/>
    <n v="15616"/>
    <n v="15403"/>
    <n v="235"/>
    <s v="#TeslaCoInnovation"/>
    <s v="ModelYCampaign"/>
    <n v="0.16540727459016394"/>
  </r>
  <r>
    <s v="P295"/>
    <x v="0"/>
    <d v="2025-05-06T00:00:00"/>
    <x v="5"/>
    <s v="Check out our latest image on twitter!"/>
    <x v="217"/>
    <x v="199"/>
    <x v="181"/>
    <n v="15616"/>
    <n v="15403"/>
    <n v="235"/>
    <s v="#AnytimeIsTeslaTime"/>
    <s v="ModelYCampaign"/>
    <n v="0.16540727459016394"/>
  </r>
  <r>
    <s v="P047"/>
    <x v="0"/>
    <d v="2025-02-24T00:00:00"/>
    <x v="0"/>
    <s v="Check out our latest carousel on twitter!"/>
    <x v="218"/>
    <x v="200"/>
    <x v="182"/>
    <n v="21632"/>
    <n v="20792"/>
    <n v="127"/>
    <s v="#FutureOfDriving"/>
    <m/>
    <n v="0.16683616863905326"/>
  </r>
  <r>
    <s v="P109"/>
    <x v="0"/>
    <d v="2024-08-08T00:00:00"/>
    <x v="4"/>
    <s v="Check out our latest story on twitter!"/>
    <x v="219"/>
    <x v="201"/>
    <x v="183"/>
    <n v="25543"/>
    <n v="24963"/>
    <n v="167"/>
    <s v="#FutureOfDriving"/>
    <s v="FSDUpdate"/>
    <n v="0.16744313510550835"/>
  </r>
  <r>
    <s v="P275"/>
    <x v="1"/>
    <d v="2024-08-05T00:00:00"/>
    <x v="2"/>
    <s v="Check out our latest reel on facebook!"/>
    <x v="220"/>
    <x v="202"/>
    <x v="145"/>
    <n v="17410"/>
    <n v="16844"/>
    <n v="58"/>
    <s v="#EVRevolution"/>
    <s v="FSDUpdate"/>
    <n v="0.16754738655944859"/>
  </r>
  <r>
    <s v="P116"/>
    <x v="2"/>
    <d v="2025-03-18T00:00:00"/>
    <x v="2"/>
    <s v="Check out our latest reel on youtube!"/>
    <x v="221"/>
    <x v="203"/>
    <x v="128"/>
    <n v="25928"/>
    <n v="25081"/>
    <n v="131"/>
    <s v="#TeslaCoInnovation"/>
    <m/>
    <n v="0.16769515581610614"/>
  </r>
  <r>
    <s v="P094"/>
    <x v="3"/>
    <d v="2024-11-07T00:00:00"/>
    <x v="5"/>
    <s v="Check out our latest image on instagram!"/>
    <x v="222"/>
    <x v="204"/>
    <x v="184"/>
    <n v="18529"/>
    <n v="17841"/>
    <n v="46"/>
    <s v="#FutureOfDriving"/>
    <s v="FSDUpdate"/>
    <n v="0.16843866371633656"/>
  </r>
  <r>
    <s v="P089"/>
    <x v="0"/>
    <d v="2025-01-10T00:00:00"/>
    <x v="5"/>
    <s v="Check out our latest image on twitter!"/>
    <x v="223"/>
    <x v="205"/>
    <x v="69"/>
    <n v="15498"/>
    <n v="14800"/>
    <n v="180"/>
    <s v="#EVRevolution"/>
    <m/>
    <n v="0.16873144921925409"/>
  </r>
  <r>
    <s v="P046"/>
    <x v="0"/>
    <d v="2025-05-02T00:00:00"/>
    <x v="1"/>
    <s v="Check out our latest video on twitter!"/>
    <x v="224"/>
    <x v="206"/>
    <x v="185"/>
    <n v="8864"/>
    <n v="8710"/>
    <n v="97"/>
    <s v="#TeslaCoInnovation"/>
    <s v="SustainabilityDrive"/>
    <n v="0.16888537906137185"/>
  </r>
  <r>
    <s v="P028"/>
    <x v="3"/>
    <d v="2025-03-04T00:00:00"/>
    <x v="1"/>
    <s v="Check out our latest video on instagram!"/>
    <x v="225"/>
    <x v="207"/>
    <x v="73"/>
    <n v="6912"/>
    <n v="6259"/>
    <n v="79"/>
    <s v="#FutureOfDriving"/>
    <s v="SustainabilityDrive"/>
    <n v="0.17057291666666666"/>
  </r>
  <r>
    <s v="P129"/>
    <x v="0"/>
    <d v="2024-07-21T00:00:00"/>
    <x v="3"/>
    <s v="Check out our latest text on twitter!"/>
    <x v="226"/>
    <x v="208"/>
    <x v="186"/>
    <n v="17176"/>
    <n v="16483"/>
    <n v="170"/>
    <s v="#TeslaCoInnovation"/>
    <m/>
    <n v="0.17291569632044715"/>
  </r>
  <r>
    <s v="P112"/>
    <x v="0"/>
    <d v="2024-10-05T00:00:00"/>
    <x v="4"/>
    <s v="Check out our latest story on twitter!"/>
    <x v="227"/>
    <x v="209"/>
    <x v="143"/>
    <n v="17613"/>
    <n v="16865"/>
    <n v="297"/>
    <s v="#FutureOfDriving"/>
    <s v="FSDUpdate"/>
    <n v="0.17441662408448305"/>
  </r>
  <r>
    <s v="P241"/>
    <x v="1"/>
    <d v="2025-01-18T00:00:00"/>
    <x v="4"/>
    <s v="Check out our latest story on facebook!"/>
    <x v="228"/>
    <x v="210"/>
    <x v="187"/>
    <n v="30247"/>
    <n v="29254"/>
    <n v="122"/>
    <s v="#TeslaCoInnovation"/>
    <s v="SustainabilityDrive"/>
    <n v="0.17743908486792079"/>
  </r>
  <r>
    <s v="P037"/>
    <x v="1"/>
    <d v="2025-01-06T00:00:00"/>
    <x v="0"/>
    <s v="Check out our latest carousel on facebook!"/>
    <x v="229"/>
    <x v="49"/>
    <x v="174"/>
    <n v="24192"/>
    <n v="23518"/>
    <n v="36"/>
    <s v="#EVRevolution"/>
    <s v="ModelYCampaign"/>
    <n v="0.17770337301587302"/>
  </r>
  <r>
    <s v="P153"/>
    <x v="0"/>
    <d v="2025-01-01T00:00:00"/>
    <x v="1"/>
    <s v="Check out our latest video on twitter!"/>
    <x v="230"/>
    <x v="211"/>
    <x v="188"/>
    <n v="6786"/>
    <n v="6221"/>
    <n v="212"/>
    <s v="#TeslaCoInnovation"/>
    <s v="FSDUpdate"/>
    <n v="0.17801355732390214"/>
  </r>
  <r>
    <s v="P006"/>
    <x v="1"/>
    <d v="2024-10-31T00:00:00"/>
    <x v="0"/>
    <s v="Check out our latest carousel on facebook!"/>
    <x v="231"/>
    <x v="212"/>
    <x v="189"/>
    <n v="23560"/>
    <n v="23275"/>
    <n v="256"/>
    <s v="#TeslaCoInnovation"/>
    <s v="ModelYCampaign"/>
    <n v="0.17954159592529711"/>
  </r>
  <r>
    <s v="P294"/>
    <x v="1"/>
    <d v="2024-06-19T00:00:00"/>
    <x v="0"/>
    <s v="Check out our latest carousel on facebook!"/>
    <x v="232"/>
    <x v="140"/>
    <x v="190"/>
    <n v="28386"/>
    <n v="28185"/>
    <n v="89"/>
    <s v="#EVRevolution"/>
    <s v="FSDUpdate"/>
    <n v="0.18248432325794406"/>
  </r>
  <r>
    <s v="P041"/>
    <x v="3"/>
    <d v="2025-03-08T00:00:00"/>
    <x v="2"/>
    <s v="Check out our latest reel on instagram!"/>
    <x v="233"/>
    <x v="50"/>
    <x v="91"/>
    <n v="8208"/>
    <n v="7377"/>
    <n v="205"/>
    <s v="#FutureOfDriving"/>
    <s v="SustainabilityDrive"/>
    <n v="0.18433235867446393"/>
  </r>
  <r>
    <s v="P242"/>
    <x v="1"/>
    <d v="2024-07-07T00:00:00"/>
    <x v="2"/>
    <s v="Check out our latest reel on facebook!"/>
    <x v="234"/>
    <x v="148"/>
    <x v="81"/>
    <n v="28602"/>
    <n v="28044"/>
    <n v="210"/>
    <s v="#EVRevolution"/>
    <s v="FSDUpdate"/>
    <n v="0.18519683938186141"/>
  </r>
  <r>
    <s v="P211"/>
    <x v="0"/>
    <d v="2024-07-18T00:00:00"/>
    <x v="0"/>
    <s v="Check out our latest carousel on twitter!"/>
    <x v="235"/>
    <x v="168"/>
    <x v="185"/>
    <n v="12720"/>
    <n v="12564"/>
    <n v="21"/>
    <s v="#FutureOfDriving"/>
    <s v="SustainabilityDrive"/>
    <n v="0.18632075471698112"/>
  </r>
  <r>
    <s v="P218"/>
    <x v="1"/>
    <d v="2024-06-11T00:00:00"/>
    <x v="0"/>
    <s v="Check out our latest carousel on facebook!"/>
    <x v="236"/>
    <x v="213"/>
    <x v="191"/>
    <n v="14952"/>
    <n v="14309"/>
    <n v="275"/>
    <s v="#TeslaCoInnovation"/>
    <s v="SustainabilityDrive"/>
    <n v="0.18806848582129482"/>
  </r>
  <r>
    <s v="P032"/>
    <x v="0"/>
    <d v="2024-07-31T00:00:00"/>
    <x v="0"/>
    <s v="Check out our latest carousel on twitter!"/>
    <x v="237"/>
    <x v="214"/>
    <x v="192"/>
    <n v="13668"/>
    <n v="12676"/>
    <n v="275"/>
    <s v="#EVRevolution"/>
    <s v="CybertruckLaunch"/>
    <n v="0.19088381621305239"/>
  </r>
  <r>
    <s v="P085"/>
    <x v="3"/>
    <d v="2025-04-19T00:00:00"/>
    <x v="5"/>
    <s v="Check out our latest image on instagram!"/>
    <x v="238"/>
    <x v="215"/>
    <x v="193"/>
    <n v="25062"/>
    <n v="24847"/>
    <n v="230"/>
    <s v="#FutureOfDriving"/>
    <s v="CybertruckLaunch"/>
    <n v="0.19156491900087783"/>
  </r>
  <r>
    <s v="P068"/>
    <x v="3"/>
    <d v="2024-12-08T00:00:00"/>
    <x v="4"/>
    <s v="Check out our latest story on instagram!"/>
    <x v="239"/>
    <x v="216"/>
    <x v="77"/>
    <n v="15660"/>
    <n v="15145"/>
    <n v="73"/>
    <s v="#EVRevolution"/>
    <m/>
    <n v="0.19310344827586207"/>
  </r>
  <r>
    <s v="P286"/>
    <x v="2"/>
    <d v="2024-09-25T00:00:00"/>
    <x v="1"/>
    <s v="Check out our latest video on youtube!"/>
    <x v="240"/>
    <x v="199"/>
    <x v="194"/>
    <n v="20334"/>
    <n v="19443"/>
    <n v="228"/>
    <s v="#FutureOfDriving"/>
    <s v="FSDUpdate"/>
    <n v="0.19484607062063539"/>
  </r>
  <r>
    <s v="P152"/>
    <x v="1"/>
    <d v="2025-04-22T00:00:00"/>
    <x v="5"/>
    <s v="Check out our latest image on facebook!"/>
    <x v="241"/>
    <x v="91"/>
    <x v="195"/>
    <n v="28824"/>
    <n v="28370"/>
    <n v="47"/>
    <s v="#EVRevolution"/>
    <s v="SustainabilityDrive"/>
    <n v="0.19511518179295032"/>
  </r>
  <r>
    <s v="P198"/>
    <x v="0"/>
    <d v="2024-09-14T00:00:00"/>
    <x v="5"/>
    <s v="Check out our latest image on twitter!"/>
    <x v="242"/>
    <x v="217"/>
    <x v="196"/>
    <n v="9432"/>
    <n v="8882"/>
    <n v="158"/>
    <s v="#TeslaCoInnovation"/>
    <s v="FSDUpdate"/>
    <n v="0.19847328244274809"/>
  </r>
  <r>
    <s v="P148"/>
    <x v="3"/>
    <d v="2025-04-15T00:00:00"/>
    <x v="1"/>
    <s v="Check out our latest video on instagram!"/>
    <x v="243"/>
    <x v="218"/>
    <x v="59"/>
    <n v="24798"/>
    <n v="24620"/>
    <n v="176"/>
    <s v="#EVRevolution"/>
    <s v="SustainabilityDrive"/>
    <n v="0.19864505202032423"/>
  </r>
  <r>
    <s v="P276"/>
    <x v="0"/>
    <d v="2024-06-07T00:00:00"/>
    <x v="0"/>
    <s v="Check out our latest carousel on twitter!"/>
    <x v="244"/>
    <x v="43"/>
    <x v="46"/>
    <n v="9336"/>
    <n v="8875"/>
    <n v="137"/>
    <s v="#TeslaCoInnovation"/>
    <s v="ModelYCampaign"/>
    <n v="0.2015852613538989"/>
  </r>
  <r>
    <s v="P258"/>
    <x v="3"/>
    <d v="2024-08-05T00:00:00"/>
    <x v="4"/>
    <s v="Check out our latest story on instagram!"/>
    <x v="245"/>
    <x v="219"/>
    <x v="197"/>
    <n v="21606"/>
    <n v="21454"/>
    <n v="172"/>
    <s v="#EVRevolution"/>
    <s v="ModelYCampaign"/>
    <n v="0.2023049153013052"/>
  </r>
  <r>
    <s v="P136"/>
    <x v="3"/>
    <d v="2024-07-11T00:00:00"/>
    <x v="3"/>
    <s v="Check out our latest text on instagram!"/>
    <x v="246"/>
    <x v="220"/>
    <x v="124"/>
    <n v="21938"/>
    <n v="21337"/>
    <n v="130"/>
    <s v="#EVRevolution"/>
    <s v="SustainabilityDrive"/>
    <n v="0.20357370772176134"/>
  </r>
  <r>
    <s v="P077"/>
    <x v="1"/>
    <d v="2025-03-04T00:00:00"/>
    <x v="4"/>
    <s v="Check out our latest story on facebook!"/>
    <x v="247"/>
    <x v="221"/>
    <x v="176"/>
    <n v="8743"/>
    <n v="8538"/>
    <n v="63"/>
    <s v="#TeslaCoInnovation"/>
    <m/>
    <n v="0.20416333066453163"/>
  </r>
  <r>
    <s v="P271"/>
    <x v="3"/>
    <d v="2024-10-17T00:00:00"/>
    <x v="1"/>
    <s v="Check out our latest video on instagram!"/>
    <x v="248"/>
    <x v="29"/>
    <x v="198"/>
    <n v="21450"/>
    <n v="20785"/>
    <n v="195"/>
    <s v="#EVRevolution"/>
    <s v="ModelYCampaign"/>
    <n v="0.20675990675990677"/>
  </r>
  <r>
    <s v="P087"/>
    <x v="0"/>
    <d v="2024-06-06T00:00:00"/>
    <x v="1"/>
    <s v="Check out our latest video on twitter!"/>
    <x v="249"/>
    <x v="222"/>
    <x v="109"/>
    <n v="12924"/>
    <n v="12701"/>
    <n v="197"/>
    <s v="#FutureOfDriving"/>
    <s v="FSDUpdate"/>
    <n v="0.20868152274837512"/>
  </r>
  <r>
    <s v="P137"/>
    <x v="1"/>
    <d v="2024-07-31T00:00:00"/>
    <x v="1"/>
    <s v="Check out our latest video on facebook!"/>
    <x v="250"/>
    <x v="223"/>
    <x v="144"/>
    <n v="15040"/>
    <n v="14639"/>
    <n v="277"/>
    <s v="#FutureOfDriving"/>
    <m/>
    <n v="0.20871010638297871"/>
  </r>
  <r>
    <s v="P029"/>
    <x v="3"/>
    <d v="2025-01-31T00:00:00"/>
    <x v="0"/>
    <s v="Check out our latest carousel on instagram!"/>
    <x v="251"/>
    <x v="224"/>
    <x v="144"/>
    <n v="12830"/>
    <n v="12264"/>
    <n v="221"/>
    <s v="#FutureOfDriving"/>
    <s v="FSDUpdate"/>
    <n v="0.21208106001558846"/>
  </r>
  <r>
    <s v="P146"/>
    <x v="2"/>
    <d v="2024-06-05T00:00:00"/>
    <x v="2"/>
    <s v="Check out our latest reel on youtube!"/>
    <x v="252"/>
    <x v="81"/>
    <x v="199"/>
    <n v="18390"/>
    <n v="17875"/>
    <n v="200"/>
    <s v="#EVRevolution"/>
    <m/>
    <n v="0.21636759108210984"/>
  </r>
  <r>
    <s v="P146"/>
    <x v="2"/>
    <d v="2024-06-05T00:00:00"/>
    <x v="2"/>
    <s v="Check out our latest reel on youtube!"/>
    <x v="252"/>
    <x v="81"/>
    <x v="199"/>
    <n v="18390"/>
    <n v="17875"/>
    <n v="200"/>
    <s v="#AnytimeIsTeslaTime"/>
    <m/>
    <n v="0.21636759108210984"/>
  </r>
  <r>
    <s v="P159"/>
    <x v="1"/>
    <d v="2024-11-25T00:00:00"/>
    <x v="4"/>
    <s v="Check out our latest story on facebook!"/>
    <x v="235"/>
    <x v="225"/>
    <x v="153"/>
    <n v="12720"/>
    <n v="12085"/>
    <n v="17"/>
    <s v="#FutureOfDriving"/>
    <s v="ModelYCampaign"/>
    <n v="0.21745283018867925"/>
  </r>
  <r>
    <s v="P043"/>
    <x v="3"/>
    <d v="2024-12-14T00:00:00"/>
    <x v="0"/>
    <s v="Check out our latest carousel on instagram!"/>
    <x v="253"/>
    <x v="172"/>
    <x v="200"/>
    <n v="13044"/>
    <n v="12206"/>
    <n v="137"/>
    <s v="#TeslaCoInnovation"/>
    <s v="FSDUpdate"/>
    <n v="0.21826126954921804"/>
  </r>
  <r>
    <s v="P042"/>
    <x v="2"/>
    <d v="2025-03-05T00:00:00"/>
    <x v="2"/>
    <s v="Check out our latest reel on youtube!"/>
    <x v="254"/>
    <x v="226"/>
    <x v="201"/>
    <n v="12344"/>
    <n v="11496"/>
    <n v="241"/>
    <s v="#EVRevolution"/>
    <m/>
    <n v="0.21840570317563188"/>
  </r>
  <r>
    <s v="P269"/>
    <x v="3"/>
    <d v="2024-11-05T00:00:00"/>
    <x v="1"/>
    <s v="Check out our latest video on instagram!"/>
    <x v="255"/>
    <x v="94"/>
    <x v="202"/>
    <n v="22805"/>
    <n v="21890"/>
    <n v="45"/>
    <s v="#TeslaCoInnovation"/>
    <s v="ModelYCampaign"/>
    <n v="0.22157421618066214"/>
  </r>
  <r>
    <s v="P163"/>
    <x v="3"/>
    <d v="2025-04-08T00:00:00"/>
    <x v="5"/>
    <s v="Check out our latest image on instagram!"/>
    <x v="256"/>
    <x v="227"/>
    <x v="203"/>
    <n v="22505"/>
    <n v="21836"/>
    <n v="132"/>
    <s v="#TeslaCoInnovation"/>
    <s v="ModelYCampaign"/>
    <n v="0.23101532992668297"/>
  </r>
  <r>
    <s v="P141"/>
    <x v="0"/>
    <d v="2024-08-31T00:00:00"/>
    <x v="5"/>
    <s v="Check out our latest image on twitter!"/>
    <x v="257"/>
    <x v="228"/>
    <x v="204"/>
    <n v="19020"/>
    <n v="18559"/>
    <n v="240"/>
    <s v="#FutureOfDriving"/>
    <m/>
    <n v="0.2316508937960042"/>
  </r>
  <r>
    <s v="P120"/>
    <x v="1"/>
    <d v="2024-10-21T00:00:00"/>
    <x v="4"/>
    <s v="Check out our latest story on facebook!"/>
    <x v="258"/>
    <x v="229"/>
    <x v="205"/>
    <n v="8580"/>
    <n v="8081"/>
    <n v="91"/>
    <s v="#EVRevolution"/>
    <s v="FSDUpdate"/>
    <n v="0.23414918414918415"/>
  </r>
  <r>
    <s v="P123"/>
    <x v="3"/>
    <d v="2024-06-14T00:00:00"/>
    <x v="4"/>
    <s v="Check out our latest story on instagram!"/>
    <x v="259"/>
    <x v="230"/>
    <x v="206"/>
    <n v="21815"/>
    <n v="21481"/>
    <n v="157"/>
    <s v="#EVRevolution"/>
    <s v="CybertruckLaunch"/>
    <n v="0.23616777446710979"/>
  </r>
  <r>
    <s v="P246"/>
    <x v="1"/>
    <d v="2024-10-11T00:00:00"/>
    <x v="5"/>
    <s v="Check out our latest image on facebook!"/>
    <x v="260"/>
    <x v="88"/>
    <x v="27"/>
    <n v="6400"/>
    <n v="5472"/>
    <n v="160"/>
    <s v="#FutureOfDriving"/>
    <s v="ModelYCampaign"/>
    <n v="0.23656250000000001"/>
  </r>
  <r>
    <s v="P181"/>
    <x v="2"/>
    <d v="2025-03-21T00:00:00"/>
    <x v="5"/>
    <s v="Check out our latest image on youtube!"/>
    <x v="261"/>
    <x v="231"/>
    <x v="207"/>
    <n v="7878"/>
    <n v="7389"/>
    <n v="239"/>
    <s v="#EVRevolution"/>
    <s v="FSDUpdate"/>
    <n v="0.23673521198273673"/>
  </r>
  <r>
    <s v="P297"/>
    <x v="0"/>
    <d v="2024-12-24T00:00:00"/>
    <x v="3"/>
    <s v="Check out our latest text on twitter!"/>
    <x v="262"/>
    <x v="232"/>
    <x v="162"/>
    <n v="10830"/>
    <n v="10245"/>
    <n v="24"/>
    <s v="#EVRevolution"/>
    <s v="SustainabilityDrive"/>
    <n v="0.24349030470914126"/>
  </r>
  <r>
    <s v="P277"/>
    <x v="1"/>
    <d v="2025-04-06T00:00:00"/>
    <x v="5"/>
    <s v="Check out our latest image on facebook!"/>
    <x v="263"/>
    <x v="233"/>
    <x v="208"/>
    <n v="21180"/>
    <n v="20516"/>
    <n v="238"/>
    <s v="#FutureOfDriving"/>
    <s v="CybertruckLaunch"/>
    <n v="0.24763928234183191"/>
  </r>
  <r>
    <s v="P239"/>
    <x v="2"/>
    <d v="2025-02-24T00:00:00"/>
    <x v="3"/>
    <s v="Check out our latest text on youtube!"/>
    <x v="264"/>
    <x v="234"/>
    <x v="16"/>
    <n v="20940"/>
    <n v="20471"/>
    <n v="102"/>
    <s v="#FutureOfDriving"/>
    <m/>
    <n v="0.25062082139446035"/>
  </r>
  <r>
    <s v="P265"/>
    <x v="0"/>
    <d v="2025-02-20T00:00:00"/>
    <x v="0"/>
    <s v="Check out our latest carousel on twitter!"/>
    <x v="265"/>
    <x v="235"/>
    <x v="43"/>
    <n v="11262"/>
    <n v="10967"/>
    <n v="41"/>
    <s v="#EVRevolution"/>
    <s v="SustainabilityDrive"/>
    <n v="0.25279701651571657"/>
  </r>
  <r>
    <s v="P226"/>
    <x v="3"/>
    <d v="2024-08-07T00:00:00"/>
    <x v="0"/>
    <s v="Check out our latest carousel on instagram!"/>
    <x v="220"/>
    <x v="236"/>
    <x v="209"/>
    <n v="8705"/>
    <n v="8272"/>
    <n v="121"/>
    <s v="#TeslaCoInnovation"/>
    <m/>
    <n v="0.25537047673750718"/>
  </r>
  <r>
    <s v="P219"/>
    <x v="0"/>
    <d v="2025-01-28T00:00:00"/>
    <x v="2"/>
    <s v="Check out our latest reel on twitter!"/>
    <x v="266"/>
    <x v="237"/>
    <x v="51"/>
    <n v="7128"/>
    <n v="6145"/>
    <n v="270"/>
    <s v="#TeslaCoInnovation"/>
    <s v="SustainabilityDrive"/>
    <n v="0.25701459034792368"/>
  </r>
  <r>
    <s v="P259"/>
    <x v="1"/>
    <d v="2025-02-10T00:00:00"/>
    <x v="3"/>
    <s v="Check out our latest text on facebook!"/>
    <x v="267"/>
    <x v="225"/>
    <x v="210"/>
    <n v="3372"/>
    <n v="2940"/>
    <n v="93"/>
    <s v="#TeslaCoInnovation"/>
    <s v="CybertruckLaunch"/>
    <n v="0.25771055753262156"/>
  </r>
  <r>
    <s v="P244"/>
    <x v="2"/>
    <d v="2024-10-25T00:00:00"/>
    <x v="1"/>
    <s v="Check out our latest video on youtube!"/>
    <x v="268"/>
    <x v="56"/>
    <x v="211"/>
    <n v="23305"/>
    <n v="22583"/>
    <n v="63"/>
    <s v="#FutureOfDriving"/>
    <s v="FSDUpdate"/>
    <n v="0.25869984981763572"/>
  </r>
  <r>
    <s v="P248"/>
    <x v="1"/>
    <d v="2025-02-02T00:00:00"/>
    <x v="4"/>
    <s v="Check out our latest story on facebook!"/>
    <x v="269"/>
    <x v="216"/>
    <x v="182"/>
    <n v="4430"/>
    <n v="4037"/>
    <n v="212"/>
    <s v="#EVRevolution"/>
    <m/>
    <n v="0.26297968397291194"/>
  </r>
  <r>
    <s v="P263"/>
    <x v="3"/>
    <d v="2024-08-20T00:00:00"/>
    <x v="2"/>
    <s v="Check out our latest reel on instagram!"/>
    <x v="270"/>
    <x v="238"/>
    <x v="142"/>
    <n v="13015"/>
    <n v="12130"/>
    <n v="20"/>
    <s v="#FutureOfDriving"/>
    <s v="ModelYCampaign"/>
    <n v="0.26876680752977333"/>
  </r>
  <r>
    <s v="P093"/>
    <x v="3"/>
    <d v="2024-12-11T00:00:00"/>
    <x v="1"/>
    <s v="Check out our latest video on instagram!"/>
    <x v="271"/>
    <x v="239"/>
    <x v="212"/>
    <n v="8586"/>
    <n v="8396"/>
    <n v="150"/>
    <s v="#EVRevolution"/>
    <s v="FSDUpdate"/>
    <n v="0.28045655718611695"/>
  </r>
  <r>
    <s v="P031"/>
    <x v="3"/>
    <d v="2024-12-16T00:00:00"/>
    <x v="3"/>
    <s v="Check out our latest text on instagram!"/>
    <x v="272"/>
    <x v="240"/>
    <x v="213"/>
    <n v="3066"/>
    <n v="2701"/>
    <n v="282"/>
    <s v="#TeslaCoInnovation"/>
    <s v="ModelYCampaign"/>
    <n v="0.28245270711024134"/>
  </r>
  <r>
    <s v="P183"/>
    <x v="3"/>
    <d v="2024-12-17T00:00:00"/>
    <x v="4"/>
    <s v="Check out our latest story on instagram!"/>
    <x v="273"/>
    <x v="241"/>
    <x v="186"/>
    <n v="4680"/>
    <n v="4322"/>
    <n v="208"/>
    <s v="#FutureOfDriving"/>
    <s v="ModelYCampaign"/>
    <n v="0.28696581196581195"/>
  </r>
  <r>
    <s v="P066"/>
    <x v="0"/>
    <d v="2024-07-26T00:00:00"/>
    <x v="0"/>
    <s v="Check out our latest carousel on twitter!"/>
    <x v="225"/>
    <x v="242"/>
    <x v="214"/>
    <n v="3024"/>
    <n v="2285"/>
    <n v="184"/>
    <s v="#EVRevolution"/>
    <s v="CybertruckLaunch"/>
    <n v="0.29199735449735448"/>
  </r>
  <r>
    <s v="P204"/>
    <x v="3"/>
    <d v="2025-01-01T00:00:00"/>
    <x v="0"/>
    <s v="Check out our latest carousel on instagram!"/>
    <x v="274"/>
    <x v="144"/>
    <x v="215"/>
    <n v="11170"/>
    <n v="10569"/>
    <n v="198"/>
    <s v="#FutureOfDriving"/>
    <s v="FSDUpdate"/>
    <n v="0.29713518352730528"/>
  </r>
  <r>
    <s v="P287"/>
    <x v="3"/>
    <d v="2024-08-15T00:00:00"/>
    <x v="2"/>
    <s v="Check out our latest reel on instagram!"/>
    <x v="275"/>
    <x v="243"/>
    <x v="216"/>
    <n v="6984"/>
    <n v="6636"/>
    <n v="82"/>
    <s v="#EVRevolution"/>
    <s v="CybertruckLaunch"/>
    <n v="0.30126002290950743"/>
  </r>
  <r>
    <s v="P119"/>
    <x v="3"/>
    <d v="2025-02-07T00:00:00"/>
    <x v="2"/>
    <s v="Check out our latest reel on instagram!"/>
    <x v="276"/>
    <x v="244"/>
    <x v="55"/>
    <n v="9850"/>
    <n v="8924"/>
    <n v="117"/>
    <s v="#FutureOfDriving"/>
    <m/>
    <n v="0.31705583756345179"/>
  </r>
  <r>
    <s v="P154"/>
    <x v="3"/>
    <d v="2024-10-09T00:00:00"/>
    <x v="0"/>
    <s v="Check out our latest carousel on instagram!"/>
    <x v="277"/>
    <x v="245"/>
    <x v="181"/>
    <n v="6895"/>
    <n v="6757"/>
    <n v="64"/>
    <s v="#FutureOfDriving"/>
    <s v="SustainabilityDrive"/>
    <n v="0.31965192168237855"/>
  </r>
  <r>
    <s v="P224"/>
    <x v="1"/>
    <d v="2025-05-13T00:00:00"/>
    <x v="5"/>
    <s v="Check out our latest image on facebook!"/>
    <x v="278"/>
    <x v="246"/>
    <x v="172"/>
    <n v="4214"/>
    <n v="3363"/>
    <n v="164"/>
    <s v="#TeslaCoInnovation"/>
    <s v="FSDUpdate"/>
    <n v="0.32083531086853345"/>
  </r>
  <r>
    <s v="P121"/>
    <x v="3"/>
    <d v="2024-07-29T00:00:00"/>
    <x v="4"/>
    <s v="Check out our latest story on instagram!"/>
    <x v="177"/>
    <x v="247"/>
    <x v="217"/>
    <n v="4980"/>
    <n v="4185"/>
    <n v="185"/>
    <s v="#FutureOfDriving"/>
    <m/>
    <n v="0.32349397590361445"/>
  </r>
  <r>
    <s v="P124"/>
    <x v="2"/>
    <d v="2025-04-06T00:00:00"/>
    <x v="0"/>
    <s v="Check out our latest carousel on youtube!"/>
    <x v="279"/>
    <x v="93"/>
    <x v="43"/>
    <n v="5152"/>
    <n v="4706"/>
    <n v="19"/>
    <s v="#EVRevolution"/>
    <s v="CybertruckLaunch"/>
    <n v="0.33618012422360249"/>
  </r>
  <r>
    <s v="P102"/>
    <x v="0"/>
    <d v="2024-09-18T00:00:00"/>
    <x v="2"/>
    <s v="Check out our latest reel on twitter!"/>
    <x v="280"/>
    <x v="248"/>
    <x v="218"/>
    <n v="6000"/>
    <n v="5221"/>
    <n v="223"/>
    <s v="#EVRevolution"/>
    <s v="ModelYCampaign"/>
    <n v="0.35666666666666669"/>
  </r>
  <r>
    <s v="P053"/>
    <x v="2"/>
    <d v="2025-02-24T00:00:00"/>
    <x v="0"/>
    <s v="Check out our latest carousel on youtube!"/>
    <x v="281"/>
    <x v="249"/>
    <x v="219"/>
    <n v="4020"/>
    <n v="3144"/>
    <n v="11"/>
    <s v="#EVRevolution"/>
    <m/>
    <n v="0.36965174129353234"/>
  </r>
  <r>
    <s v="P053"/>
    <x v="2"/>
    <d v="2025-02-24T00:00:00"/>
    <x v="0"/>
    <s v="Check out our latest carousel on youtube!"/>
    <x v="281"/>
    <x v="249"/>
    <x v="219"/>
    <n v="4020"/>
    <n v="3144"/>
    <n v="11"/>
    <s v="#BetterWithTesla"/>
    <m/>
    <n v="0.36965174129353234"/>
  </r>
  <r>
    <s v="P214"/>
    <x v="3"/>
    <d v="2024-12-23T00:00:00"/>
    <x v="5"/>
    <s v="Check out our latest image on instagram!"/>
    <x v="282"/>
    <x v="250"/>
    <x v="220"/>
    <n v="4168"/>
    <n v="3399"/>
    <n v="282"/>
    <s v="#FutureOfDriving"/>
    <s v="ModelYCampaign"/>
    <n v="0.37955854126679461"/>
  </r>
  <r>
    <s v="P070"/>
    <x v="1"/>
    <d v="2025-04-02T00:00:00"/>
    <x v="1"/>
    <s v="Check out our latest video on facebook!"/>
    <x v="283"/>
    <x v="81"/>
    <x v="221"/>
    <n v="3582"/>
    <n v="2988"/>
    <n v="43"/>
    <s v="#TeslaCoInnovation"/>
    <m/>
    <n v="0.38274706867671693"/>
  </r>
  <r>
    <s v="P210"/>
    <x v="2"/>
    <d v="2025-02-19T00:00:00"/>
    <x v="5"/>
    <s v="Check out our latest image on youtube!"/>
    <x v="284"/>
    <x v="251"/>
    <x v="222"/>
    <n v="3341"/>
    <n v="2753"/>
    <n v="287"/>
    <s v="#FutureOfDriving"/>
    <s v="CybertruckLaunch"/>
    <n v="0.48518407662376534"/>
  </r>
  <r>
    <s v="P143"/>
    <x v="2"/>
    <d v="2024-10-02T00:00:00"/>
    <x v="0"/>
    <s v="Check out our latest carousel on youtube!"/>
    <x v="285"/>
    <x v="252"/>
    <x v="223"/>
    <n v="1040"/>
    <n v="349"/>
    <n v="117"/>
    <s v="#TeslaCoInnovation"/>
    <s v="FSDUpdate"/>
    <n v="0.50192307692307692"/>
  </r>
  <r>
    <s v="P264"/>
    <x v="0"/>
    <d v="2025-01-30T00:00:00"/>
    <x v="5"/>
    <s v="Check out our latest image on twitter!"/>
    <x v="286"/>
    <x v="253"/>
    <x v="224"/>
    <n v="590"/>
    <n v="475"/>
    <n v="293"/>
    <s v="#TeslaCoInnovation"/>
    <s v="ModelYCampaign"/>
    <n v="0.53389830508474578"/>
  </r>
  <r>
    <s v="P062"/>
    <x v="0"/>
    <d v="2024-11-22T00:00:00"/>
    <x v="0"/>
    <s v="Check out our latest carousel on twitter!"/>
    <x v="287"/>
    <x v="254"/>
    <x v="204"/>
    <n v="954"/>
    <n v="7"/>
    <n v="148"/>
    <s v="#TeslaCoInnovation"/>
    <s v="FSDUpdate"/>
    <n v="0.53773584905660377"/>
  </r>
  <r>
    <s v="P175"/>
    <x v="3"/>
    <d v="2025-01-17T00:00:00"/>
    <x v="2"/>
    <s v="Check out our latest reel on instagram!"/>
    <x v="288"/>
    <x v="126"/>
    <x v="225"/>
    <n v="1704"/>
    <n v="995"/>
    <n v="154"/>
    <s v="#FutureOfDriving"/>
    <s v="SustainabilityDrive"/>
    <n v="0.6508215962441315"/>
  </r>
  <r>
    <s v="P178"/>
    <x v="3"/>
    <d v="2024-11-07T00:00:00"/>
    <x v="1"/>
    <s v="Check out our latest video on instagram!"/>
    <x v="289"/>
    <x v="255"/>
    <x v="226"/>
    <n v="1290"/>
    <n v="839"/>
    <n v="238"/>
    <s v="#TeslaCoInnovation"/>
    <s v="SustainabilityDrive"/>
    <n v="0.70387596899224802"/>
  </r>
  <r>
    <s v="P232"/>
    <x v="0"/>
    <d v="2025-04-29T00:00:00"/>
    <x v="4"/>
    <s v="Check out our latest story on twitter!"/>
    <x v="290"/>
    <x v="256"/>
    <x v="20"/>
    <n v="1494"/>
    <n v="1044"/>
    <n v="201"/>
    <s v="#EVRevolution"/>
    <s v="SustainabilityDrive"/>
    <n v="0.7168674698795181"/>
  </r>
  <r>
    <s v="P058"/>
    <x v="3"/>
    <d v="2025-04-15T00:00:00"/>
    <x v="2"/>
    <s v="Check out our latest reel on instagram!"/>
    <x v="291"/>
    <x v="257"/>
    <x v="3"/>
    <n v="1030"/>
    <n v="410"/>
    <n v="262"/>
    <s v="#TeslaCoInnovation"/>
    <s v="SustainabilityDrive"/>
    <n v="0.86601941747572819"/>
  </r>
  <r>
    <s v="P220"/>
    <x v="3"/>
    <d v="2024-06-02T00:00:00"/>
    <x v="4"/>
    <s v="Check out our latest story on instagram!"/>
    <x v="292"/>
    <x v="258"/>
    <x v="30"/>
    <n v="588"/>
    <n v="8"/>
    <n v="12"/>
    <s v="#EVRevolution"/>
    <m/>
    <n v="1.81292517006802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s v="Twitter"/>
    <d v="2024-12-23T00:00:00"/>
    <s v="Reel"/>
    <s v="Check out our latest reel on twitter!"/>
    <n v="1461"/>
    <n v="184"/>
    <n v="344"/>
    <n v="21915"/>
    <n v="21675"/>
    <n v="15"/>
    <x v="0"/>
    <s v="CybertruckLaunch"/>
    <n v="9.0759753593429152E-2"/>
  </r>
  <r>
    <s v="P001"/>
    <s v="Twitter"/>
    <d v="2024-12-23T00:00:00"/>
    <s v="Reel"/>
    <s v="Check out our latest reel on twitter!"/>
    <n v="1461"/>
    <n v="184"/>
    <n v="344"/>
    <n v="21915"/>
    <n v="21675"/>
    <n v="15"/>
    <x v="1"/>
    <s v="CybertruckLaunch"/>
    <n v="9.0759753593429152E-2"/>
  </r>
  <r>
    <s v="P002"/>
    <s v="Twitter"/>
    <d v="2025-04-03T00:00:00"/>
    <s v="Text"/>
    <s v="Check out our latest text on twitter!"/>
    <n v="4054"/>
    <n v="389"/>
    <n v="493"/>
    <n v="64864"/>
    <n v="64383"/>
    <n v="117"/>
    <x v="2"/>
    <s v="ModelYCampaign"/>
    <n v="7.6097681302417369E-2"/>
  </r>
  <r>
    <s v="P002"/>
    <s v="Twitter"/>
    <d v="2025-04-03T00:00:00"/>
    <s v="Text"/>
    <s v="Check out our latest text on twitter!"/>
    <n v="4054"/>
    <n v="389"/>
    <n v="493"/>
    <n v="64864"/>
    <n v="64383"/>
    <n v="117"/>
    <x v="3"/>
    <s v="ModelYCampaign"/>
    <n v="7.6097681302417369E-2"/>
  </r>
  <r>
    <s v="P003"/>
    <s v="YouTube"/>
    <d v="2025-05-12T00:00:00"/>
    <s v="Reel"/>
    <s v="Check out our latest reel on youtube!"/>
    <n v="2795"/>
    <n v="105"/>
    <n v="49"/>
    <n v="53105"/>
    <n v="52307"/>
    <n v="204"/>
    <x v="2"/>
    <s v="FSDUpdate"/>
    <n v="5.5531494209584788E-2"/>
  </r>
  <r>
    <s v="P004"/>
    <s v="Instagram"/>
    <d v="2024-08-12T00:00:00"/>
    <s v="Story"/>
    <s v="Check out our latest story on instagram!"/>
    <n v="2404"/>
    <n v="363"/>
    <n v="138"/>
    <n v="19232"/>
    <n v="18636"/>
    <n v="128"/>
    <x v="4"/>
    <s v="SustainabilityDrive"/>
    <n v="0.15105033277870217"/>
  </r>
  <r>
    <s v="P005"/>
    <s v="YouTube"/>
    <d v="2024-06-26T00:00:00"/>
    <s v="Reel"/>
    <s v="Check out our latest reel on youtube!"/>
    <n v="3557"/>
    <n v="687"/>
    <n v="424"/>
    <n v="71140"/>
    <n v="70701"/>
    <n v="224"/>
    <x v="4"/>
    <s v="CybertruckLaunch"/>
    <n v="6.5617093055946027E-2"/>
  </r>
  <r>
    <s v="P005"/>
    <s v="YouTube"/>
    <d v="2024-06-26T00:00:00"/>
    <s v="Reel"/>
    <s v="Check out our latest reel on youtube!"/>
    <n v="3557"/>
    <n v="687"/>
    <n v="424"/>
    <n v="71140"/>
    <n v="70701"/>
    <n v="224"/>
    <x v="2"/>
    <s v="CybertruckLaunch"/>
    <n v="6.5617093055946027E-2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x v="2"/>
    <s v="ModelYCampaign"/>
    <n v="0.17954159592529711"/>
  </r>
  <r>
    <s v="P007"/>
    <s v="Twitter"/>
    <d v="2024-06-24T00:00:00"/>
    <s v="Carousel"/>
    <s v="Check out our latest carousel on twitter!"/>
    <n v="3860"/>
    <n v="201"/>
    <n v="279"/>
    <n v="61760"/>
    <n v="61660"/>
    <n v="235"/>
    <x v="2"/>
    <s v="ModelYCampaign"/>
    <n v="7.0272020725388601E-2"/>
  </r>
  <r>
    <s v="P008"/>
    <s v="YouTube"/>
    <d v="2024-07-13T00:00:00"/>
    <s v="Image"/>
    <s v="Check out our latest image on youtube!"/>
    <n v="3929"/>
    <n v="262"/>
    <n v="278"/>
    <n v="43219"/>
    <n v="42841"/>
    <n v="39"/>
    <x v="4"/>
    <s v="SustainabilityDrive"/>
    <n v="0.10340359564080613"/>
  </r>
  <r>
    <s v="P009"/>
    <s v="Facebook"/>
    <d v="2024-08-30T00:00:00"/>
    <s v="Text"/>
    <s v="Check out our latest text on facebook!"/>
    <n v="3784"/>
    <n v="808"/>
    <n v="404"/>
    <n v="56760"/>
    <n v="56343"/>
    <n v="131"/>
    <x v="2"/>
    <s v="ModelYCampaign"/>
    <n v="8.8019732205778717E-2"/>
  </r>
  <r>
    <s v="P010"/>
    <s v="Facebook"/>
    <d v="2025-03-11T00:00:00"/>
    <s v="Image"/>
    <s v="Check out our latest image on facebook!"/>
    <n v="4241"/>
    <n v="902"/>
    <n v="47"/>
    <n v="72097"/>
    <n v="71598"/>
    <n v="167"/>
    <x v="2"/>
    <s v="ModelYCampaign"/>
    <n v="7.198635172059864E-2"/>
  </r>
  <r>
    <s v="P011"/>
    <s v="Instagram"/>
    <d v="2025-02-02T00:00:00"/>
    <s v="Story"/>
    <s v="Check out our latest story on instagram!"/>
    <n v="1792"/>
    <n v="614"/>
    <n v="497"/>
    <n v="25088"/>
    <n v="24675"/>
    <n v="65"/>
    <x v="0"/>
    <s v="SustainabilityDrive"/>
    <n v="0.11571269132653061"/>
  </r>
  <r>
    <s v="P012"/>
    <s v="Facebook"/>
    <d v="2024-07-21T00:00:00"/>
    <s v="Reel"/>
    <s v="Check out our latest reel on facebook!"/>
    <n v="1946"/>
    <n v="686"/>
    <n v="377"/>
    <n v="23352"/>
    <n v="22982"/>
    <n v="213"/>
    <x v="0"/>
    <s v="FSDUpdate"/>
    <n v="0.12885405960945528"/>
  </r>
  <r>
    <s v="P013"/>
    <s v="YouTube"/>
    <d v="2024-11-18T00:00:00"/>
    <s v="Carousel"/>
    <s v="Check out our latest carousel on youtube!"/>
    <n v="1171"/>
    <n v="286"/>
    <n v="231"/>
    <n v="22249"/>
    <n v="21282"/>
    <n v="114"/>
    <x v="4"/>
    <s v="CybertruckLaunch"/>
    <n v="7.5868578363072495E-2"/>
  </r>
  <r>
    <s v="P014"/>
    <s v="Facebook"/>
    <d v="2025-02-16T00:00:00"/>
    <s v="Story"/>
    <s v="Check out our latest story on facebook!"/>
    <n v="4242"/>
    <n v="555"/>
    <n v="131"/>
    <n v="33936"/>
    <n v="33802"/>
    <n v="265"/>
    <x v="0"/>
    <m/>
    <n v="0.14521452145214522"/>
  </r>
  <r>
    <s v="P015"/>
    <s v="Facebook"/>
    <d v="2024-10-24T00:00:00"/>
    <s v="Video"/>
    <s v="Check out our latest video on facebook!"/>
    <n v="3888"/>
    <n v="604"/>
    <n v="128"/>
    <n v="77760"/>
    <n v="77167"/>
    <n v="20"/>
    <x v="0"/>
    <s v="CybertruckLaunch"/>
    <n v="5.941358024691358E-2"/>
  </r>
  <r>
    <s v="P016"/>
    <s v="Facebook"/>
    <d v="2024-08-26T00:00:00"/>
    <s v="Text"/>
    <s v="Check out our latest text on facebook!"/>
    <n v="3452"/>
    <n v="377"/>
    <n v="360"/>
    <n v="55232"/>
    <n v="55075"/>
    <n v="87"/>
    <x v="0"/>
    <s v="FSDUpdate"/>
    <n v="7.5843713789107758E-2"/>
  </r>
  <r>
    <s v="P017"/>
    <s v="Facebook"/>
    <d v="2025-05-05T00:00:00"/>
    <s v="Text"/>
    <s v="Check out our latest text on facebook!"/>
    <n v="4441"/>
    <n v="511"/>
    <n v="70"/>
    <n v="53292"/>
    <n v="53082"/>
    <n v="159"/>
    <x v="4"/>
    <s v="SustainabilityDrive"/>
    <n v="9.4235532537716729E-2"/>
  </r>
  <r>
    <s v="P018"/>
    <s v="Instagram"/>
    <d v="2024-08-19T00:00:00"/>
    <s v="Reel"/>
    <s v="Check out our latest reel on instagram!"/>
    <n v="3000"/>
    <n v="382"/>
    <n v="325"/>
    <n v="36000"/>
    <n v="35819"/>
    <n v="19"/>
    <x v="0"/>
    <s v="CybertruckLaunch"/>
    <n v="0.10297222222222223"/>
  </r>
  <r>
    <s v="P019"/>
    <s v="Instagram"/>
    <d v="2024-06-23T00:00:00"/>
    <s v="Video"/>
    <s v="Check out our latest video on instagram!"/>
    <n v="1071"/>
    <n v="519"/>
    <n v="22"/>
    <n v="16065"/>
    <n v="15865"/>
    <n v="103"/>
    <x v="2"/>
    <s v="SustainabilityDrive"/>
    <n v="0.10034235916588857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x v="2"/>
    <s v="CybertruckLaunch"/>
    <n v="6.3809622724794221E-2"/>
  </r>
  <r>
    <s v="P021"/>
    <s v="Instagram"/>
    <d v="2025-01-04T00:00:00"/>
    <s v="Reel"/>
    <s v="Check out our latest reel on instagram!"/>
    <n v="4838"/>
    <n v="640"/>
    <n v="128"/>
    <n v="72570"/>
    <n v="72396"/>
    <n v="83"/>
    <x v="0"/>
    <s v="SustainabilityDrive"/>
    <n v="7.7249552156538517E-2"/>
  </r>
  <r>
    <s v="P022"/>
    <s v="Facebook"/>
    <d v="2025-02-27T00:00:00"/>
    <s v="Text"/>
    <s v="Check out our latest text on facebook!"/>
    <n v="1570"/>
    <n v="187"/>
    <n v="260"/>
    <n v="25120"/>
    <n v="24613"/>
    <n v="133"/>
    <x v="2"/>
    <s v="SustainabilityDrive"/>
    <n v="8.0294585987261149E-2"/>
  </r>
  <r>
    <s v="P023"/>
    <s v="Facebook"/>
    <d v="2024-11-06T00:00:00"/>
    <s v="Video"/>
    <s v="Check out our latest video on facebook!"/>
    <n v="1606"/>
    <n v="547"/>
    <n v="316"/>
    <n v="32120"/>
    <n v="31736"/>
    <n v="225"/>
    <x v="2"/>
    <s v="ModelYCampaign"/>
    <n v="7.6867995018679955E-2"/>
  </r>
  <r>
    <s v="P023"/>
    <s v="Facebook"/>
    <d v="2024-11-06T00:00:00"/>
    <s v="Video"/>
    <s v="Check out our latest video on facebook!"/>
    <n v="1606"/>
    <n v="547"/>
    <n v="316"/>
    <n v="32120"/>
    <n v="31736"/>
    <n v="225"/>
    <x v="1"/>
    <s v="ModelYCampaign"/>
    <n v="7.6867995018679955E-2"/>
  </r>
  <r>
    <s v="P024"/>
    <s v="Facebook"/>
    <d v="2025-01-23T00:00:00"/>
    <s v="Video"/>
    <s v="Check out our latest video on facebook!"/>
    <n v="3961"/>
    <n v="761"/>
    <n v="131"/>
    <n v="67337"/>
    <n v="66615"/>
    <n v="161"/>
    <x v="0"/>
    <s v="FSDUpdate"/>
    <n v="7.2070332803659209E-2"/>
  </r>
  <r>
    <s v="P025"/>
    <s v="Twitter"/>
    <d v="2025-04-10T00:00:00"/>
    <s v="Carousel"/>
    <s v="Check out our latest carousel on twitter!"/>
    <n v="3128"/>
    <n v="211"/>
    <n v="197"/>
    <n v="59432"/>
    <n v="59182"/>
    <n v="238"/>
    <x v="4"/>
    <m/>
    <n v="5.9496567505720827E-2"/>
  </r>
  <r>
    <s v="P026"/>
    <s v="YouTube"/>
    <d v="2025-04-05T00:00:00"/>
    <s v="Reel"/>
    <s v="Check out our latest reel on youtube!"/>
    <n v="3009"/>
    <n v="413"/>
    <n v="358"/>
    <n v="42126"/>
    <n v="41309"/>
    <n v="211"/>
    <x v="0"/>
    <s v="ModelYCampaign"/>
    <n v="8.9730807577268201E-2"/>
  </r>
  <r>
    <s v="P027"/>
    <s v="YouTube"/>
    <d v="2024-09-17T00:00:00"/>
    <s v="Text"/>
    <s v="Check out our latest text on youtube!"/>
    <n v="2076"/>
    <n v="195"/>
    <n v="104"/>
    <n v="33216"/>
    <n v="32244"/>
    <n v="51"/>
    <x v="0"/>
    <s v="SustainabilityDrive"/>
    <n v="7.1501685934489398E-2"/>
  </r>
  <r>
    <s v="P028"/>
    <s v="Instagram"/>
    <d v="2025-03-04T00:00:00"/>
    <s v="Video"/>
    <s v="Check out our latest video on instagram!"/>
    <n v="432"/>
    <n v="624"/>
    <n v="123"/>
    <n v="6912"/>
    <n v="6259"/>
    <n v="79"/>
    <x v="0"/>
    <s v="SustainabilityDrive"/>
    <n v="0.17057291666666666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x v="0"/>
    <s v="FSDUpdate"/>
    <n v="0.21208106001558846"/>
  </r>
  <r>
    <s v="P030"/>
    <s v="Instagram"/>
    <d v="2025-02-25T00:00:00"/>
    <s v="Video"/>
    <s v="Check out our latest video on instagram!"/>
    <n v="3095"/>
    <n v="39"/>
    <n v="78"/>
    <n v="55710"/>
    <n v="54808"/>
    <n v="93"/>
    <x v="4"/>
    <m/>
    <n v="5.7655717106444085E-2"/>
  </r>
  <r>
    <s v="P031"/>
    <s v="Instagram"/>
    <d v="2024-12-16T00:00:00"/>
    <s v="Text"/>
    <s v="Check out our latest text on instagram!"/>
    <n v="438"/>
    <n v="153"/>
    <n v="275"/>
    <n v="3066"/>
    <n v="2701"/>
    <n v="282"/>
    <x v="2"/>
    <s v="ModelYCampaign"/>
    <n v="0.28245270711024134"/>
  </r>
  <r>
    <s v="P032"/>
    <s v="Twitter"/>
    <d v="2024-07-31T00:00:00"/>
    <s v="Carousel"/>
    <s v="Check out our latest carousel on twitter!"/>
    <n v="2278"/>
    <n v="10"/>
    <n v="321"/>
    <n v="13668"/>
    <n v="12676"/>
    <n v="275"/>
    <x v="4"/>
    <s v="CybertruckLaunch"/>
    <n v="0.19088381621305239"/>
  </r>
  <r>
    <s v="P033"/>
    <s v="Facebook"/>
    <d v="2024-08-21T00:00:00"/>
    <s v="Image"/>
    <s v="Check out our latest image on facebook!"/>
    <n v="1407"/>
    <n v="400"/>
    <n v="351"/>
    <n v="16884"/>
    <n v="15954"/>
    <n v="113"/>
    <x v="2"/>
    <s v="CybertruckLaunch"/>
    <n v="0.12781331438047855"/>
  </r>
  <r>
    <s v="P034"/>
    <s v="Facebook"/>
    <d v="2025-03-26T00:00:00"/>
    <s v="Text"/>
    <s v="Check out our latest text on facebook!"/>
    <n v="1652"/>
    <n v="89"/>
    <n v="357"/>
    <n v="29736"/>
    <n v="28771"/>
    <n v="215"/>
    <x v="2"/>
    <s v="FSDUpdate"/>
    <n v="7.055421038471886E-2"/>
  </r>
  <r>
    <s v="P035"/>
    <s v="Instagram"/>
    <d v="2024-11-30T00:00:00"/>
    <s v="Video"/>
    <s v="Check out our latest video on instagram!"/>
    <n v="3775"/>
    <n v="16"/>
    <n v="239"/>
    <n v="33975"/>
    <n v="33310"/>
    <n v="271"/>
    <x v="0"/>
    <s v="ModelYCampaign"/>
    <n v="0.11861662987490802"/>
  </r>
  <r>
    <s v="P036"/>
    <s v="Instagram"/>
    <d v="2025-04-19T00:00:00"/>
    <s v="Story"/>
    <s v="Check out our latest story on instagram!"/>
    <n v="4518"/>
    <n v="285"/>
    <n v="383"/>
    <n v="67770"/>
    <n v="67621"/>
    <n v="31"/>
    <x v="4"/>
    <s v="ModelYCampaign"/>
    <n v="7.6523535487678915E-2"/>
  </r>
  <r>
    <s v="P037"/>
    <s v="Facebook"/>
    <d v="2025-01-06T00:00:00"/>
    <s v="Carousel"/>
    <s v="Check out our latest carousel on facebook!"/>
    <n v="3024"/>
    <n v="925"/>
    <n v="350"/>
    <n v="24192"/>
    <n v="23518"/>
    <n v="36"/>
    <x v="4"/>
    <s v="ModelYCampaign"/>
    <n v="0.17770337301587302"/>
  </r>
  <r>
    <s v="P038"/>
    <s v="YouTube"/>
    <d v="2025-02-17T00:00:00"/>
    <s v="Reel"/>
    <s v="Check out our latest reel on youtube!"/>
    <n v="3138"/>
    <n v="123"/>
    <n v="291"/>
    <n v="28242"/>
    <n v="27550"/>
    <n v="87"/>
    <x v="2"/>
    <s v="SustainabilityDrive"/>
    <n v="0.12577012959422137"/>
  </r>
  <r>
    <s v="P039"/>
    <s v="Facebook"/>
    <d v="2024-11-25T00:00:00"/>
    <s v="Image"/>
    <s v="Check out our latest image on facebook!"/>
    <n v="3564"/>
    <n v="629"/>
    <n v="177"/>
    <n v="60588"/>
    <n v="59627"/>
    <n v="92"/>
    <x v="2"/>
    <m/>
    <n v="7.2126493695121141E-2"/>
  </r>
  <r>
    <s v="P040"/>
    <s v="Twitter"/>
    <d v="2025-03-07T00:00:00"/>
    <s v="Image"/>
    <s v="Check out our latest image on twitter!"/>
    <n v="4750"/>
    <n v="151"/>
    <n v="415"/>
    <n v="38000"/>
    <n v="37792"/>
    <n v="299"/>
    <x v="4"/>
    <s v="SustainabilityDrive"/>
    <n v="0.13989473684210527"/>
  </r>
  <r>
    <s v="P041"/>
    <s v="Instagram"/>
    <d v="2025-03-08T00:00:00"/>
    <s v="Reel"/>
    <s v="Check out our latest reel on instagram!"/>
    <n v="456"/>
    <n v="629"/>
    <n v="428"/>
    <n v="8208"/>
    <n v="7377"/>
    <n v="205"/>
    <x v="0"/>
    <s v="SustainabilityDrive"/>
    <n v="0.18433235867446393"/>
  </r>
  <r>
    <s v="P042"/>
    <s v="YouTube"/>
    <d v="2025-03-05T00:00:00"/>
    <s v="Reel"/>
    <s v="Check out our latest reel on youtube!"/>
    <n v="1543"/>
    <n v="820"/>
    <n v="333"/>
    <n v="12344"/>
    <n v="11496"/>
    <n v="241"/>
    <x v="4"/>
    <m/>
    <n v="0.21840570317563188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x v="2"/>
    <s v="FSDUpdate"/>
    <n v="0.21826126954921804"/>
  </r>
  <r>
    <s v="P044"/>
    <s v="Twitter"/>
    <d v="2025-03-02T00:00:00"/>
    <s v="Image"/>
    <s v="Check out our latest image on twitter!"/>
    <n v="2358"/>
    <n v="784"/>
    <n v="344"/>
    <n v="35370"/>
    <n v="34475"/>
    <n v="216"/>
    <x v="2"/>
    <m/>
    <n v="9.8558100084817649E-2"/>
  </r>
  <r>
    <s v="P045"/>
    <s v="Facebook"/>
    <d v="2024-11-01T00:00:00"/>
    <s v="Video"/>
    <s v="Check out our latest video on facebook!"/>
    <n v="3371"/>
    <n v="106"/>
    <n v="327"/>
    <n v="50565"/>
    <n v="49816"/>
    <n v="176"/>
    <x v="0"/>
    <s v="CybertruckLaunch"/>
    <n v="7.5229902106199939E-2"/>
  </r>
  <r>
    <s v="P046"/>
    <s v="Twitter"/>
    <d v="2025-05-02T00:00:00"/>
    <s v="Video"/>
    <s v="Check out our latest video on twitter!"/>
    <n v="1108"/>
    <n v="177"/>
    <n v="212"/>
    <n v="8864"/>
    <n v="8710"/>
    <n v="97"/>
    <x v="2"/>
    <s v="SustainabilityDrive"/>
    <n v="0.16888537906137185"/>
  </r>
  <r>
    <s v="P047"/>
    <s v="Twitter"/>
    <d v="2025-02-24T00:00:00"/>
    <s v="Carousel"/>
    <s v="Check out our latest carousel on twitter!"/>
    <n v="2704"/>
    <n v="752"/>
    <n v="153"/>
    <n v="21632"/>
    <n v="20792"/>
    <n v="127"/>
    <x v="0"/>
    <m/>
    <n v="0.16683616863905326"/>
  </r>
  <r>
    <s v="P048"/>
    <s v="Twitter"/>
    <d v="2025-03-11T00:00:00"/>
    <s v="Story"/>
    <s v="Check out our latest story on twitter!"/>
    <n v="1950"/>
    <n v="295"/>
    <n v="478"/>
    <n v="37050"/>
    <n v="36272"/>
    <n v="119"/>
    <x v="2"/>
    <m/>
    <n v="7.349527665317139E-2"/>
  </r>
  <r>
    <s v="P049"/>
    <s v="Twitter"/>
    <d v="2024-06-10T00:00:00"/>
    <s v="Story"/>
    <s v="Check out our latest story on twitter!"/>
    <n v="2164"/>
    <n v="549"/>
    <n v="274"/>
    <n v="28132"/>
    <n v="27361"/>
    <n v="177"/>
    <x v="2"/>
    <s v="SustainabilityDrive"/>
    <n v="0.10617801791554102"/>
  </r>
  <r>
    <s v="P050"/>
    <s v="YouTube"/>
    <d v="2024-07-03T00:00:00"/>
    <s v="Story"/>
    <s v="Check out our latest story on youtube!"/>
    <n v="2754"/>
    <n v="130"/>
    <n v="90"/>
    <n v="22032"/>
    <n v="21288"/>
    <n v="112"/>
    <x v="2"/>
    <s v="FSDUpdate"/>
    <n v="0.13498547567175018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x v="0"/>
    <s v="ModelYCampaign"/>
    <n v="7.8689839572192513E-2"/>
  </r>
  <r>
    <s v="P052"/>
    <s v="Facebook"/>
    <d v="2025-01-03T00:00:00"/>
    <s v="Image"/>
    <s v="Check out our latest image on facebook!"/>
    <n v="947"/>
    <n v="338"/>
    <n v="350"/>
    <n v="10417"/>
    <n v="9730"/>
    <n v="34"/>
    <x v="2"/>
    <s v="SustainabilityDrive"/>
    <n v="0.1569549774407219"/>
  </r>
  <r>
    <s v="P053"/>
    <s v="YouTube"/>
    <d v="2025-02-24T00:00:00"/>
    <s v="Carousel"/>
    <s v="Check out our latest carousel on youtube!"/>
    <n v="804"/>
    <n v="639"/>
    <n v="43"/>
    <n v="4020"/>
    <n v="3144"/>
    <n v="11"/>
    <x v="4"/>
    <m/>
    <n v="0.36965174129353234"/>
  </r>
  <r>
    <s v="P053"/>
    <s v="YouTube"/>
    <d v="2025-02-24T00:00:00"/>
    <s v="Carousel"/>
    <s v="Check out our latest carousel on youtube!"/>
    <n v="804"/>
    <n v="639"/>
    <n v="43"/>
    <n v="4020"/>
    <n v="3144"/>
    <n v="11"/>
    <x v="3"/>
    <m/>
    <n v="0.36965174129353234"/>
  </r>
  <r>
    <s v="P054"/>
    <s v="YouTube"/>
    <d v="2025-03-13T00:00:00"/>
    <s v="Carousel"/>
    <s v="Check out our latest carousel on youtube!"/>
    <n v="1686"/>
    <n v="904"/>
    <n v="472"/>
    <n v="18546"/>
    <n v="18171"/>
    <n v="52"/>
    <x v="0"/>
    <s v="ModelYCampaign"/>
    <n v="0.16510298716704411"/>
  </r>
  <r>
    <s v="P055"/>
    <s v="Facebook"/>
    <d v="2024-06-17T00:00:00"/>
    <s v="Image"/>
    <s v="Check out our latest image on facebook!"/>
    <n v="1226"/>
    <n v="119"/>
    <n v="7"/>
    <n v="14712"/>
    <n v="14049"/>
    <n v="123"/>
    <x v="4"/>
    <s v="SustainabilityDrive"/>
    <n v="9.1897770527460579E-2"/>
  </r>
  <r>
    <s v="P056"/>
    <s v="Facebook"/>
    <d v="2024-12-18T00:00:00"/>
    <s v="Carousel"/>
    <s v="Check out our latest carousel on facebook!"/>
    <n v="2946"/>
    <n v="498"/>
    <n v="367"/>
    <n v="29460"/>
    <n v="28527"/>
    <n v="60"/>
    <x v="0"/>
    <s v="FSDUpdate"/>
    <n v="0.12936184657162253"/>
  </r>
  <r>
    <s v="P057"/>
    <s v="Twitter"/>
    <d v="2024-10-21T00:00:00"/>
    <s v="Video"/>
    <s v="Check out our latest video on twitter!"/>
    <n v="2825"/>
    <n v="535"/>
    <n v="295"/>
    <n v="45200"/>
    <n v="44739"/>
    <n v="169"/>
    <x v="2"/>
    <s v="CybertruckLaunch"/>
    <n v="8.0862831858407078E-2"/>
  </r>
  <r>
    <s v="P058"/>
    <s v="Instagram"/>
    <d v="2025-04-15T00:00:00"/>
    <s v="Reel"/>
    <s v="Check out our latest reel on instagram!"/>
    <n v="103"/>
    <n v="770"/>
    <n v="19"/>
    <n v="1030"/>
    <n v="410"/>
    <n v="262"/>
    <x v="2"/>
    <s v="SustainabilityDrive"/>
    <n v="0.86601941747572819"/>
  </r>
  <r>
    <s v="P059"/>
    <s v="Instagram"/>
    <d v="2024-06-22T00:00:00"/>
    <s v="Text"/>
    <s v="Check out our latest text on instagram!"/>
    <n v="2180"/>
    <n v="263"/>
    <n v="387"/>
    <n v="30520"/>
    <n v="30059"/>
    <n v="174"/>
    <x v="4"/>
    <m/>
    <n v="9.2726081258191345E-2"/>
  </r>
  <r>
    <s v="P060"/>
    <s v="Instagram"/>
    <d v="2025-01-28T00:00:00"/>
    <s v="Video"/>
    <s v="Check out our latest video on instagram!"/>
    <n v="904"/>
    <n v="973"/>
    <n v="63"/>
    <n v="11752"/>
    <n v="11580"/>
    <n v="84"/>
    <x v="4"/>
    <s v="FSDUpdate"/>
    <n v="0.1650782845473111"/>
  </r>
  <r>
    <s v="P060"/>
    <s v="Instagram"/>
    <d v="2025-01-28T00:00:00"/>
    <s v="Video"/>
    <s v="Check out our latest video on instagram!"/>
    <n v="904"/>
    <n v="973"/>
    <n v="63"/>
    <n v="11752"/>
    <n v="11580"/>
    <n v="84"/>
    <x v="2"/>
    <s v="FSDUpdate"/>
    <n v="0.1650782845473111"/>
  </r>
  <r>
    <s v="P060"/>
    <s v="Instagram"/>
    <d v="2025-01-28T00:00:00"/>
    <s v="Video"/>
    <s v="Check out our latest video on instagram!"/>
    <n v="904"/>
    <n v="973"/>
    <n v="63"/>
    <n v="11752"/>
    <n v="11580"/>
    <n v="84"/>
    <x v="1"/>
    <s v="FSDUpdate"/>
    <n v="0.1650782845473111"/>
  </r>
  <r>
    <s v="P061"/>
    <s v="Twitter"/>
    <d v="2024-09-05T00:00:00"/>
    <s v="Video"/>
    <s v="Check out our latest video on twitter!"/>
    <n v="4886"/>
    <n v="983"/>
    <n v="409"/>
    <n v="43974"/>
    <n v="43239"/>
    <n v="65"/>
    <x v="2"/>
    <s v="CybertruckLaunch"/>
    <n v="0.14276618001546368"/>
  </r>
  <r>
    <s v="P062"/>
    <s v="Twitter"/>
    <d v="2024-11-22T00:00:00"/>
    <s v="Carousel"/>
    <s v="Check out our latest carousel on twitter!"/>
    <n v="53"/>
    <n v="81"/>
    <n v="379"/>
    <n v="954"/>
    <n v="7"/>
    <n v="148"/>
    <x v="2"/>
    <s v="FSDUpdate"/>
    <n v="0.53773584905660377"/>
  </r>
  <r>
    <s v="P063"/>
    <s v="Twitter"/>
    <d v="2024-07-31T00:00:00"/>
    <s v="Carousel"/>
    <s v="Check out our latest carousel on twitter!"/>
    <n v="4507"/>
    <n v="217"/>
    <n v="13"/>
    <n v="90140"/>
    <n v="89591"/>
    <n v="125"/>
    <x v="0"/>
    <s v="FSDUpdate"/>
    <n v="5.2551586421122697E-2"/>
  </r>
  <r>
    <s v="P064"/>
    <s v="Facebook"/>
    <d v="2024-08-17T00:00:00"/>
    <s v="Image"/>
    <s v="Check out our latest image on facebook!"/>
    <n v="2878"/>
    <n v="248"/>
    <n v="416"/>
    <n v="43170"/>
    <n v="42667"/>
    <n v="75"/>
    <x v="0"/>
    <s v="FSDUpdate"/>
    <n v="8.2047718322909427E-2"/>
  </r>
  <r>
    <s v="P065"/>
    <s v="Instagram"/>
    <d v="2025-03-28T00:00:00"/>
    <s v="Story"/>
    <s v="Check out our latest story on instagram!"/>
    <n v="1881"/>
    <n v="501"/>
    <n v="99"/>
    <n v="20691"/>
    <n v="19987"/>
    <n v="289"/>
    <x v="4"/>
    <m/>
    <n v="0.11990720603160794"/>
  </r>
  <r>
    <s v="P066"/>
    <s v="Twitter"/>
    <d v="2024-07-26T00:00:00"/>
    <s v="Carousel"/>
    <s v="Check out our latest carousel on twitter!"/>
    <n v="432"/>
    <n v="171"/>
    <n v="280"/>
    <n v="3024"/>
    <n v="2285"/>
    <n v="184"/>
    <x v="4"/>
    <s v="CybertruckLaunch"/>
    <n v="0.29199735449735448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x v="4"/>
    <s v="FSDUpdate"/>
    <n v="6.3749764195434822E-2"/>
  </r>
  <r>
    <s v="P068"/>
    <s v="Instagram"/>
    <d v="2024-12-08T00:00:00"/>
    <s v="Story"/>
    <s v="Check out our latest story on instagram!"/>
    <n v="2610"/>
    <n v="126"/>
    <n v="288"/>
    <n v="15660"/>
    <n v="15145"/>
    <n v="73"/>
    <x v="4"/>
    <m/>
    <n v="0.19310344827586207"/>
  </r>
  <r>
    <s v="P069"/>
    <s v="Twitter"/>
    <d v="2025-03-08T00:00:00"/>
    <s v="Text"/>
    <s v="Check out our latest text on twitter!"/>
    <n v="1292"/>
    <n v="626"/>
    <n v="496"/>
    <n v="25840"/>
    <n v="24916"/>
    <n v="149"/>
    <x v="0"/>
    <s v="FSDUpdate"/>
    <n v="9.3421052631578946E-2"/>
  </r>
  <r>
    <s v="P070"/>
    <s v="Facebook"/>
    <d v="2025-04-02T00:00:00"/>
    <s v="Video"/>
    <s v="Check out our latest video on facebook!"/>
    <n v="199"/>
    <n v="772"/>
    <n v="400"/>
    <n v="3582"/>
    <n v="2988"/>
    <n v="43"/>
    <x v="2"/>
    <m/>
    <n v="0.38274706867671693"/>
  </r>
  <r>
    <s v="P071"/>
    <s v="YouTube"/>
    <d v="2024-09-02T00:00:00"/>
    <s v="Carousel"/>
    <s v="Check out our latest carousel on youtube!"/>
    <n v="2551"/>
    <n v="915"/>
    <n v="205"/>
    <n v="30612"/>
    <n v="30360"/>
    <n v="227"/>
    <x v="2"/>
    <s v="ModelYCampaign"/>
    <n v="0.1199202926956749"/>
  </r>
  <r>
    <s v="P072"/>
    <s v="YouTube"/>
    <d v="2025-03-03T00:00:00"/>
    <s v="Reel"/>
    <s v="Check out our latest reel on youtube!"/>
    <n v="296"/>
    <n v="60"/>
    <n v="141"/>
    <n v="5624"/>
    <n v="5239"/>
    <n v="88"/>
    <x v="4"/>
    <s v="ModelYCampaign"/>
    <n v="8.837126600284495E-2"/>
  </r>
  <r>
    <s v="P073"/>
    <s v="Facebook"/>
    <d v="2024-10-18T00:00:00"/>
    <s v="Story"/>
    <s v="Check out our latest story on facebook!"/>
    <n v="4126"/>
    <n v="426"/>
    <n v="486"/>
    <n v="78394"/>
    <n v="77798"/>
    <n v="88"/>
    <x v="0"/>
    <s v="SustainabilityDrive"/>
    <n v="6.4265122330790625E-2"/>
  </r>
  <r>
    <s v="P074"/>
    <s v="YouTube"/>
    <d v="2024-10-28T00:00:00"/>
    <s v="Reel"/>
    <s v="Check out our latest reel on youtube!"/>
    <n v="1855"/>
    <n v="200"/>
    <n v="174"/>
    <n v="16695"/>
    <n v="16330"/>
    <n v="123"/>
    <x v="2"/>
    <s v="FSDUpdate"/>
    <n v="0.13351302785265048"/>
  </r>
  <r>
    <s v="P075"/>
    <s v="Instagram"/>
    <d v="2024-08-01T00:00:00"/>
    <s v="Reel"/>
    <s v="Check out our latest reel on instagram!"/>
    <n v="1674"/>
    <n v="929"/>
    <n v="37"/>
    <n v="21762"/>
    <n v="20998"/>
    <n v="255"/>
    <x v="2"/>
    <s v="SustainabilityDrive"/>
    <n v="0.12131237937689551"/>
  </r>
  <r>
    <s v="P076"/>
    <s v="Twitter"/>
    <d v="2024-11-07T00:00:00"/>
    <s v="Story"/>
    <s v="Check out our latest story on twitter!"/>
    <n v="1121"/>
    <n v="135"/>
    <n v="18"/>
    <n v="15694"/>
    <n v="14957"/>
    <n v="99"/>
    <x v="2"/>
    <s v="SustainabilityDrive"/>
    <n v="8.1177520071364848E-2"/>
  </r>
  <r>
    <s v="P077"/>
    <s v="Facebook"/>
    <d v="2025-03-04T00:00:00"/>
    <s v="Story"/>
    <s v="Check out our latest story on facebook!"/>
    <n v="1249"/>
    <n v="116"/>
    <n v="420"/>
    <n v="8743"/>
    <n v="8538"/>
    <n v="63"/>
    <x v="2"/>
    <m/>
    <n v="0.20416333066453163"/>
  </r>
  <r>
    <s v="P078"/>
    <s v="Twitter"/>
    <d v="2024-06-17T00:00:00"/>
    <s v="Image"/>
    <s v="Check out our latest image on twitter!"/>
    <n v="954"/>
    <n v="324"/>
    <n v="288"/>
    <n v="19080"/>
    <n v="18859"/>
    <n v="21"/>
    <x v="0"/>
    <s v="SustainabilityDrive"/>
    <n v="8.2075471698113203E-2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x v="4"/>
    <s v="ModelYCampaign"/>
    <n v="8.860696018453515E-2"/>
  </r>
  <r>
    <s v="P080"/>
    <s v="Instagram"/>
    <d v="2024-06-13T00:00:00"/>
    <s v="Story"/>
    <s v="Check out our latest story on instagram!"/>
    <n v="2103"/>
    <n v="892"/>
    <n v="103"/>
    <n v="39957"/>
    <n v="39466"/>
    <n v="28"/>
    <x v="0"/>
    <m/>
    <n v="7.7533348349475686E-2"/>
  </r>
  <r>
    <s v="P081"/>
    <s v="Instagram"/>
    <d v="2024-10-19T00:00:00"/>
    <s v="Story"/>
    <s v="Check out our latest story on instagram!"/>
    <n v="1816"/>
    <n v="29"/>
    <n v="41"/>
    <n v="19976"/>
    <n v="19262"/>
    <n v="283"/>
    <x v="2"/>
    <s v="FSDUpdate"/>
    <n v="9.4413295955146179E-2"/>
  </r>
  <r>
    <s v="P082"/>
    <s v="Instagram"/>
    <d v="2024-07-24T00:00:00"/>
    <s v="Image"/>
    <s v="Check out our latest image on instagram!"/>
    <n v="725"/>
    <n v="88"/>
    <n v="428"/>
    <n v="14500"/>
    <n v="13637"/>
    <n v="200"/>
    <x v="0"/>
    <s v="FSDUpdate"/>
    <n v="8.558620689655172E-2"/>
  </r>
  <r>
    <s v="P082"/>
    <s v="Instagram"/>
    <d v="2024-07-24T00:00:00"/>
    <s v="Image"/>
    <s v="Check out our latest image on instagram!"/>
    <n v="725"/>
    <n v="88"/>
    <n v="428"/>
    <n v="14500"/>
    <n v="13637"/>
    <n v="200"/>
    <x v="2"/>
    <s v="FSDUpdate"/>
    <n v="8.558620689655172E-2"/>
  </r>
  <r>
    <s v="P082"/>
    <s v="Instagram"/>
    <d v="2024-07-24T00:00:00"/>
    <s v="Image"/>
    <s v="Check out our latest image on instagram!"/>
    <n v="725"/>
    <n v="88"/>
    <n v="428"/>
    <n v="14500"/>
    <n v="13637"/>
    <n v="200"/>
    <x v="1"/>
    <s v="FSDUpdate"/>
    <n v="8.558620689655172E-2"/>
  </r>
  <r>
    <s v="P083"/>
    <s v="YouTube"/>
    <d v="2024-10-15T00:00:00"/>
    <s v="Video"/>
    <s v="Check out our latest video on youtube!"/>
    <n v="1094"/>
    <n v="472"/>
    <n v="21"/>
    <n v="9846"/>
    <n v="9609"/>
    <n v="112"/>
    <x v="4"/>
    <m/>
    <n v="0.16118220597196831"/>
  </r>
  <r>
    <s v="P084"/>
    <s v="Facebook"/>
    <d v="2024-12-09T00:00:00"/>
    <s v="Image"/>
    <s v="Check out our latest image on facebook!"/>
    <n v="1841"/>
    <n v="851"/>
    <n v="342"/>
    <n v="34979"/>
    <n v="34154"/>
    <n v="255"/>
    <x v="0"/>
    <s v="SustainabilityDrive"/>
    <n v="8.6737756939878216E-2"/>
  </r>
  <r>
    <s v="P085"/>
    <s v="Instagram"/>
    <d v="2025-04-19T00:00:00"/>
    <s v="Image"/>
    <s v="Check out our latest image on instagram!"/>
    <n v="4177"/>
    <n v="569"/>
    <n v="55"/>
    <n v="25062"/>
    <n v="24847"/>
    <n v="230"/>
    <x v="0"/>
    <s v="CybertruckLaunch"/>
    <n v="0.19156491900087783"/>
  </r>
  <r>
    <s v="P086"/>
    <s v="YouTube"/>
    <d v="2025-01-27T00:00:00"/>
    <s v="Text"/>
    <s v="Check out our latest text on youtube!"/>
    <n v="3428"/>
    <n v="305"/>
    <n v="85"/>
    <n v="58276"/>
    <n v="58052"/>
    <n v="242"/>
    <x v="4"/>
    <s v="SustainabilityDrive"/>
    <n v="6.5515821264328367E-2"/>
  </r>
  <r>
    <s v="P086"/>
    <s v="YouTube"/>
    <d v="2025-01-27T00:00:00"/>
    <s v="Text"/>
    <s v="Check out our latest text on youtube!"/>
    <n v="3428"/>
    <n v="305"/>
    <n v="85"/>
    <n v="58276"/>
    <n v="58052"/>
    <n v="242"/>
    <x v="3"/>
    <s v="SustainabilityDrive"/>
    <n v="6.5515821264328367E-2"/>
  </r>
  <r>
    <s v="P087"/>
    <s v="Twitter"/>
    <d v="2024-06-06T00:00:00"/>
    <s v="Video"/>
    <s v="Check out our latest video on twitter!"/>
    <n v="1436"/>
    <n v="765"/>
    <n v="496"/>
    <n v="12924"/>
    <n v="12701"/>
    <n v="197"/>
    <x v="0"/>
    <s v="FSDUpdate"/>
    <n v="0.20868152274837512"/>
  </r>
  <r>
    <s v="P088"/>
    <s v="Facebook"/>
    <d v="2024-07-07T00:00:00"/>
    <s v="Story"/>
    <s v="Check out our latest story on facebook!"/>
    <n v="302"/>
    <n v="47"/>
    <n v="430"/>
    <n v="5738"/>
    <n v="4890"/>
    <n v="25"/>
    <x v="2"/>
    <s v="SustainabilityDrive"/>
    <n v="0.13576158940397351"/>
  </r>
  <r>
    <s v="P089"/>
    <s v="Twitter"/>
    <d v="2025-01-10T00:00:00"/>
    <s v="Image"/>
    <s v="Check out our latest image on twitter!"/>
    <n v="2214"/>
    <n v="249"/>
    <n v="152"/>
    <n v="15498"/>
    <n v="14800"/>
    <n v="180"/>
    <x v="4"/>
    <m/>
    <n v="0.16873144921925409"/>
  </r>
  <r>
    <s v="P090"/>
    <s v="Instagram"/>
    <d v="2024-06-03T00:00:00"/>
    <s v="Image"/>
    <s v="Check out our latest image on instagram!"/>
    <n v="3861"/>
    <n v="960"/>
    <n v="101"/>
    <n v="69498"/>
    <n v="68817"/>
    <n v="297"/>
    <x v="2"/>
    <s v="SustainabilityDrive"/>
    <n v="7.0822181933293038E-2"/>
  </r>
  <r>
    <s v="P091"/>
    <s v="Facebook"/>
    <d v="2025-03-24T00:00:00"/>
    <s v="Image"/>
    <s v="Check out our latest image on facebook!"/>
    <n v="1263"/>
    <n v="397"/>
    <n v="357"/>
    <n v="25260"/>
    <n v="24615"/>
    <n v="137"/>
    <x v="4"/>
    <s v="SustainabilityDrive"/>
    <n v="7.984956452889945E-2"/>
  </r>
  <r>
    <s v="P092"/>
    <s v="Twitter"/>
    <d v="2024-10-21T00:00:00"/>
    <s v="Story"/>
    <s v="Check out our latest story on twitter!"/>
    <n v="3801"/>
    <n v="967"/>
    <n v="401"/>
    <n v="38010"/>
    <n v="37625"/>
    <n v="236"/>
    <x v="0"/>
    <s v="FSDUpdate"/>
    <n v="0.13599052880820836"/>
  </r>
  <r>
    <s v="P093"/>
    <s v="Instagram"/>
    <d v="2024-12-11T00:00:00"/>
    <s v="Video"/>
    <s v="Check out our latest video on instagram!"/>
    <n v="1431"/>
    <n v="951"/>
    <n v="26"/>
    <n v="8586"/>
    <n v="8396"/>
    <n v="150"/>
    <x v="4"/>
    <s v="FSDUpdate"/>
    <n v="0.28045655718611695"/>
  </r>
  <r>
    <s v="P094"/>
    <s v="Instagram"/>
    <d v="2024-11-07T00:00:00"/>
    <s v="Image"/>
    <s v="Check out our latest image on instagram!"/>
    <n v="2647"/>
    <n v="304"/>
    <n v="170"/>
    <n v="18529"/>
    <n v="17841"/>
    <n v="46"/>
    <x v="0"/>
    <s v="FSDUpdate"/>
    <n v="0.16843866371633656"/>
  </r>
  <r>
    <s v="P095"/>
    <s v="Instagram"/>
    <d v="2024-11-08T00:00:00"/>
    <s v="Text"/>
    <s v="Check out our latest text on instagram!"/>
    <n v="3182"/>
    <n v="559"/>
    <n v="160"/>
    <n v="57276"/>
    <n v="56890"/>
    <n v="163"/>
    <x v="0"/>
    <s v="SustainabilityDrive"/>
    <n v="6.8108806480899509E-2"/>
  </r>
  <r>
    <s v="P096"/>
    <s v="Twitter"/>
    <d v="2024-09-10T00:00:00"/>
    <s v="Image"/>
    <s v="Check out our latest image on twitter!"/>
    <n v="1238"/>
    <n v="366"/>
    <n v="444"/>
    <n v="19808"/>
    <n v="19334"/>
    <n v="123"/>
    <x v="0"/>
    <m/>
    <n v="0.10339256865912763"/>
  </r>
  <r>
    <s v="P097"/>
    <s v="Instagram"/>
    <d v="2024-08-13T00:00:00"/>
    <s v="Image"/>
    <s v="Check out our latest image on instagram!"/>
    <n v="4739"/>
    <n v="527"/>
    <n v="135"/>
    <n v="61607"/>
    <n v="61333"/>
    <n v="36"/>
    <x v="2"/>
    <s v="ModelYCampaign"/>
    <n v="8.7668609086629767E-2"/>
  </r>
  <r>
    <s v="P097"/>
    <s v="Instagram"/>
    <d v="2024-08-13T00:00:00"/>
    <s v="Image"/>
    <s v="Check out our latest image on instagram!"/>
    <n v="4739"/>
    <n v="527"/>
    <n v="135"/>
    <n v="61607"/>
    <n v="61333"/>
    <n v="36"/>
    <x v="1"/>
    <s v="ModelYCampaign"/>
    <n v="8.7668609086629767E-2"/>
  </r>
  <r>
    <s v="P098"/>
    <s v="Twitter"/>
    <d v="2024-06-10T00:00:00"/>
    <s v="Story"/>
    <s v="Check out our latest story on twitter!"/>
    <n v="1575"/>
    <n v="771"/>
    <n v="486"/>
    <n v="25200"/>
    <n v="24826"/>
    <n v="17"/>
    <x v="0"/>
    <s v="SustainabilityDrive"/>
    <n v="0.11238095238095239"/>
  </r>
  <r>
    <s v="P099"/>
    <s v="YouTube"/>
    <d v="2024-07-02T00:00:00"/>
    <s v="Carousel"/>
    <s v="Check out our latest carousel on youtube!"/>
    <n v="4171"/>
    <n v="548"/>
    <n v="86"/>
    <n v="66736"/>
    <n v="66634"/>
    <n v="173"/>
    <x v="0"/>
    <s v="FSDUpdate"/>
    <n v="7.2000119875329657E-2"/>
  </r>
  <r>
    <s v="P100"/>
    <s v="YouTube"/>
    <d v="2025-02-10T00:00:00"/>
    <s v="Video"/>
    <s v="Check out our latest video on youtube!"/>
    <n v="1766"/>
    <n v="92"/>
    <n v="424"/>
    <n v="24724"/>
    <n v="24333"/>
    <n v="52"/>
    <x v="4"/>
    <m/>
    <n v="9.2298980747451867E-2"/>
  </r>
  <r>
    <s v="P101"/>
    <s v="YouTube"/>
    <d v="2024-10-18T00:00:00"/>
    <s v="Video"/>
    <s v="Check out our latest video on youtube!"/>
    <n v="4450"/>
    <n v="983"/>
    <n v="143"/>
    <n v="75650"/>
    <n v="75008"/>
    <n v="12"/>
    <x v="0"/>
    <s v="FSDUpdate"/>
    <n v="7.3707865168539333E-2"/>
  </r>
  <r>
    <s v="P102"/>
    <s v="Twitter"/>
    <d v="2024-09-18T00:00:00"/>
    <s v="Reel"/>
    <s v="Check out our latest reel on twitter!"/>
    <n v="1000"/>
    <n v="978"/>
    <n v="162"/>
    <n v="6000"/>
    <n v="5221"/>
    <n v="223"/>
    <x v="4"/>
    <s v="ModelYCampaign"/>
    <n v="0.35666666666666669"/>
  </r>
  <r>
    <s v="P103"/>
    <s v="Facebook"/>
    <d v="2024-06-11T00:00:00"/>
    <s v="Image"/>
    <s v="Check out our latest image on facebook!"/>
    <n v="3689"/>
    <n v="48"/>
    <n v="306"/>
    <n v="40579"/>
    <n v="39588"/>
    <n v="212"/>
    <x v="4"/>
    <s v="ModelYCampaign"/>
    <n v="9.9632815002833983E-2"/>
  </r>
  <r>
    <s v="P104"/>
    <s v="YouTube"/>
    <d v="2025-03-23T00:00:00"/>
    <s v="Story"/>
    <s v="Check out our latest story on youtube!"/>
    <n v="3655"/>
    <n v="568"/>
    <n v="286"/>
    <n v="32895"/>
    <n v="32015"/>
    <n v="199"/>
    <x v="2"/>
    <s v="FSDUpdate"/>
    <n v="0.13707250341997265"/>
  </r>
  <r>
    <s v="P105"/>
    <s v="Instagram"/>
    <d v="2024-06-14T00:00:00"/>
    <s v="Carousel"/>
    <s v="Check out our latest carousel on instagram!"/>
    <n v="498"/>
    <n v="38"/>
    <n v="42"/>
    <n v="4482"/>
    <n v="3647"/>
    <n v="32"/>
    <x v="0"/>
    <s v="CybertruckLaunch"/>
    <n v="0.12896028558679162"/>
  </r>
  <r>
    <s v="P106"/>
    <s v="Instagram"/>
    <d v="2025-02-04T00:00:00"/>
    <s v="Image"/>
    <s v="Check out our latest image on instagram!"/>
    <n v="4619"/>
    <n v="821"/>
    <n v="499"/>
    <n v="69285"/>
    <n v="69141"/>
    <n v="298"/>
    <x v="2"/>
    <s v="SustainabilityDrive"/>
    <n v="8.5718409468138843E-2"/>
  </r>
  <r>
    <s v="P107"/>
    <s v="YouTube"/>
    <d v="2024-06-21T00:00:00"/>
    <s v="Image"/>
    <s v="Check out our latest image on youtube!"/>
    <n v="4832"/>
    <n v="893"/>
    <n v="10"/>
    <n v="91808"/>
    <n v="91296"/>
    <n v="182"/>
    <x v="2"/>
    <m/>
    <n v="6.2467323109097243E-2"/>
  </r>
  <r>
    <s v="P108"/>
    <s v="Twitter"/>
    <d v="2025-03-25T00:00:00"/>
    <s v="Video"/>
    <s v="Check out our latest video on twitter!"/>
    <n v="4050"/>
    <n v="871"/>
    <n v="347"/>
    <n v="52650"/>
    <n v="51755"/>
    <n v="209"/>
    <x v="2"/>
    <s v="ModelYCampaign"/>
    <n v="0.10005698005698006"/>
  </r>
  <r>
    <s v="P109"/>
    <s v="Twitter"/>
    <d v="2024-08-08T00:00:00"/>
    <s v="Story"/>
    <s v="Check out our latest story on twitter!"/>
    <n v="3649"/>
    <n v="215"/>
    <n v="413"/>
    <n v="25543"/>
    <n v="24963"/>
    <n v="167"/>
    <x v="0"/>
    <s v="FSDUpdate"/>
    <n v="0.16744313510550835"/>
  </r>
  <r>
    <s v="P110"/>
    <s v="Instagram"/>
    <d v="2024-07-29T00:00:00"/>
    <s v="Reel"/>
    <s v="Check out our latest reel on instagram!"/>
    <n v="3523"/>
    <n v="753"/>
    <n v="482"/>
    <n v="38753"/>
    <n v="38579"/>
    <n v="270"/>
    <x v="4"/>
    <s v="ModelYCampaign"/>
    <n v="0.12277759141227776"/>
  </r>
  <r>
    <s v="P111"/>
    <s v="YouTube"/>
    <d v="2024-11-23T00:00:00"/>
    <s v="Image"/>
    <s v="Check out our latest image on youtube!"/>
    <n v="2719"/>
    <n v="17"/>
    <n v="285"/>
    <n v="40785"/>
    <n v="40281"/>
    <n v="40"/>
    <x v="2"/>
    <s v="ModelYCampaign"/>
    <n v="7.4071349760941527E-2"/>
  </r>
  <r>
    <s v="P112"/>
    <s v="Twitter"/>
    <d v="2024-10-05T00:00:00"/>
    <s v="Story"/>
    <s v="Check out our latest story on twitter!"/>
    <n v="1957"/>
    <n v="877"/>
    <n v="238"/>
    <n v="17613"/>
    <n v="16865"/>
    <n v="297"/>
    <x v="0"/>
    <s v="FSDUpdate"/>
    <n v="0.17441662408448305"/>
  </r>
  <r>
    <s v="P113"/>
    <s v="Twitter"/>
    <d v="2024-10-02T00:00:00"/>
    <s v="Carousel"/>
    <s v="Check out our latest carousel on twitter!"/>
    <n v="4419"/>
    <n v="236"/>
    <n v="369"/>
    <n v="44190"/>
    <n v="43582"/>
    <n v="10"/>
    <x v="4"/>
    <s v="CybertruckLaunch"/>
    <n v="0.11369088028965829"/>
  </r>
  <r>
    <s v="P114"/>
    <s v="Twitter"/>
    <d v="2024-11-14T00:00:00"/>
    <s v="Story"/>
    <s v="Check out our latest story on twitter!"/>
    <n v="4000"/>
    <n v="689"/>
    <n v="488"/>
    <n v="40000"/>
    <n v="39569"/>
    <n v="44"/>
    <x v="0"/>
    <s v="CybertruckLaunch"/>
    <n v="0.12942500000000001"/>
  </r>
  <r>
    <s v="P115"/>
    <s v="Twitter"/>
    <d v="2025-05-11T00:00:00"/>
    <s v="Image"/>
    <s v="Check out our latest image on twitter!"/>
    <n v="2493"/>
    <n v="97"/>
    <n v="44"/>
    <n v="42381"/>
    <n v="41991"/>
    <n v="242"/>
    <x v="2"/>
    <s v="SustainabilityDrive"/>
    <n v="6.2150491965739366E-2"/>
  </r>
  <r>
    <s v="P115"/>
    <s v="Twitter"/>
    <d v="2025-05-11T00:00:00"/>
    <s v="Image"/>
    <s v="Check out our latest image on twitter!"/>
    <n v="2493"/>
    <n v="97"/>
    <n v="44"/>
    <n v="42381"/>
    <n v="41991"/>
    <n v="242"/>
    <x v="1"/>
    <s v="SustainabilityDrive"/>
    <n v="6.2150491965739366E-2"/>
  </r>
  <r>
    <s v="P116"/>
    <s v="YouTube"/>
    <d v="2025-03-18T00:00:00"/>
    <s v="Reel"/>
    <s v="Check out our latest reel on youtube!"/>
    <n v="3704"/>
    <n v="186"/>
    <n v="458"/>
    <n v="25928"/>
    <n v="25081"/>
    <n v="131"/>
    <x v="2"/>
    <m/>
    <n v="0.16769515581610614"/>
  </r>
  <r>
    <s v="P117"/>
    <s v="Twitter"/>
    <d v="2024-11-04T00:00:00"/>
    <s v="Image"/>
    <s v="Check out our latest image on twitter!"/>
    <n v="1606"/>
    <n v="451"/>
    <n v="405"/>
    <n v="20878"/>
    <n v="20190"/>
    <n v="219"/>
    <x v="4"/>
    <s v="SustainabilityDrive"/>
    <n v="0.11792317271769326"/>
  </r>
  <r>
    <s v="P118"/>
    <s v="Facebook"/>
    <d v="2024-11-04T00:00:00"/>
    <s v="Image"/>
    <s v="Check out our latest image on facebook!"/>
    <n v="4551"/>
    <n v="714"/>
    <n v="207"/>
    <n v="68265"/>
    <n v="67754"/>
    <n v="57"/>
    <x v="0"/>
    <s v="FSDUpdate"/>
    <n v="8.0158206987475278E-2"/>
  </r>
  <r>
    <s v="P119"/>
    <s v="Instagram"/>
    <d v="2025-02-07T00:00:00"/>
    <s v="Reel"/>
    <s v="Check out our latest reel on instagram!"/>
    <n v="1970"/>
    <n v="675"/>
    <n v="478"/>
    <n v="9850"/>
    <n v="8924"/>
    <n v="117"/>
    <x v="0"/>
    <m/>
    <n v="0.31705583756345179"/>
  </r>
  <r>
    <s v="P120"/>
    <s v="Facebook"/>
    <d v="2024-10-21T00:00:00"/>
    <s v="Story"/>
    <s v="Check out our latest story on facebook!"/>
    <n v="780"/>
    <n v="928"/>
    <n v="301"/>
    <n v="8580"/>
    <n v="8081"/>
    <n v="91"/>
    <x v="4"/>
    <s v="FSDUpdate"/>
    <n v="0.23414918414918415"/>
  </r>
  <r>
    <s v="P121"/>
    <s v="Instagram"/>
    <d v="2024-07-29T00:00:00"/>
    <s v="Story"/>
    <s v="Check out our latest story on instagram!"/>
    <n v="498"/>
    <n v="701"/>
    <n v="412"/>
    <n v="4980"/>
    <n v="4185"/>
    <n v="185"/>
    <x v="0"/>
    <m/>
    <n v="0.32349397590361445"/>
  </r>
  <r>
    <s v="P122"/>
    <s v="Instagram"/>
    <d v="2024-10-02T00:00:00"/>
    <s v="Text"/>
    <s v="Check out our latest text on instagram!"/>
    <n v="3432"/>
    <n v="869"/>
    <n v="123"/>
    <n v="54912"/>
    <n v="53916"/>
    <n v="264"/>
    <x v="4"/>
    <s v="ModelYCampaign"/>
    <n v="8.0565268065268064E-2"/>
  </r>
  <r>
    <s v="P123"/>
    <s v="Instagram"/>
    <d v="2024-06-14T00:00:00"/>
    <s v="Story"/>
    <s v="Check out our latest story on instagram!"/>
    <n v="4363"/>
    <n v="649"/>
    <n v="140"/>
    <n v="21815"/>
    <n v="21481"/>
    <n v="157"/>
    <x v="4"/>
    <s v="CybertruckLaunch"/>
    <n v="0.23616777446710979"/>
  </r>
  <r>
    <s v="P124"/>
    <s v="YouTube"/>
    <d v="2025-04-06T00:00:00"/>
    <s v="Carousel"/>
    <s v="Check out our latest carousel on youtube!"/>
    <n v="736"/>
    <n v="771"/>
    <n v="225"/>
    <n v="5152"/>
    <n v="4706"/>
    <n v="19"/>
    <x v="4"/>
    <s v="CybertruckLaunch"/>
    <n v="0.33618012422360249"/>
  </r>
  <r>
    <s v="P125"/>
    <s v="Twitter"/>
    <d v="2024-09-08T00:00:00"/>
    <s v="Carousel"/>
    <s v="Check out our latest carousel on twitter!"/>
    <n v="3811"/>
    <n v="866"/>
    <n v="216"/>
    <n v="34299"/>
    <n v="34088"/>
    <n v="233"/>
    <x v="2"/>
    <s v="SustainabilityDrive"/>
    <n v="0.14265722032712325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x v="0"/>
    <m/>
    <n v="9.9829463465827106E-2"/>
  </r>
  <r>
    <s v="P127"/>
    <s v="Facebook"/>
    <d v="2025-01-27T00:00:00"/>
    <s v="Reel"/>
    <s v="Check out our latest reel on facebook!"/>
    <n v="3452"/>
    <n v="652"/>
    <n v="442"/>
    <n v="65588"/>
    <n v="65049"/>
    <n v="158"/>
    <x v="0"/>
    <s v="FSDUpdate"/>
    <n v="6.9311459413307311E-2"/>
  </r>
  <r>
    <s v="P128"/>
    <s v="Twitter"/>
    <d v="2025-01-10T00:00:00"/>
    <s v="Image"/>
    <s v="Check out our latest image on twitter!"/>
    <n v="3092"/>
    <n v="106"/>
    <n v="291"/>
    <n v="27828"/>
    <n v="27217"/>
    <n v="102"/>
    <x v="0"/>
    <m/>
    <n v="0.12537731780940059"/>
  </r>
  <r>
    <s v="P129"/>
    <s v="Twitter"/>
    <d v="2024-07-21T00:00:00"/>
    <s v="Text"/>
    <s v="Check out our latest text on twitter!"/>
    <n v="2147"/>
    <n v="430"/>
    <n v="393"/>
    <n v="17176"/>
    <n v="16483"/>
    <n v="170"/>
    <x v="2"/>
    <m/>
    <n v="0.17291569632044715"/>
  </r>
  <r>
    <s v="P130"/>
    <s v="YouTube"/>
    <d v="2024-09-29T00:00:00"/>
    <s v="Reel"/>
    <s v="Check out our latest reel on youtube!"/>
    <n v="2936"/>
    <n v="439"/>
    <n v="44"/>
    <n v="38168"/>
    <n v="37571"/>
    <n v="22"/>
    <x v="4"/>
    <s v="SustainabilityDrive"/>
    <n v="8.9577656675749323E-2"/>
  </r>
  <r>
    <s v="P131"/>
    <s v="Instagram"/>
    <d v="2024-10-21T00:00:00"/>
    <s v="Reel"/>
    <s v="Check out our latest reel on instagram!"/>
    <n v="4840"/>
    <n v="658"/>
    <n v="211"/>
    <n v="43560"/>
    <n v="43225"/>
    <n v="57"/>
    <x v="0"/>
    <s v="FSDUpdate"/>
    <n v="0.13106060606060607"/>
  </r>
  <r>
    <s v="P132"/>
    <s v="Instagram"/>
    <d v="2025-03-04T00:00:00"/>
    <s v="Story"/>
    <s v="Check out our latest story on instagram!"/>
    <n v="1947"/>
    <n v="842"/>
    <n v="101"/>
    <n v="21417"/>
    <n v="20967"/>
    <n v="186"/>
    <x v="0"/>
    <s v="ModelYCampaign"/>
    <n v="0.13493953401503478"/>
  </r>
  <r>
    <s v="P133"/>
    <s v="Facebook"/>
    <d v="2025-02-06T00:00:00"/>
    <s v="Image"/>
    <s v="Check out our latest image on facebook!"/>
    <n v="2072"/>
    <n v="532"/>
    <n v="71"/>
    <n v="37296"/>
    <n v="36467"/>
    <n v="25"/>
    <x v="2"/>
    <s v="SustainabilityDrive"/>
    <n v="7.172350922350923E-2"/>
  </r>
  <r>
    <s v="P134"/>
    <s v="Twitter"/>
    <d v="2025-04-24T00:00:00"/>
    <s v="Reel"/>
    <s v="Check out our latest reel on twitter!"/>
    <n v="3731"/>
    <n v="115"/>
    <n v="135"/>
    <n v="55965"/>
    <n v="55436"/>
    <n v="103"/>
    <x v="2"/>
    <s v="CybertruckLaunch"/>
    <n v="7.1133744304476013E-2"/>
  </r>
  <r>
    <s v="P135"/>
    <s v="Facebook"/>
    <d v="2024-11-28T00:00:00"/>
    <s v="Text"/>
    <s v="Check out our latest text on facebook!"/>
    <n v="4213"/>
    <n v="253"/>
    <n v="434"/>
    <n v="75834"/>
    <n v="75437"/>
    <n v="272"/>
    <x v="0"/>
    <s v="SustainabilityDrive"/>
    <n v="6.461481657304112E-2"/>
  </r>
  <r>
    <s v="P136"/>
    <s v="Instagram"/>
    <d v="2024-07-11T00:00:00"/>
    <s v="Text"/>
    <s v="Check out our latest text on instagram!"/>
    <n v="3134"/>
    <n v="888"/>
    <n v="444"/>
    <n v="21938"/>
    <n v="21337"/>
    <n v="130"/>
    <x v="4"/>
    <s v="SustainabilityDrive"/>
    <n v="0.20357370772176134"/>
  </r>
  <r>
    <s v="P137"/>
    <s v="Facebook"/>
    <d v="2024-07-31T00:00:00"/>
    <s v="Video"/>
    <s v="Check out our latest video on facebook!"/>
    <n v="3008"/>
    <n v="94"/>
    <n v="37"/>
    <n v="15040"/>
    <n v="14639"/>
    <n v="277"/>
    <x v="0"/>
    <m/>
    <n v="0.20871010638297871"/>
  </r>
  <r>
    <s v="P138"/>
    <s v="Twitter"/>
    <d v="2025-03-29T00:00:00"/>
    <s v="Image"/>
    <s v="Check out our latest image on twitter!"/>
    <n v="305"/>
    <n v="187"/>
    <n v="243"/>
    <n v="4575"/>
    <n v="3704"/>
    <n v="234"/>
    <x v="0"/>
    <s v="FSDUpdate"/>
    <n v="0.16065573770491803"/>
  </r>
  <r>
    <s v="P139"/>
    <s v="YouTube"/>
    <d v="2024-10-29T00:00:00"/>
    <s v="Text"/>
    <s v="Check out our latest text on youtube!"/>
    <n v="2746"/>
    <n v="156"/>
    <n v="203"/>
    <n v="32952"/>
    <n v="32147"/>
    <n v="147"/>
    <x v="4"/>
    <s v="CybertruckLaunch"/>
    <n v="9.422796795338674E-2"/>
  </r>
  <r>
    <s v="P140"/>
    <s v="Facebook"/>
    <d v="2024-07-15T00:00:00"/>
    <s v="Image"/>
    <s v="Check out our latest image on facebook!"/>
    <n v="2291"/>
    <n v="78"/>
    <n v="485"/>
    <n v="18328"/>
    <n v="18101"/>
    <n v="10"/>
    <x v="4"/>
    <s v="ModelYCampaign"/>
    <n v="0.15571802706241816"/>
  </r>
  <r>
    <s v="P140"/>
    <s v="Facebook"/>
    <d v="2024-07-15T00:00:00"/>
    <s v="Image"/>
    <s v="Check out our latest image on facebook!"/>
    <n v="2291"/>
    <n v="78"/>
    <n v="485"/>
    <n v="18328"/>
    <n v="18101"/>
    <n v="10"/>
    <x v="5"/>
    <s v="ModelYCampaign"/>
    <n v="0.15571802706241816"/>
  </r>
  <r>
    <s v="P141"/>
    <s v="Twitter"/>
    <d v="2024-08-31T00:00:00"/>
    <s v="Image"/>
    <s v="Check out our latest image on twitter!"/>
    <n v="3170"/>
    <n v="857"/>
    <n v="379"/>
    <n v="19020"/>
    <n v="18559"/>
    <n v="240"/>
    <x v="0"/>
    <m/>
    <n v="0.2316508937960042"/>
  </r>
  <r>
    <s v="P142"/>
    <s v="YouTube"/>
    <d v="2025-03-25T00:00:00"/>
    <s v="Story"/>
    <s v="Check out our latest story on youtube!"/>
    <n v="2070"/>
    <n v="275"/>
    <n v="386"/>
    <n v="39330"/>
    <n v="38627"/>
    <n v="114"/>
    <x v="0"/>
    <s v="SustainabilityDrive"/>
    <n v="6.9438087973557078E-2"/>
  </r>
  <r>
    <s v="P143"/>
    <s v="YouTube"/>
    <d v="2024-10-02T00:00:00"/>
    <s v="Carousel"/>
    <s v="Check out our latest carousel on youtube!"/>
    <n v="80"/>
    <n v="362"/>
    <n v="80"/>
    <n v="1040"/>
    <n v="349"/>
    <n v="117"/>
    <x v="2"/>
    <s v="FSDUpdate"/>
    <n v="0.50192307692307692"/>
  </r>
  <r>
    <s v="P144"/>
    <s v="YouTube"/>
    <d v="2024-10-28T00:00:00"/>
    <s v="Story"/>
    <s v="Check out our latest story on youtube!"/>
    <n v="4929"/>
    <n v="749"/>
    <n v="452"/>
    <n v="93651"/>
    <n v="92810"/>
    <n v="66"/>
    <x v="4"/>
    <s v="SustainabilityDrive"/>
    <n v="6.5455787978772245E-2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x v="2"/>
    <s v="SustainabilityDrive"/>
    <n v="5.6416400425985093E-2"/>
  </r>
  <r>
    <s v="P146"/>
    <s v="YouTube"/>
    <d v="2024-06-05T00:00:00"/>
    <s v="Reel"/>
    <s v="Check out our latest reel on youtube!"/>
    <n v="3065"/>
    <n v="772"/>
    <n v="142"/>
    <n v="18390"/>
    <n v="17875"/>
    <n v="200"/>
    <x v="4"/>
    <m/>
    <n v="0.21636759108210984"/>
  </r>
  <r>
    <s v="P146"/>
    <s v="YouTube"/>
    <d v="2024-06-05T00:00:00"/>
    <s v="Reel"/>
    <s v="Check out our latest reel on youtube!"/>
    <n v="3065"/>
    <n v="772"/>
    <n v="142"/>
    <n v="18390"/>
    <n v="17875"/>
    <n v="200"/>
    <x v="1"/>
    <m/>
    <n v="0.21636759108210984"/>
  </r>
  <r>
    <s v="P147"/>
    <s v="Instagram"/>
    <d v="2024-10-21T00:00:00"/>
    <s v="Reel"/>
    <s v="Check out our latest reel on instagram!"/>
    <n v="3256"/>
    <n v="459"/>
    <n v="266"/>
    <n v="26048"/>
    <n v="25529"/>
    <n v="143"/>
    <x v="2"/>
    <s v="ModelYCampaign"/>
    <n v="0.15283323095823095"/>
  </r>
  <r>
    <s v="P148"/>
    <s v="Instagram"/>
    <d v="2025-04-15T00:00:00"/>
    <s v="Video"/>
    <s v="Check out our latest video on instagram!"/>
    <n v="4133"/>
    <n v="466"/>
    <n v="327"/>
    <n v="24798"/>
    <n v="24620"/>
    <n v="176"/>
    <x v="4"/>
    <s v="SustainabilityDrive"/>
    <n v="0.19864505202032423"/>
  </r>
  <r>
    <s v="P149"/>
    <s v="Twitter"/>
    <d v="2024-06-16T00:00:00"/>
    <s v="Video"/>
    <s v="Check out our latest video on twitter!"/>
    <n v="1702"/>
    <n v="750"/>
    <n v="179"/>
    <n v="34040"/>
    <n v="33174"/>
    <n v="76"/>
    <x v="4"/>
    <s v="CybertruckLaunch"/>
    <n v="7.7291421856639245E-2"/>
  </r>
  <r>
    <s v="P150"/>
    <s v="YouTube"/>
    <d v="2024-08-22T00:00:00"/>
    <s v="Carousel"/>
    <s v="Check out our latest carousel on youtube!"/>
    <n v="4295"/>
    <n v="853"/>
    <n v="325"/>
    <n v="85900"/>
    <n v="85788"/>
    <n v="290"/>
    <x v="2"/>
    <s v="SustainabilityDrive"/>
    <n v="6.3713620488940623E-2"/>
  </r>
  <r>
    <s v="P151"/>
    <s v="Instagram"/>
    <d v="2024-07-26T00:00:00"/>
    <s v="Image"/>
    <s v="Check out our latest image on instagram!"/>
    <n v="3559"/>
    <n v="59"/>
    <n v="289"/>
    <n v="35590"/>
    <n v="35105"/>
    <n v="122"/>
    <x v="4"/>
    <s v="CybertruckLaunch"/>
    <n v="0.10977802753582468"/>
  </r>
  <r>
    <s v="P152"/>
    <s v="Facebook"/>
    <d v="2025-04-22T00:00:00"/>
    <s v="Image"/>
    <s v="Check out our latest image on facebook!"/>
    <n v="4804"/>
    <n v="550"/>
    <n v="270"/>
    <n v="28824"/>
    <n v="28370"/>
    <n v="47"/>
    <x v="4"/>
    <s v="SustainabilityDrive"/>
    <n v="0.19511518179295032"/>
  </r>
  <r>
    <s v="P153"/>
    <s v="Twitter"/>
    <d v="2025-01-01T00:00:00"/>
    <s v="Video"/>
    <s v="Check out our latest video on twitter!"/>
    <n v="754"/>
    <n v="197"/>
    <n v="257"/>
    <n v="6786"/>
    <n v="6221"/>
    <n v="212"/>
    <x v="2"/>
    <s v="FSDUpdate"/>
    <n v="0.17801355732390214"/>
  </r>
  <r>
    <s v="P154"/>
    <s v="Instagram"/>
    <d v="2024-10-09T00:00:00"/>
    <s v="Carousel"/>
    <s v="Check out our latest carousel on instagram!"/>
    <n v="985"/>
    <n v="932"/>
    <n v="287"/>
    <n v="6895"/>
    <n v="6757"/>
    <n v="64"/>
    <x v="0"/>
    <s v="SustainabilityDrive"/>
    <n v="0.31965192168237855"/>
  </r>
  <r>
    <s v="P155"/>
    <s v="YouTube"/>
    <d v="2024-12-21T00:00:00"/>
    <s v="Image"/>
    <s v="Check out our latest image on youtube!"/>
    <n v="2283"/>
    <n v="210"/>
    <n v="130"/>
    <n v="22830"/>
    <n v="22617"/>
    <n v="143"/>
    <x v="0"/>
    <s v="ModelYCampaign"/>
    <n v="0.11489268506351293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x v="0"/>
    <s v="ModelYCampaign"/>
    <n v="0.1095786671562328"/>
  </r>
  <r>
    <s v="P157"/>
    <s v="YouTube"/>
    <d v="2024-07-23T00:00:00"/>
    <s v="Story"/>
    <s v="Check out our latest story on youtube!"/>
    <n v="4775"/>
    <n v="173"/>
    <n v="206"/>
    <n v="47750"/>
    <n v="47544"/>
    <n v="187"/>
    <x v="0"/>
    <s v="ModelYCampaign"/>
    <n v="0.10793717277486911"/>
  </r>
  <r>
    <s v="P158"/>
    <s v="Instagram"/>
    <d v="2024-08-11T00:00:00"/>
    <s v="Story"/>
    <s v="Check out our latest story on instagram!"/>
    <n v="1762"/>
    <n v="405"/>
    <n v="423"/>
    <n v="22906"/>
    <n v="21925"/>
    <n v="25"/>
    <x v="2"/>
    <s v="CybertruckLaunch"/>
    <n v="0.11307081114118571"/>
  </r>
  <r>
    <s v="P159"/>
    <s v="Facebook"/>
    <d v="2024-11-25T00:00:00"/>
    <s v="Story"/>
    <s v="Check out our latest story on facebook!"/>
    <n v="2120"/>
    <n v="158"/>
    <n v="488"/>
    <n v="12720"/>
    <n v="12085"/>
    <n v="17"/>
    <x v="0"/>
    <s v="ModelYCampaign"/>
    <n v="0.21745283018867925"/>
  </r>
  <r>
    <s v="P160"/>
    <s v="Twitter"/>
    <d v="2024-08-24T00:00:00"/>
    <s v="Video"/>
    <s v="Check out our latest video on twitter!"/>
    <n v="1082"/>
    <n v="209"/>
    <n v="484"/>
    <n v="19476"/>
    <n v="18654"/>
    <n v="20"/>
    <x v="2"/>
    <m/>
    <n v="9.1137810638734856E-2"/>
  </r>
  <r>
    <s v="P161"/>
    <s v="Twitter"/>
    <d v="2025-02-19T00:00:00"/>
    <s v="Text"/>
    <s v="Check out our latest text on twitter!"/>
    <n v="4671"/>
    <n v="876"/>
    <n v="366"/>
    <n v="51381"/>
    <n v="50565"/>
    <n v="245"/>
    <x v="2"/>
    <s v="SustainabilityDrive"/>
    <n v="0.11508145034156594"/>
  </r>
  <r>
    <s v="P162"/>
    <s v="Facebook"/>
    <d v="2025-04-01T00:00:00"/>
    <s v="Story"/>
    <s v="Check out our latest story on facebook!"/>
    <n v="3430"/>
    <n v="566"/>
    <n v="164"/>
    <n v="48020"/>
    <n v="47305"/>
    <n v="120"/>
    <x v="0"/>
    <m/>
    <n v="8.6630570595585168E-2"/>
  </r>
  <r>
    <s v="P163"/>
    <s v="Instagram"/>
    <d v="2025-04-08T00:00:00"/>
    <s v="Image"/>
    <s v="Check out our latest image on instagram!"/>
    <n v="4501"/>
    <n v="375"/>
    <n v="323"/>
    <n v="22505"/>
    <n v="21836"/>
    <n v="132"/>
    <x v="2"/>
    <s v="ModelYCampaign"/>
    <n v="0.23101532992668297"/>
  </r>
  <r>
    <s v="P164"/>
    <s v="YouTube"/>
    <d v="2025-02-27T00:00:00"/>
    <s v="Text"/>
    <s v="Check out our latest text on youtube!"/>
    <n v="4934"/>
    <n v="971"/>
    <n v="156"/>
    <n v="39472"/>
    <n v="39025"/>
    <n v="169"/>
    <x v="2"/>
    <s v="SustainabilityDrive"/>
    <n v="0.15355188488042157"/>
  </r>
  <r>
    <s v="P164"/>
    <s v="YouTube"/>
    <d v="2025-02-27T00:00:00"/>
    <s v="Text"/>
    <s v="Check out our latest text on youtube!"/>
    <n v="4934"/>
    <n v="971"/>
    <n v="156"/>
    <n v="39472"/>
    <n v="39025"/>
    <n v="169"/>
    <x v="1"/>
    <s v="SustainabilityDrive"/>
    <n v="0.15355188488042157"/>
  </r>
  <r>
    <s v="P165"/>
    <s v="Twitter"/>
    <d v="2024-12-11T00:00:00"/>
    <s v="Text"/>
    <s v="Check out our latest text on twitter!"/>
    <n v="3239"/>
    <n v="43"/>
    <n v="211"/>
    <n v="22673"/>
    <n v="22171"/>
    <n v="230"/>
    <x v="2"/>
    <s v="ModelYCampaign"/>
    <n v="0.15405989502933004"/>
  </r>
  <r>
    <s v="P166"/>
    <s v="Twitter"/>
    <d v="2025-02-16T00:00:00"/>
    <s v="Reel"/>
    <s v="Check out our latest reel on twitter!"/>
    <n v="1076"/>
    <n v="313"/>
    <n v="306"/>
    <n v="11836"/>
    <n v="11596"/>
    <n v="104"/>
    <x v="0"/>
    <s v="CybertruckLaunch"/>
    <n v="0.14320716458262928"/>
  </r>
  <r>
    <s v="P167"/>
    <s v="Instagram"/>
    <d v="2024-11-28T00:00:00"/>
    <s v="Text"/>
    <s v="Check out our latest text on instagram!"/>
    <n v="4771"/>
    <n v="818"/>
    <n v="56"/>
    <n v="57252"/>
    <n v="56378"/>
    <n v="150"/>
    <x v="0"/>
    <m/>
    <n v="9.859917557465242E-2"/>
  </r>
  <r>
    <s v="P168"/>
    <s v="Facebook"/>
    <d v="2024-11-12T00:00:00"/>
    <s v="Text"/>
    <s v="Check out our latest text on facebook!"/>
    <n v="2418"/>
    <n v="754"/>
    <n v="54"/>
    <n v="43524"/>
    <n v="42743"/>
    <n v="182"/>
    <x v="4"/>
    <s v="CybertruckLaunch"/>
    <n v="7.412002573292896E-2"/>
  </r>
  <r>
    <s v="P169"/>
    <s v="YouTube"/>
    <d v="2024-12-03T00:00:00"/>
    <s v="Video"/>
    <s v="Check out our latest video on youtube!"/>
    <n v="3809"/>
    <n v="273"/>
    <n v="200"/>
    <n v="34281"/>
    <n v="33534"/>
    <n v="83"/>
    <x v="4"/>
    <s v="CybertruckLaunch"/>
    <n v="0.12490884163239112"/>
  </r>
  <r>
    <s v="P170"/>
    <s v="Twitter"/>
    <d v="2025-04-28T00:00:00"/>
    <s v="Text"/>
    <s v="Check out our latest text on twitter!"/>
    <n v="3577"/>
    <n v="596"/>
    <n v="493"/>
    <n v="67963"/>
    <n v="67839"/>
    <n v="53"/>
    <x v="2"/>
    <s v="FSDUpdate"/>
    <n v="6.8655003457763777E-2"/>
  </r>
  <r>
    <s v="P171"/>
    <s v="YouTube"/>
    <d v="2024-12-31T00:00:00"/>
    <s v="Video"/>
    <s v="Check out our latest video on youtube!"/>
    <n v="1018"/>
    <n v="447"/>
    <n v="332"/>
    <n v="18324"/>
    <n v="18164"/>
    <n v="38"/>
    <x v="0"/>
    <s v="ModelYCampaign"/>
    <n v="9.8068107400130972E-2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x v="4"/>
    <s v="FSDUpdate"/>
    <n v="7.2739802071170159E-2"/>
  </r>
  <r>
    <s v="P173"/>
    <s v="Twitter"/>
    <d v="2024-12-05T00:00:00"/>
    <s v="Video"/>
    <s v="Check out our latest video on twitter!"/>
    <n v="1330"/>
    <n v="925"/>
    <n v="35"/>
    <n v="15960"/>
    <n v="15379"/>
    <n v="229"/>
    <x v="0"/>
    <s v="FSDUpdate"/>
    <n v="0.14348370927318296"/>
  </r>
  <r>
    <s v="P174"/>
    <s v="Facebook"/>
    <d v="2024-06-22T00:00:00"/>
    <s v="Text"/>
    <s v="Check out our latest text on facebook!"/>
    <n v="3828"/>
    <n v="148"/>
    <n v="253"/>
    <n v="30624"/>
    <n v="30229"/>
    <n v="235"/>
    <x v="4"/>
    <m/>
    <n v="0.13809430512016718"/>
  </r>
  <r>
    <s v="P175"/>
    <s v="Instagram"/>
    <d v="2025-01-17T00:00:00"/>
    <s v="Reel"/>
    <s v="Check out our latest reel on instagram!"/>
    <n v="142"/>
    <n v="784"/>
    <n v="183"/>
    <n v="1704"/>
    <n v="995"/>
    <n v="154"/>
    <x v="0"/>
    <s v="SustainabilityDrive"/>
    <n v="0.6508215962441315"/>
  </r>
  <r>
    <s v="P176"/>
    <s v="Facebook"/>
    <d v="2024-06-20T00:00:00"/>
    <s v="Video"/>
    <s v="Check out our latest video on facebook!"/>
    <n v="3798"/>
    <n v="31"/>
    <n v="279"/>
    <n v="75960"/>
    <n v="75813"/>
    <n v="266"/>
    <x v="2"/>
    <s v="CybertruckLaunch"/>
    <n v="5.4081095313322801E-2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x v="2"/>
    <s v="FSDUpdate"/>
    <n v="9.1365878393951966E-2"/>
  </r>
  <r>
    <s v="P178"/>
    <s v="Instagram"/>
    <d v="2024-11-07T00:00:00"/>
    <s v="Video"/>
    <s v="Check out our latest video on instagram!"/>
    <n v="129"/>
    <n v="643"/>
    <n v="136"/>
    <n v="1290"/>
    <n v="839"/>
    <n v="238"/>
    <x v="2"/>
    <s v="SustainabilityDrive"/>
    <n v="0.70387596899224802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x v="2"/>
    <m/>
    <n v="7.5280481001673588E-2"/>
  </r>
  <r>
    <s v="P180"/>
    <s v="YouTube"/>
    <d v="2024-12-03T00:00:00"/>
    <s v="Text"/>
    <s v="Check out our latest text on youtube!"/>
    <n v="3711"/>
    <n v="352"/>
    <n v="290"/>
    <n v="48243"/>
    <n v="47579"/>
    <n v="11"/>
    <x v="2"/>
    <s v="CybertruckLaunch"/>
    <n v="9.023070704558174E-2"/>
  </r>
  <r>
    <s v="P181"/>
    <s v="YouTube"/>
    <d v="2025-03-21T00:00:00"/>
    <s v="Image"/>
    <s v="Check out our latest image on youtube!"/>
    <n v="606"/>
    <n v="789"/>
    <n v="470"/>
    <n v="7878"/>
    <n v="7389"/>
    <n v="239"/>
    <x v="4"/>
    <s v="FSDUpdate"/>
    <n v="0.23673521198273673"/>
  </r>
  <r>
    <s v="P182"/>
    <s v="Facebook"/>
    <d v="2024-07-31T00:00:00"/>
    <s v="Image"/>
    <s v="Check out our latest image on facebook!"/>
    <n v="4689"/>
    <n v="134"/>
    <n v="403"/>
    <n v="51579"/>
    <n v="50924"/>
    <n v="173"/>
    <x v="2"/>
    <s v="SustainabilityDrive"/>
    <n v="0.10132030477519921"/>
  </r>
  <r>
    <s v="P183"/>
    <s v="Instagram"/>
    <d v="2024-12-17T00:00:00"/>
    <s v="Story"/>
    <s v="Check out our latest story on instagram!"/>
    <n v="360"/>
    <n v="590"/>
    <n v="393"/>
    <n v="4680"/>
    <n v="4322"/>
    <n v="208"/>
    <x v="0"/>
    <s v="ModelYCampaign"/>
    <n v="0.28696581196581195"/>
  </r>
  <r>
    <s v="P184"/>
    <s v="Twitter"/>
    <d v="2024-07-28T00:00:00"/>
    <s v="Image"/>
    <s v="Check out our latest image on twitter!"/>
    <n v="3215"/>
    <n v="960"/>
    <n v="202"/>
    <n v="32150"/>
    <n v="31404"/>
    <n v="251"/>
    <x v="4"/>
    <s v="CybertruckLaunch"/>
    <n v="0.13614307931570763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x v="4"/>
    <m/>
    <n v="9.5290736237010829E-2"/>
  </r>
  <r>
    <s v="P186"/>
    <s v="Facebook"/>
    <d v="2024-08-24T00:00:00"/>
    <s v="Carousel"/>
    <s v="Check out our latest carousel on facebook!"/>
    <n v="4292"/>
    <n v="51"/>
    <n v="392"/>
    <n v="55796"/>
    <n v="54826"/>
    <n v="264"/>
    <x v="4"/>
    <s v="FSDUpdate"/>
    <n v="8.4862714173059003E-2"/>
  </r>
  <r>
    <s v="P187"/>
    <s v="Twitter"/>
    <d v="2024-12-22T00:00:00"/>
    <s v="Reel"/>
    <s v="Check out our latest reel on twitter!"/>
    <n v="1644"/>
    <n v="546"/>
    <n v="150"/>
    <n v="27948"/>
    <n v="27184"/>
    <n v="300"/>
    <x v="4"/>
    <s v="FSDUpdate"/>
    <n v="8.3726921425504502E-2"/>
  </r>
  <r>
    <s v="P188"/>
    <s v="YouTube"/>
    <d v="2024-06-06T00:00:00"/>
    <s v="Reel"/>
    <s v="Check out our latest reel on youtube!"/>
    <n v="2728"/>
    <n v="533"/>
    <n v="215"/>
    <n v="40920"/>
    <n v="40816"/>
    <n v="137"/>
    <x v="0"/>
    <s v="ModelYCampaign"/>
    <n v="8.4946236559139784E-2"/>
  </r>
  <r>
    <s v="P189"/>
    <s v="Facebook"/>
    <d v="2025-03-24T00:00:00"/>
    <s v="Reel"/>
    <s v="Check out our latest reel on facebook!"/>
    <n v="3360"/>
    <n v="525"/>
    <n v="500"/>
    <n v="60480"/>
    <n v="59610"/>
    <n v="192"/>
    <x v="2"/>
    <s v="CybertruckLaunch"/>
    <n v="7.2503306878306875E-2"/>
  </r>
  <r>
    <s v="P190"/>
    <s v="YouTube"/>
    <d v="2024-10-04T00:00:00"/>
    <s v="Text"/>
    <s v="Check out our latest text on youtube!"/>
    <n v="1963"/>
    <n v="213"/>
    <n v="19"/>
    <n v="39260"/>
    <n v="38771"/>
    <n v="145"/>
    <x v="0"/>
    <m/>
    <n v="5.5909322465613857E-2"/>
  </r>
  <r>
    <s v="P191"/>
    <s v="YouTube"/>
    <d v="2024-12-03T00:00:00"/>
    <s v="Story"/>
    <s v="Check out our latest story on youtube!"/>
    <n v="4285"/>
    <n v="886"/>
    <n v="376"/>
    <n v="55705"/>
    <n v="55556"/>
    <n v="51"/>
    <x v="0"/>
    <s v="FSDUpdate"/>
    <n v="9.9578134817341346E-2"/>
  </r>
  <r>
    <s v="P192"/>
    <s v="Instagram"/>
    <d v="2024-11-29T00:00:00"/>
    <s v="Video"/>
    <s v="Check out our latest video on instagram!"/>
    <n v="1176"/>
    <n v="464"/>
    <n v="394"/>
    <n v="14112"/>
    <n v="13588"/>
    <n v="272"/>
    <x v="4"/>
    <m/>
    <n v="0.1441326530612245"/>
  </r>
  <r>
    <s v="P193"/>
    <s v="Twitter"/>
    <d v="2024-09-11T00:00:00"/>
    <s v="Image"/>
    <s v="Check out our latest image on twitter!"/>
    <n v="4858"/>
    <n v="317"/>
    <n v="129"/>
    <n v="53438"/>
    <n v="52687"/>
    <n v="223"/>
    <x v="4"/>
    <s v="FSDUpdate"/>
    <n v="9.9255211647142488E-2"/>
  </r>
  <r>
    <s v="P194"/>
    <s v="YouTube"/>
    <d v="2024-10-02T00:00:00"/>
    <s v="Story"/>
    <s v="Check out our latest story on youtube!"/>
    <n v="4350"/>
    <n v="771"/>
    <n v="7"/>
    <n v="60900"/>
    <n v="60592"/>
    <n v="195"/>
    <x v="4"/>
    <s v="CybertruckLaunch"/>
    <n v="8.4203612479474554E-2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x v="0"/>
    <s v="SustainabilityDrive"/>
    <n v="0.13667732704931829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x v="2"/>
    <s v="SustainabilityDrive"/>
    <n v="0.13667732704931829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x v="1"/>
    <s v="SustainabilityDrive"/>
    <n v="0.13667732704931829"/>
  </r>
  <r>
    <s v="P196"/>
    <s v="Instagram"/>
    <d v="2024-12-19T00:00:00"/>
    <s v="Text"/>
    <s v="Check out our latest text on instagram!"/>
    <n v="1813"/>
    <n v="623"/>
    <n v="72"/>
    <n v="19943"/>
    <n v="18959"/>
    <n v="85"/>
    <x v="4"/>
    <s v="FSDUpdate"/>
    <n v="0.12575841147269717"/>
  </r>
  <r>
    <s v="P197"/>
    <s v="Twitter"/>
    <d v="2024-10-22T00:00:00"/>
    <s v="Reel"/>
    <s v="Check out our latest reel on twitter!"/>
    <n v="4782"/>
    <n v="721"/>
    <n v="82"/>
    <n v="86076"/>
    <n v="85339"/>
    <n v="19"/>
    <x v="4"/>
    <s v="CybertruckLaunch"/>
    <n v="6.4884520656164318E-2"/>
  </r>
  <r>
    <s v="P198"/>
    <s v="Twitter"/>
    <d v="2024-09-14T00:00:00"/>
    <s v="Image"/>
    <s v="Check out our latest image on twitter!"/>
    <n v="1048"/>
    <n v="374"/>
    <n v="450"/>
    <n v="9432"/>
    <n v="8882"/>
    <n v="158"/>
    <x v="2"/>
    <s v="FSDUpdate"/>
    <n v="0.19847328244274809"/>
  </r>
  <r>
    <s v="P199"/>
    <s v="YouTube"/>
    <d v="2024-11-30T00:00:00"/>
    <s v="Carousel"/>
    <s v="Check out our latest carousel on youtube!"/>
    <n v="2509"/>
    <n v="324"/>
    <n v="171"/>
    <n v="35126"/>
    <n v="34685"/>
    <n v="277"/>
    <x v="2"/>
    <s v="ModelYCampaign"/>
    <n v="8.5520696919660646E-2"/>
  </r>
  <r>
    <s v="P200"/>
    <s v="Facebook"/>
    <d v="2025-04-07T00:00:00"/>
    <s v="Reel"/>
    <s v="Check out our latest reel on facebook!"/>
    <n v="3718"/>
    <n v="385"/>
    <n v="310"/>
    <n v="70642"/>
    <n v="69749"/>
    <n v="233"/>
    <x v="2"/>
    <s v="ModelYCampaign"/>
    <n v="6.246991874522239E-2"/>
  </r>
  <r>
    <s v="P201"/>
    <s v="Twitter"/>
    <d v="2025-01-15T00:00:00"/>
    <s v="Reel"/>
    <s v="Check out our latest reel on twitter!"/>
    <n v="802"/>
    <n v="262"/>
    <n v="244"/>
    <n v="14436"/>
    <n v="14280"/>
    <n v="49"/>
    <x v="4"/>
    <s v="CybertruckLaunch"/>
    <n v="9.0606816292601824E-2"/>
  </r>
  <r>
    <s v="P202"/>
    <s v="Facebook"/>
    <d v="2024-06-02T00:00:00"/>
    <s v="Image"/>
    <s v="Check out our latest image on facebook!"/>
    <n v="1871"/>
    <n v="252"/>
    <n v="335"/>
    <n v="29936"/>
    <n v="29576"/>
    <n v="288"/>
    <x v="4"/>
    <s v="FSDUpdate"/>
    <n v="8.2108498129342594E-2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x v="0"/>
    <s v="CybertruckLaunch"/>
    <n v="5.7332570758993957E-2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x v="0"/>
    <s v="FSDUpdate"/>
    <n v="0.29713518352730528"/>
  </r>
  <r>
    <s v="P205"/>
    <s v="Twitter"/>
    <d v="2025-04-24T00:00:00"/>
    <s v="Video"/>
    <s v="Check out our latest video on twitter!"/>
    <n v="3820"/>
    <n v="697"/>
    <n v="268"/>
    <n v="45840"/>
    <n v="45631"/>
    <n v="171"/>
    <x v="2"/>
    <s v="SustainabilityDrive"/>
    <n v="0.1043848167539267"/>
  </r>
  <r>
    <s v="P205"/>
    <s v="Twitter"/>
    <d v="2025-04-24T00:00:00"/>
    <s v="Video"/>
    <s v="Check out our latest video on twitter!"/>
    <n v="3820"/>
    <n v="697"/>
    <n v="268"/>
    <n v="45840"/>
    <n v="45631"/>
    <n v="171"/>
    <x v="5"/>
    <s v="SustainabilityDrive"/>
    <n v="0.1043848167539267"/>
  </r>
  <r>
    <s v="P206"/>
    <s v="Twitter"/>
    <d v="2024-06-24T00:00:00"/>
    <s v="Text"/>
    <s v="Check out our latest text on twitter!"/>
    <n v="941"/>
    <n v="121"/>
    <n v="458"/>
    <n v="14115"/>
    <n v="13838"/>
    <n v="87"/>
    <x v="4"/>
    <s v="CybertruckLaunch"/>
    <n v="0.10768685795253277"/>
  </r>
  <r>
    <s v="P207"/>
    <s v="Twitter"/>
    <d v="2024-12-29T00:00:00"/>
    <s v="Carousel"/>
    <s v="Check out our latest carousel on twitter!"/>
    <n v="4274"/>
    <n v="340"/>
    <n v="281"/>
    <n v="34192"/>
    <n v="33446"/>
    <n v="129"/>
    <x v="2"/>
    <s v="FSDUpdate"/>
    <n v="0.14316214319138981"/>
  </r>
  <r>
    <s v="P207"/>
    <s v="Twitter"/>
    <d v="2024-12-29T00:00:00"/>
    <s v="Carousel"/>
    <s v="Check out our latest carousel on twitter!"/>
    <n v="4274"/>
    <n v="340"/>
    <n v="281"/>
    <n v="34192"/>
    <n v="33446"/>
    <n v="129"/>
    <x v="5"/>
    <s v="FSDUpdate"/>
    <n v="0.14316214319138981"/>
  </r>
  <r>
    <s v="P208"/>
    <s v="YouTube"/>
    <d v="2024-06-24T00:00:00"/>
    <s v="Video"/>
    <s v="Check out our latest video on youtube!"/>
    <n v="2949"/>
    <n v="476"/>
    <n v="403"/>
    <n v="44235"/>
    <n v="43705"/>
    <n v="135"/>
    <x v="2"/>
    <s v="ModelYCampaign"/>
    <n v="8.6537809426924378E-2"/>
  </r>
  <r>
    <s v="P209"/>
    <s v="Twitter"/>
    <d v="2025-03-19T00:00:00"/>
    <s v="Video"/>
    <s v="Check out our latest video on twitter!"/>
    <n v="3160"/>
    <n v="204"/>
    <n v="297"/>
    <n v="44240"/>
    <n v="43666"/>
    <n v="49"/>
    <x v="0"/>
    <s v="SustainabilityDrive"/>
    <n v="8.2753164556962022E-2"/>
  </r>
  <r>
    <s v="P209"/>
    <s v="Twitter"/>
    <d v="2025-03-19T00:00:00"/>
    <s v="Video"/>
    <s v="Check out our latest video on twitter!"/>
    <n v="3160"/>
    <n v="204"/>
    <n v="297"/>
    <n v="44240"/>
    <n v="43666"/>
    <n v="49"/>
    <x v="1"/>
    <s v="SustainabilityDrive"/>
    <n v="8.2753164556962022E-2"/>
  </r>
  <r>
    <s v="P210"/>
    <s v="YouTube"/>
    <d v="2025-02-19T00:00:00"/>
    <s v="Image"/>
    <s v="Check out our latest image on youtube!"/>
    <n v="257"/>
    <n v="966"/>
    <n v="398"/>
    <n v="3341"/>
    <n v="2753"/>
    <n v="287"/>
    <x v="0"/>
    <s v="CybertruckLaunch"/>
    <n v="0.48518407662376534"/>
  </r>
  <r>
    <s v="P211"/>
    <s v="Twitter"/>
    <d v="2024-07-18T00:00:00"/>
    <s v="Carousel"/>
    <s v="Check out our latest carousel on twitter!"/>
    <n v="2120"/>
    <n v="38"/>
    <n v="212"/>
    <n v="12720"/>
    <n v="12564"/>
    <n v="21"/>
    <x v="0"/>
    <s v="SustainabilityDrive"/>
    <n v="0.18632075471698112"/>
  </r>
  <r>
    <s v="P212"/>
    <s v="YouTube"/>
    <d v="2025-03-03T00:00:00"/>
    <s v="Video"/>
    <s v="Check out our latest video on youtube!"/>
    <n v="3874"/>
    <n v="884"/>
    <n v="19"/>
    <n v="38740"/>
    <n v="38552"/>
    <n v="219"/>
    <x v="2"/>
    <s v="ModelYCampaign"/>
    <n v="0.123309241094476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x v="4"/>
    <s v="SustainabilityDrive"/>
    <n v="8.21914819340199E-2"/>
  </r>
  <r>
    <s v="P214"/>
    <s v="Instagram"/>
    <d v="2024-12-23T00:00:00"/>
    <s v="Image"/>
    <s v="Check out our latest image on instagram!"/>
    <n v="521"/>
    <n v="746"/>
    <n v="315"/>
    <n v="4168"/>
    <n v="3399"/>
    <n v="282"/>
    <x v="0"/>
    <s v="ModelYCampaign"/>
    <n v="0.37955854126679461"/>
  </r>
  <r>
    <s v="P215"/>
    <s v="Facebook"/>
    <d v="2025-05-06T00:00:00"/>
    <s v="Image"/>
    <s v="Check out our latest image on facebook!"/>
    <n v="4872"/>
    <n v="925"/>
    <n v="176"/>
    <n v="82824"/>
    <n v="82543"/>
    <n v="89"/>
    <x v="4"/>
    <s v="ModelYCampaign"/>
    <n v="7.2116777745580993E-2"/>
  </r>
  <r>
    <s v="P216"/>
    <s v="YouTube"/>
    <d v="2024-07-29T00:00:00"/>
    <s v="Story"/>
    <s v="Check out our latest story on youtube!"/>
    <n v="1509"/>
    <n v="88"/>
    <n v="163"/>
    <n v="30180"/>
    <n v="29689"/>
    <n v="119"/>
    <x v="4"/>
    <s v="ModelYCampaign"/>
    <n v="5.8316766070245198E-2"/>
  </r>
  <r>
    <s v="P217"/>
    <s v="Facebook"/>
    <d v="2024-12-03T00:00:00"/>
    <s v="Image"/>
    <s v="Check out our latest image on facebook!"/>
    <n v="4606"/>
    <n v="931"/>
    <n v="230"/>
    <n v="92120"/>
    <n v="91440"/>
    <n v="56"/>
    <x v="2"/>
    <m/>
    <n v="6.2603126356925748E-2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x v="2"/>
    <s v="SustainabilityDrive"/>
    <n v="0.18806848582129482"/>
  </r>
  <r>
    <s v="P219"/>
    <s v="Twitter"/>
    <d v="2025-01-28T00:00:00"/>
    <s v="Reel"/>
    <s v="Check out our latest reel on twitter!"/>
    <n v="1188"/>
    <n v="470"/>
    <n v="174"/>
    <n v="7128"/>
    <n v="6145"/>
    <n v="270"/>
    <x v="2"/>
    <s v="SustainabilityDrive"/>
    <n v="0.25701459034792368"/>
  </r>
  <r>
    <s v="P220"/>
    <s v="Instagram"/>
    <d v="2024-06-02T00:00:00"/>
    <s v="Story"/>
    <s v="Check out our latest story on instagram!"/>
    <n v="84"/>
    <n v="897"/>
    <n v="85"/>
    <n v="588"/>
    <n v="8"/>
    <n v="12"/>
    <x v="4"/>
    <m/>
    <n v="1.8129251700680271"/>
  </r>
  <r>
    <s v="P221"/>
    <s v="Facebook"/>
    <d v="2025-03-23T00:00:00"/>
    <s v="Video"/>
    <s v="Check out our latest video on facebook!"/>
    <n v="4453"/>
    <n v="111"/>
    <n v="420"/>
    <n v="31171"/>
    <n v="30565"/>
    <n v="23"/>
    <x v="2"/>
    <m/>
    <n v="0.15989220750056141"/>
  </r>
  <r>
    <s v="P222"/>
    <s v="Facebook"/>
    <d v="2024-10-08T00:00:00"/>
    <s v="Reel"/>
    <s v="Check out our latest reel on facebook!"/>
    <n v="1814"/>
    <n v="653"/>
    <n v="363"/>
    <n v="25396"/>
    <n v="25286"/>
    <n v="39"/>
    <x v="0"/>
    <s v="CybertruckLaunch"/>
    <n v="0.11143487163332809"/>
  </r>
  <r>
    <s v="P222"/>
    <s v="Facebook"/>
    <d v="2024-10-08T00:00:00"/>
    <s v="Reel"/>
    <s v="Check out our latest reel on facebook!"/>
    <n v="1814"/>
    <n v="653"/>
    <n v="363"/>
    <n v="25396"/>
    <n v="25286"/>
    <n v="39"/>
    <x v="5"/>
    <s v="CybertruckLaunch"/>
    <n v="0.11143487163332809"/>
  </r>
  <r>
    <s v="P223"/>
    <s v="Twitter"/>
    <d v="2024-11-12T00:00:00"/>
    <s v="Image"/>
    <s v="Check out our latest image on twitter!"/>
    <n v="3338"/>
    <n v="277"/>
    <n v="118"/>
    <n v="60084"/>
    <n v="59842"/>
    <n v="252"/>
    <x v="2"/>
    <m/>
    <n v="6.2129685107516146E-2"/>
  </r>
  <r>
    <s v="P224"/>
    <s v="Facebook"/>
    <d v="2025-05-13T00:00:00"/>
    <s v="Image"/>
    <s v="Check out our latest image on facebook!"/>
    <n v="602"/>
    <n v="594"/>
    <n v="156"/>
    <n v="4214"/>
    <n v="3363"/>
    <n v="164"/>
    <x v="2"/>
    <s v="FSDUpdate"/>
    <n v="0.32083531086853345"/>
  </r>
  <r>
    <s v="P225"/>
    <s v="Twitter"/>
    <d v="2024-06-20T00:00:00"/>
    <s v="Carousel"/>
    <s v="Check out our latest carousel on twitter!"/>
    <n v="4672"/>
    <n v="325"/>
    <n v="32"/>
    <n v="88768"/>
    <n v="87833"/>
    <n v="118"/>
    <x v="4"/>
    <m/>
    <n v="5.6653298485940883E-2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x v="2"/>
    <m/>
    <n v="0.25537047673750718"/>
  </r>
  <r>
    <s v="P227"/>
    <s v="Instagram"/>
    <d v="2024-06-12T00:00:00"/>
    <s v="Text"/>
    <s v="Check out our latest text on instagram!"/>
    <n v="246"/>
    <n v="149"/>
    <n v="130"/>
    <n v="4674"/>
    <n v="4390"/>
    <n v="217"/>
    <x v="0"/>
    <s v="FSDUpdate"/>
    <n v="0.11232349165596919"/>
  </r>
  <r>
    <s v="P228"/>
    <s v="Instagram"/>
    <d v="2024-07-01T00:00:00"/>
    <s v="Story"/>
    <s v="Check out our latest story on instagram!"/>
    <n v="4808"/>
    <n v="772"/>
    <n v="320"/>
    <n v="72120"/>
    <n v="71696"/>
    <n v="195"/>
    <x v="4"/>
    <s v="CybertruckLaunch"/>
    <n v="8.1808097615085965E-2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x v="2"/>
    <m/>
    <n v="0.13387048227640017"/>
  </r>
  <r>
    <s v="P230"/>
    <s v="Facebook"/>
    <d v="2024-07-15T00:00:00"/>
    <s v="Reel"/>
    <s v="Check out our latest reel on facebook!"/>
    <n v="3663"/>
    <n v="17"/>
    <n v="295"/>
    <n v="51282"/>
    <n v="50567"/>
    <n v="84"/>
    <x v="4"/>
    <s v="FSDUpdate"/>
    <n v="7.7512577512577507E-2"/>
  </r>
  <r>
    <s v="P231"/>
    <s v="Instagram"/>
    <d v="2025-05-01T00:00:00"/>
    <s v="Text"/>
    <s v="Check out our latest text on instagram!"/>
    <n v="1430"/>
    <n v="376"/>
    <n v="33"/>
    <n v="21450"/>
    <n v="20509"/>
    <n v="251"/>
    <x v="0"/>
    <s v="CybertruckLaunch"/>
    <n v="8.5734265734265735E-2"/>
  </r>
  <r>
    <s v="P232"/>
    <s v="Twitter"/>
    <d v="2025-04-29T00:00:00"/>
    <s v="Story"/>
    <s v="Check out our latest story on twitter!"/>
    <n v="249"/>
    <n v="592"/>
    <n v="230"/>
    <n v="1494"/>
    <n v="1044"/>
    <n v="201"/>
    <x v="4"/>
    <s v="SustainabilityDrive"/>
    <n v="0.7168674698795181"/>
  </r>
  <r>
    <s v="P233"/>
    <s v="Facebook"/>
    <d v="2025-03-08T00:00:00"/>
    <s v="Image"/>
    <s v="Check out our latest image on facebook!"/>
    <n v="2382"/>
    <n v="265"/>
    <n v="134"/>
    <n v="38112"/>
    <n v="37437"/>
    <n v="249"/>
    <x v="0"/>
    <s v="SustainabilityDrive"/>
    <n v="7.2969143576826198E-2"/>
  </r>
  <r>
    <s v="P234"/>
    <s v="Facebook"/>
    <d v="2024-06-01T00:00:00"/>
    <s v="Text"/>
    <s v="Check out our latest text on facebook!"/>
    <n v="1272"/>
    <n v="465"/>
    <n v="99"/>
    <n v="24168"/>
    <n v="23719"/>
    <n v="42"/>
    <x v="2"/>
    <m/>
    <n v="7.5968222442899705E-2"/>
  </r>
  <r>
    <s v="P235"/>
    <s v="Facebook"/>
    <d v="2024-12-22T00:00:00"/>
    <s v="Image"/>
    <s v="Check out our latest image on facebook!"/>
    <n v="3196"/>
    <n v="941"/>
    <n v="376"/>
    <n v="35156"/>
    <n v="34444"/>
    <n v="241"/>
    <x v="2"/>
    <s v="FSDUpdate"/>
    <n v="0.1283706906360223"/>
  </r>
  <r>
    <s v="P236"/>
    <s v="Facebook"/>
    <d v="2024-08-19T00:00:00"/>
    <s v="Text"/>
    <s v="Check out our latest text on facebook!"/>
    <n v="1257"/>
    <n v="19"/>
    <n v="351"/>
    <n v="12570"/>
    <n v="11660"/>
    <n v="194"/>
    <x v="0"/>
    <s v="ModelYCampaign"/>
    <n v="0.12943516308671441"/>
  </r>
  <r>
    <s v="P236"/>
    <s v="Facebook"/>
    <d v="2024-08-19T00:00:00"/>
    <s v="Text"/>
    <s v="Check out our latest text on facebook!"/>
    <n v="1257"/>
    <n v="19"/>
    <n v="351"/>
    <n v="12570"/>
    <n v="11660"/>
    <n v="194"/>
    <x v="1"/>
    <s v="ModelYCampaign"/>
    <n v="0.12943516308671441"/>
  </r>
  <r>
    <s v="P236"/>
    <s v="Facebook"/>
    <d v="2024-08-19T00:00:00"/>
    <s v="Text"/>
    <s v="Check out our latest text on facebook!"/>
    <n v="1257"/>
    <n v="19"/>
    <n v="351"/>
    <n v="12570"/>
    <n v="11660"/>
    <n v="194"/>
    <x v="4"/>
    <s v="ModelYCampaign"/>
    <n v="0.12943516308671441"/>
  </r>
  <r>
    <s v="P237"/>
    <s v="Instagram"/>
    <d v="2024-10-22T00:00:00"/>
    <s v="Story"/>
    <s v="Check out our latest story on instagram!"/>
    <n v="3770"/>
    <n v="917"/>
    <n v="129"/>
    <n v="71630"/>
    <n v="71322"/>
    <n v="76"/>
    <x v="0"/>
    <s v="CybertruckLaunch"/>
    <n v="6.7234398994834563E-2"/>
  </r>
  <r>
    <s v="P238"/>
    <s v="Twitter"/>
    <d v="2024-07-16T00:00:00"/>
    <s v="Text"/>
    <s v="Check out our latest text on twitter!"/>
    <n v="4725"/>
    <n v="400"/>
    <n v="362"/>
    <n v="75600"/>
    <n v="74927"/>
    <n v="43"/>
    <x v="0"/>
    <s v="SustainabilityDrive"/>
    <n v="7.2579365079365077E-2"/>
  </r>
  <r>
    <s v="P239"/>
    <s v="YouTube"/>
    <d v="2025-02-24T00:00:00"/>
    <s v="Text"/>
    <s v="Check out our latest text on youtube!"/>
    <n v="4188"/>
    <n v="942"/>
    <n v="118"/>
    <n v="20940"/>
    <n v="20471"/>
    <n v="102"/>
    <x v="0"/>
    <m/>
    <n v="0.25062082139446035"/>
  </r>
  <r>
    <s v="P240"/>
    <s v="Twitter"/>
    <d v="2024-08-26T00:00:00"/>
    <s v="Carousel"/>
    <s v="Check out our latest carousel on twitter!"/>
    <n v="929"/>
    <n v="192"/>
    <n v="322"/>
    <n v="16722"/>
    <n v="15996"/>
    <n v="145"/>
    <x v="4"/>
    <s v="FSDUpdate"/>
    <n v="8.6293505561535699E-2"/>
  </r>
  <r>
    <s v="P240"/>
    <s v="Twitter"/>
    <d v="2024-08-26T00:00:00"/>
    <s v="Carousel"/>
    <s v="Check out our latest carousel on twitter!"/>
    <n v="929"/>
    <n v="192"/>
    <n v="322"/>
    <n v="16722"/>
    <n v="15996"/>
    <n v="145"/>
    <x v="2"/>
    <s v="FSDUpdate"/>
    <n v="8.6293505561535699E-2"/>
  </r>
  <r>
    <s v="P240"/>
    <s v="Twitter"/>
    <d v="2024-08-26T00:00:00"/>
    <s v="Carousel"/>
    <s v="Check out our latest carousel on twitter!"/>
    <n v="929"/>
    <n v="192"/>
    <n v="322"/>
    <n v="16722"/>
    <n v="15996"/>
    <n v="145"/>
    <x v="1"/>
    <s v="FSDUpdate"/>
    <n v="8.6293505561535699E-2"/>
  </r>
  <r>
    <s v="P241"/>
    <s v="Facebook"/>
    <d v="2025-01-18T00:00:00"/>
    <s v="Story"/>
    <s v="Check out our latest story on facebook!"/>
    <n v="4321"/>
    <n v="874"/>
    <n v="172"/>
    <n v="30247"/>
    <n v="29254"/>
    <n v="122"/>
    <x v="2"/>
    <s v="SustainabilityDrive"/>
    <n v="0.17743908486792079"/>
  </r>
  <r>
    <s v="P242"/>
    <s v="Facebook"/>
    <d v="2024-07-07T00:00:00"/>
    <s v="Reel"/>
    <s v="Check out our latest reel on facebook!"/>
    <n v="4767"/>
    <n v="190"/>
    <n v="340"/>
    <n v="28602"/>
    <n v="28044"/>
    <n v="210"/>
    <x v="4"/>
    <s v="FSDUpdate"/>
    <n v="0.18519683938186141"/>
  </r>
  <r>
    <s v="P243"/>
    <s v="Twitter"/>
    <d v="2025-03-06T00:00:00"/>
    <s v="Image"/>
    <s v="Check out our latest image on twitter!"/>
    <n v="3592"/>
    <n v="911"/>
    <n v="375"/>
    <n v="50288"/>
    <n v="49490"/>
    <n v="32"/>
    <x v="0"/>
    <s v="SustainabilityDrive"/>
    <n v="9.7001272669424113E-2"/>
  </r>
  <r>
    <s v="P244"/>
    <s v="YouTube"/>
    <d v="2024-10-25T00:00:00"/>
    <s v="Video"/>
    <s v="Check out our latest video on youtube!"/>
    <n v="4661"/>
    <n v="935"/>
    <n v="433"/>
    <n v="23305"/>
    <n v="22583"/>
    <n v="63"/>
    <x v="0"/>
    <s v="FSDUpdate"/>
    <n v="0.25869984981763572"/>
  </r>
  <r>
    <s v="P245"/>
    <s v="Facebook"/>
    <d v="2025-01-12T00:00:00"/>
    <s v="Reel"/>
    <s v="Check out our latest reel on facebook!"/>
    <n v="4134"/>
    <n v="824"/>
    <n v="99"/>
    <n v="41340"/>
    <n v="41050"/>
    <n v="177"/>
    <x v="4"/>
    <s v="CybertruckLaunch"/>
    <n v="0.12232704402515723"/>
  </r>
  <r>
    <s v="P246"/>
    <s v="Facebook"/>
    <d v="2024-10-11T00:00:00"/>
    <s v="Image"/>
    <s v="Check out our latest image on facebook!"/>
    <n v="400"/>
    <n v="680"/>
    <n v="434"/>
    <n v="6400"/>
    <n v="5472"/>
    <n v="160"/>
    <x v="0"/>
    <s v="ModelYCampaign"/>
    <n v="0.23656250000000001"/>
  </r>
  <r>
    <s v="P247"/>
    <s v="Facebook"/>
    <d v="2024-08-27T00:00:00"/>
    <s v="Reel"/>
    <s v="Check out our latest reel on facebook!"/>
    <n v="3960"/>
    <n v="266"/>
    <n v="8"/>
    <n v="35640"/>
    <n v="34850"/>
    <n v="208"/>
    <x v="0"/>
    <m/>
    <n v="0.11879910213243547"/>
  </r>
  <r>
    <s v="P247"/>
    <s v="Facebook"/>
    <d v="2024-08-27T00:00:00"/>
    <s v="Reel"/>
    <s v="Check out our latest reel on facebook!"/>
    <n v="3960"/>
    <n v="266"/>
    <n v="8"/>
    <n v="35640"/>
    <n v="34850"/>
    <n v="208"/>
    <x v="4"/>
    <m/>
    <n v="0.11879910213243547"/>
  </r>
  <r>
    <s v="P247"/>
    <s v="Facebook"/>
    <d v="2024-08-27T00:00:00"/>
    <s v="Reel"/>
    <s v="Check out our latest reel on facebook!"/>
    <n v="3960"/>
    <n v="266"/>
    <n v="8"/>
    <n v="35640"/>
    <n v="34850"/>
    <n v="208"/>
    <x v="3"/>
    <m/>
    <n v="0.11879910213243547"/>
  </r>
  <r>
    <s v="P248"/>
    <s v="Facebook"/>
    <d v="2025-02-02T00:00:00"/>
    <s v="Story"/>
    <s v="Check out our latest story on facebook!"/>
    <n v="886"/>
    <n v="126"/>
    <n v="153"/>
    <n v="4430"/>
    <n v="4037"/>
    <n v="212"/>
    <x v="4"/>
    <m/>
    <n v="0.26297968397291194"/>
  </r>
  <r>
    <s v="P249"/>
    <s v="Twitter"/>
    <d v="2024-07-18T00:00:00"/>
    <s v="Image"/>
    <s v="Check out our latest image on twitter!"/>
    <n v="827"/>
    <n v="77"/>
    <n v="402"/>
    <n v="14886"/>
    <n v="14129"/>
    <n v="254"/>
    <x v="4"/>
    <s v="ModelYCampaign"/>
    <n v="8.7733440816874911E-2"/>
  </r>
  <r>
    <s v="P250"/>
    <s v="Facebook"/>
    <d v="2024-06-22T00:00:00"/>
    <s v="Reel"/>
    <s v="Check out our latest reel on facebook!"/>
    <n v="3813"/>
    <n v="935"/>
    <n v="274"/>
    <n v="68634"/>
    <n v="68488"/>
    <n v="251"/>
    <x v="0"/>
    <m/>
    <n v="7.3170731707317069E-2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x v="0"/>
    <m/>
    <n v="0.11619462599854757"/>
  </r>
  <r>
    <s v="P252"/>
    <s v="Facebook"/>
    <d v="2025-04-28T00:00:00"/>
    <s v="Carousel"/>
    <s v="Check out our latest carousel on facebook!"/>
    <n v="2089"/>
    <n v="476"/>
    <n v="69"/>
    <n v="16712"/>
    <n v="16309"/>
    <n v="64"/>
    <x v="0"/>
    <s v="FSDUpdate"/>
    <n v="0.15761129727142173"/>
  </r>
  <r>
    <s v="P253"/>
    <s v="Twitter"/>
    <d v="2024-08-03T00:00:00"/>
    <s v="Reel"/>
    <s v="Check out our latest reel on twitter!"/>
    <n v="3791"/>
    <n v="593"/>
    <n v="228"/>
    <n v="53074"/>
    <n v="52613"/>
    <n v="205"/>
    <x v="4"/>
    <m/>
    <n v="8.6897539284772202E-2"/>
  </r>
  <r>
    <s v="P254"/>
    <s v="Twitter"/>
    <d v="2025-01-14T00:00:00"/>
    <s v="Image"/>
    <s v="Check out our latest image on twitter!"/>
    <n v="2692"/>
    <n v="115"/>
    <n v="64"/>
    <n v="21536"/>
    <n v="21120"/>
    <n v="224"/>
    <x v="0"/>
    <s v="ModelYCampaign"/>
    <n v="0.13331166419019316"/>
  </r>
  <r>
    <s v="P255"/>
    <s v="Facebook"/>
    <d v="2025-04-03T00:00:00"/>
    <s v="Story"/>
    <s v="Check out our latest story on facebook!"/>
    <n v="3767"/>
    <n v="514"/>
    <n v="238"/>
    <n v="37670"/>
    <n v="36807"/>
    <n v="226"/>
    <x v="0"/>
    <s v="SustainabilityDrive"/>
    <n v="0.11996283514733209"/>
  </r>
  <r>
    <s v="P256"/>
    <s v="YouTube"/>
    <d v="2024-09-18T00:00:00"/>
    <s v="Carousel"/>
    <s v="Check out our latest carousel on youtube!"/>
    <n v="2143"/>
    <n v="12"/>
    <n v="204"/>
    <n v="40717"/>
    <n v="40125"/>
    <n v="248"/>
    <x v="4"/>
    <s v="ModelYCampaign"/>
    <n v="5.7936488444630008E-2"/>
  </r>
  <r>
    <s v="P257"/>
    <s v="Facebook"/>
    <d v="2025-04-06T00:00:00"/>
    <s v="Image"/>
    <s v="Check out our latest image on facebook!"/>
    <n v="3090"/>
    <n v="697"/>
    <n v="164"/>
    <n v="49440"/>
    <n v="48524"/>
    <n v="25"/>
    <x v="4"/>
    <s v="ModelYCampaign"/>
    <n v="7.9915048543689318E-2"/>
  </r>
  <r>
    <s v="P257"/>
    <s v="Facebook"/>
    <d v="2025-04-06T00:00:00"/>
    <s v="Image"/>
    <s v="Check out our latest image on facebook!"/>
    <n v="3090"/>
    <n v="697"/>
    <n v="164"/>
    <n v="49440"/>
    <n v="48524"/>
    <n v="25"/>
    <x v="4"/>
    <s v="ModelYCampaign"/>
    <n v="7.9915048543689318E-2"/>
  </r>
  <r>
    <s v="P257"/>
    <s v="Facebook"/>
    <d v="2025-04-06T00:00:00"/>
    <s v="Image"/>
    <s v="Check out our latest image on facebook!"/>
    <n v="3090"/>
    <n v="697"/>
    <n v="164"/>
    <n v="49440"/>
    <n v="48524"/>
    <n v="25"/>
    <x v="3"/>
    <s v="ModelYCampaign"/>
    <n v="7.9915048543689318E-2"/>
  </r>
  <r>
    <s v="P258"/>
    <s v="Instagram"/>
    <d v="2024-08-05T00:00:00"/>
    <s v="Story"/>
    <s v="Check out our latest story on instagram!"/>
    <n v="3601"/>
    <n v="695"/>
    <n v="75"/>
    <n v="21606"/>
    <n v="21454"/>
    <n v="172"/>
    <x v="4"/>
    <s v="ModelYCampaign"/>
    <n v="0.2023049153013052"/>
  </r>
  <r>
    <s v="P259"/>
    <s v="Facebook"/>
    <d v="2025-02-10T00:00:00"/>
    <s v="Text"/>
    <s v="Check out our latest text on facebook!"/>
    <n v="562"/>
    <n v="158"/>
    <n v="149"/>
    <n v="3372"/>
    <n v="2940"/>
    <n v="93"/>
    <x v="2"/>
    <s v="CybertruckLaunch"/>
    <n v="0.25771055753262156"/>
  </r>
  <r>
    <s v="P260"/>
    <s v="Instagram"/>
    <d v="2025-02-12T00:00:00"/>
    <s v="Story"/>
    <s v="Check out our latest story on instagram!"/>
    <n v="4332"/>
    <n v="771"/>
    <n v="219"/>
    <n v="60648"/>
    <n v="60397"/>
    <n v="10"/>
    <x v="2"/>
    <s v="FSDUpdate"/>
    <n v="8.7752275425405618E-2"/>
  </r>
  <r>
    <s v="P260"/>
    <s v="Instagram"/>
    <d v="2025-02-12T00:00:00"/>
    <s v="Story"/>
    <s v="Check out our latest story on instagram!"/>
    <n v="4332"/>
    <n v="771"/>
    <n v="219"/>
    <n v="60648"/>
    <n v="60397"/>
    <n v="10"/>
    <x v="4"/>
    <s v="FSDUpdate"/>
    <n v="8.7752275425405618E-2"/>
  </r>
  <r>
    <s v="P260"/>
    <s v="Instagram"/>
    <d v="2025-02-12T00:00:00"/>
    <s v="Story"/>
    <s v="Check out our latest story on instagram!"/>
    <n v="4332"/>
    <n v="771"/>
    <n v="219"/>
    <n v="60648"/>
    <n v="60397"/>
    <n v="10"/>
    <x v="3"/>
    <s v="FSDUpdate"/>
    <n v="8.7752275425405618E-2"/>
  </r>
  <r>
    <s v="P261"/>
    <s v="Instagram"/>
    <d v="2024-10-27T00:00:00"/>
    <s v="Image"/>
    <s v="Check out our latest image on instagram!"/>
    <n v="4853"/>
    <n v="837"/>
    <n v="340"/>
    <n v="72795"/>
    <n v="72237"/>
    <n v="170"/>
    <x v="4"/>
    <s v="CybertruckLaunch"/>
    <n v="8.2835359571399134E-2"/>
  </r>
  <r>
    <s v="P262"/>
    <s v="YouTube"/>
    <d v="2025-01-18T00:00:00"/>
    <s v="Image"/>
    <s v="Check out our latest image on youtube!"/>
    <n v="1206"/>
    <n v="238"/>
    <n v="36"/>
    <n v="9648"/>
    <n v="9417"/>
    <n v="237"/>
    <x v="2"/>
    <m/>
    <n v="0.15339966832504145"/>
  </r>
  <r>
    <s v="P263"/>
    <s v="Instagram"/>
    <d v="2024-08-20T00:00:00"/>
    <s v="Reel"/>
    <s v="Check out our latest reel on instagram!"/>
    <n v="2603"/>
    <n v="690"/>
    <n v="205"/>
    <n v="13015"/>
    <n v="12130"/>
    <n v="20"/>
    <x v="0"/>
    <s v="ModelYCampaign"/>
    <n v="0.26876680752977333"/>
  </r>
  <r>
    <s v="P264"/>
    <s v="Twitter"/>
    <d v="2025-01-30T00:00:00"/>
    <s v="Image"/>
    <s v="Check out our latest image on twitter!"/>
    <n v="59"/>
    <n v="163"/>
    <n v="93"/>
    <n v="590"/>
    <n v="475"/>
    <n v="293"/>
    <x v="2"/>
    <s v="ModelYCampaign"/>
    <n v="0.53389830508474578"/>
  </r>
  <r>
    <s v="P265"/>
    <s v="Twitter"/>
    <d v="2025-02-20T00:00:00"/>
    <s v="Carousel"/>
    <s v="Check out our latest carousel on twitter!"/>
    <n v="1877"/>
    <n v="745"/>
    <n v="225"/>
    <n v="11262"/>
    <n v="10967"/>
    <n v="41"/>
    <x v="4"/>
    <s v="SustainabilityDrive"/>
    <n v="0.25279701651571657"/>
  </r>
  <r>
    <s v="P266"/>
    <s v="Facebook"/>
    <d v="2024-11-25T00:00:00"/>
    <s v="Story"/>
    <s v="Check out our latest story on facebook!"/>
    <n v="4182"/>
    <n v="640"/>
    <n v="240"/>
    <n v="50184"/>
    <n v="49351"/>
    <n v="10"/>
    <x v="2"/>
    <s v="FSDUpdate"/>
    <n v="0.10086880280567512"/>
  </r>
  <r>
    <s v="P267"/>
    <s v="Twitter"/>
    <d v="2024-10-04T00:00:00"/>
    <s v="Reel"/>
    <s v="Check out our latest reel on twitter!"/>
    <n v="4187"/>
    <n v="66"/>
    <n v="31"/>
    <n v="66992"/>
    <n v="66614"/>
    <n v="62"/>
    <x v="0"/>
    <m/>
    <n v="6.3947934081681396E-2"/>
  </r>
  <r>
    <s v="P268"/>
    <s v="Instagram"/>
    <d v="2025-04-13T00:00:00"/>
    <s v="Reel"/>
    <s v="Check out our latest reel on instagram!"/>
    <n v="4579"/>
    <n v="125"/>
    <n v="300"/>
    <n v="59527"/>
    <n v="59400"/>
    <n v="269"/>
    <x v="4"/>
    <s v="CybertruckLaunch"/>
    <n v="8.4062694239588759E-2"/>
  </r>
  <r>
    <s v="P269"/>
    <s v="Instagram"/>
    <d v="2024-11-05T00:00:00"/>
    <s v="Video"/>
    <s v="Check out our latest video on instagram!"/>
    <n v="4561"/>
    <n v="51"/>
    <n v="441"/>
    <n v="22805"/>
    <n v="21890"/>
    <n v="45"/>
    <x v="2"/>
    <s v="ModelYCampaign"/>
    <n v="0.22157421618066214"/>
  </r>
  <r>
    <s v="P270"/>
    <s v="YouTube"/>
    <d v="2025-01-15T00:00:00"/>
    <s v="Reel"/>
    <s v="Check out our latest reel on youtube!"/>
    <n v="3774"/>
    <n v="239"/>
    <n v="39"/>
    <n v="60384"/>
    <n v="59490"/>
    <n v="241"/>
    <x v="2"/>
    <s v="FSDUpdate"/>
    <n v="6.7103868574456813E-2"/>
  </r>
  <r>
    <s v="P271"/>
    <s v="Instagram"/>
    <d v="2024-10-17T00:00:00"/>
    <s v="Video"/>
    <s v="Check out our latest video on instagram!"/>
    <n v="3575"/>
    <n v="749"/>
    <n v="111"/>
    <n v="21450"/>
    <n v="20785"/>
    <n v="195"/>
    <x v="4"/>
    <s v="ModelYCampaign"/>
    <n v="0.20675990675990677"/>
  </r>
  <r>
    <s v="P272"/>
    <s v="Instagram"/>
    <d v="2025-03-27T00:00:00"/>
    <s v="Text"/>
    <s v="Check out our latest text on instagram!"/>
    <n v="4941"/>
    <n v="414"/>
    <n v="266"/>
    <n v="39528"/>
    <n v="39154"/>
    <n v="217"/>
    <x v="2"/>
    <s v="FSDUpdate"/>
    <n v="0.14220299534507186"/>
  </r>
  <r>
    <s v="P273"/>
    <s v="YouTube"/>
    <d v="2024-10-12T00:00:00"/>
    <s v="Story"/>
    <s v="Check out our latest story on youtube!"/>
    <n v="3641"/>
    <n v="226"/>
    <n v="46"/>
    <n v="40051"/>
    <n v="39319"/>
    <n v="296"/>
    <x v="4"/>
    <s v="SustainabilityDrive"/>
    <n v="9.7700431949264685E-2"/>
  </r>
  <r>
    <s v="P274"/>
    <s v="Twitter"/>
    <d v="2025-01-01T00:00:00"/>
    <s v="Carousel"/>
    <s v="Check out our latest carousel on twitter!"/>
    <n v="3535"/>
    <n v="494"/>
    <n v="152"/>
    <n v="53025"/>
    <n v="52791"/>
    <n v="44"/>
    <x v="2"/>
    <s v="SustainabilityDrive"/>
    <n v="7.8849599245638849E-2"/>
  </r>
  <r>
    <s v="P275"/>
    <s v="Facebook"/>
    <d v="2024-08-05T00:00:00"/>
    <s v="Reel"/>
    <s v="Check out our latest reel on facebook!"/>
    <n v="1741"/>
    <n v="831"/>
    <n v="345"/>
    <n v="17410"/>
    <n v="16844"/>
    <n v="58"/>
    <x v="4"/>
    <s v="FSDUpdate"/>
    <n v="0.16754738655944859"/>
  </r>
  <r>
    <s v="P276"/>
    <s v="Twitter"/>
    <d v="2024-06-07T00:00:00"/>
    <s v="Carousel"/>
    <s v="Check out our latest carousel on twitter!"/>
    <n v="1556"/>
    <n v="195"/>
    <n v="131"/>
    <n v="9336"/>
    <n v="8875"/>
    <n v="137"/>
    <x v="2"/>
    <s v="ModelYCampaign"/>
    <n v="0.2015852613538989"/>
  </r>
  <r>
    <s v="P277"/>
    <s v="Facebook"/>
    <d v="2025-04-06T00:00:00"/>
    <s v="Image"/>
    <s v="Check out our latest image on facebook!"/>
    <n v="4236"/>
    <n v="711"/>
    <n v="298"/>
    <n v="21180"/>
    <n v="20516"/>
    <n v="238"/>
    <x v="0"/>
    <s v="CybertruckLaunch"/>
    <n v="0.24763928234183191"/>
  </r>
  <r>
    <s v="P278"/>
    <s v="Twitter"/>
    <d v="2024-11-26T00:00:00"/>
    <s v="Text"/>
    <s v="Check out our latest text on twitter!"/>
    <n v="4516"/>
    <n v="836"/>
    <n v="169"/>
    <n v="49676"/>
    <n v="49257"/>
    <n v="282"/>
    <x v="4"/>
    <s v="SustainabilityDrive"/>
    <n v="0.11114018842096787"/>
  </r>
  <r>
    <s v="P279"/>
    <s v="YouTube"/>
    <d v="2024-09-02T00:00:00"/>
    <s v="Image"/>
    <s v="Check out our latest image on youtube!"/>
    <n v="4905"/>
    <n v="845"/>
    <n v="129"/>
    <n v="98100"/>
    <n v="97772"/>
    <n v="279"/>
    <x v="2"/>
    <s v="ModelYCampaign"/>
    <n v="5.9928644240570844E-2"/>
  </r>
  <r>
    <s v="P280"/>
    <s v="YouTube"/>
    <d v="2024-10-21T00:00:00"/>
    <s v="Video"/>
    <s v="Check out our latest video on youtube!"/>
    <n v="4275"/>
    <n v="680"/>
    <n v="385"/>
    <n v="64125"/>
    <n v="63650"/>
    <n v="104"/>
    <x v="4"/>
    <s v="SustainabilityDrive"/>
    <n v="8.3274853801169585E-2"/>
  </r>
  <r>
    <s v="P280"/>
    <s v="YouTube"/>
    <d v="2024-10-21T00:00:00"/>
    <s v="Video"/>
    <s v="Check out our latest video on youtube!"/>
    <n v="4275"/>
    <n v="680"/>
    <n v="385"/>
    <n v="64125"/>
    <n v="63650"/>
    <n v="104"/>
    <x v="2"/>
    <s v="SustainabilityDrive"/>
    <n v="8.3274853801169585E-2"/>
  </r>
  <r>
    <s v="P280"/>
    <s v="YouTube"/>
    <d v="2024-10-21T00:00:00"/>
    <s v="Video"/>
    <s v="Check out our latest video on youtube!"/>
    <n v="4275"/>
    <n v="680"/>
    <n v="385"/>
    <n v="64125"/>
    <n v="63650"/>
    <n v="104"/>
    <x v="1"/>
    <s v="SustainabilityDrive"/>
    <n v="8.3274853801169585E-2"/>
  </r>
  <r>
    <s v="P281"/>
    <s v="YouTube"/>
    <d v="2025-03-22T00:00:00"/>
    <s v="Image"/>
    <s v="Check out our latest image on youtube!"/>
    <n v="3166"/>
    <n v="90"/>
    <n v="341"/>
    <n v="56988"/>
    <n v="56125"/>
    <n v="135"/>
    <x v="4"/>
    <s v="ModelYCampaign"/>
    <n v="6.3118551273952411E-2"/>
  </r>
  <r>
    <s v="P282"/>
    <s v="Instagram"/>
    <d v="2024-10-03T00:00:00"/>
    <s v="Video"/>
    <s v="Check out our latest video on instagram!"/>
    <n v="1488"/>
    <n v="417"/>
    <n v="168"/>
    <n v="19344"/>
    <n v="18395"/>
    <n v="30"/>
    <x v="0"/>
    <s v="FSDUpdate"/>
    <n v="0.1071650124069479"/>
  </r>
  <r>
    <s v="P283"/>
    <s v="Twitter"/>
    <d v="2025-05-09T00:00:00"/>
    <s v="Reel"/>
    <s v="Check out our latest reel on twitter!"/>
    <n v="3367"/>
    <n v="302"/>
    <n v="57"/>
    <n v="63973"/>
    <n v="63789"/>
    <n v="157"/>
    <x v="0"/>
    <s v="ModelYCampaign"/>
    <n v="5.8243321401216137E-2"/>
  </r>
  <r>
    <s v="P284"/>
    <s v="Twitter"/>
    <d v="2024-09-17T00:00:00"/>
    <s v="Text"/>
    <s v="Check out our latest text on twitter!"/>
    <n v="571"/>
    <n v="190"/>
    <n v="352"/>
    <n v="9707"/>
    <n v="9418"/>
    <n v="231"/>
    <x v="2"/>
    <s v="SustainabilityDrive"/>
    <n v="0.11465952405480581"/>
  </r>
  <r>
    <s v="P285"/>
    <s v="YouTube"/>
    <d v="2024-07-18T00:00:00"/>
    <s v="Text"/>
    <s v="Check out our latest text on youtube!"/>
    <n v="4021"/>
    <n v="794"/>
    <n v="77"/>
    <n v="36189"/>
    <n v="35505"/>
    <n v="174"/>
    <x v="4"/>
    <m/>
    <n v="0.13517919809886983"/>
  </r>
  <r>
    <s v="P286"/>
    <s v="YouTube"/>
    <d v="2024-09-25T00:00:00"/>
    <s v="Video"/>
    <s v="Check out our latest video on youtube!"/>
    <n v="3389"/>
    <n v="344"/>
    <n v="229"/>
    <n v="20334"/>
    <n v="19443"/>
    <n v="228"/>
    <x v="0"/>
    <s v="FSDUpdate"/>
    <n v="0.19484607062063539"/>
  </r>
  <r>
    <s v="P287"/>
    <s v="Instagram"/>
    <d v="2024-08-15T00:00:00"/>
    <s v="Reel"/>
    <s v="Check out our latest reel on instagram!"/>
    <n v="1164"/>
    <n v="616"/>
    <n v="324"/>
    <n v="6984"/>
    <n v="6636"/>
    <n v="82"/>
    <x v="4"/>
    <s v="CybertruckLaunch"/>
    <n v="0.30126002290950743"/>
  </r>
  <r>
    <s v="P288"/>
    <s v="YouTube"/>
    <d v="2025-04-17T00:00:00"/>
    <s v="Carousel"/>
    <s v="Check out our latest carousel on youtube!"/>
    <n v="4780"/>
    <n v="691"/>
    <n v="380"/>
    <n v="86040"/>
    <n v="85743"/>
    <n v="262"/>
    <x v="0"/>
    <s v="FSDUpdate"/>
    <n v="6.800325430032543E-2"/>
  </r>
  <r>
    <s v="P289"/>
    <s v="Facebook"/>
    <d v="2024-11-28T00:00:00"/>
    <s v="Carousel"/>
    <s v="Check out our latest carousel on facebook!"/>
    <n v="2751"/>
    <n v="33"/>
    <n v="430"/>
    <n v="44016"/>
    <n v="43415"/>
    <n v="129"/>
    <x v="0"/>
    <m/>
    <n v="7.3018902217375503E-2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x v="4"/>
    <s v="SustainabilityDrive"/>
    <n v="8.3921940869371006E-2"/>
  </r>
  <r>
    <s v="P291"/>
    <s v="Facebook"/>
    <d v="2024-11-06T00:00:00"/>
    <s v="Video"/>
    <s v="Check out our latest video on facebook!"/>
    <n v="4663"/>
    <n v="145"/>
    <n v="225"/>
    <n v="69945"/>
    <n v="69596"/>
    <n v="35"/>
    <x v="4"/>
    <s v="SustainabilityDrive"/>
    <n v="7.1956537279290869E-2"/>
  </r>
  <r>
    <s v="P292"/>
    <s v="Facebook"/>
    <d v="2024-11-17T00:00:00"/>
    <s v="Text"/>
    <s v="Check out our latest text on facebook!"/>
    <n v="880"/>
    <n v="297"/>
    <n v="345"/>
    <n v="12320"/>
    <n v="11978"/>
    <n v="238"/>
    <x v="2"/>
    <m/>
    <n v="0.12353896103896105"/>
  </r>
  <r>
    <s v="P292"/>
    <s v="Facebook"/>
    <d v="2024-11-17T00:00:00"/>
    <s v="Text"/>
    <s v="Check out our latest text on facebook!"/>
    <n v="880"/>
    <n v="297"/>
    <n v="345"/>
    <n v="12320"/>
    <n v="11978"/>
    <n v="238"/>
    <x v="1"/>
    <m/>
    <n v="0.12353896103896105"/>
  </r>
  <r>
    <s v="P293"/>
    <s v="Facebook"/>
    <d v="2025-05-14T00:00:00"/>
    <s v="Text"/>
    <s v="Check out our latest text on facebook!"/>
    <n v="2634"/>
    <n v="726"/>
    <n v="241"/>
    <n v="28974"/>
    <n v="28102"/>
    <n v="277"/>
    <x v="4"/>
    <s v="CybertruckLaunch"/>
    <n v="0.12428384068475185"/>
  </r>
  <r>
    <s v="P294"/>
    <s v="Facebook"/>
    <d v="2024-06-19T00:00:00"/>
    <s v="Carousel"/>
    <s v="Check out our latest carousel on facebook!"/>
    <n v="4731"/>
    <n v="173"/>
    <n v="276"/>
    <n v="28386"/>
    <n v="28185"/>
    <n v="89"/>
    <x v="4"/>
    <s v="FSDUpdate"/>
    <n v="0.18248432325794406"/>
  </r>
  <r>
    <s v="P295"/>
    <s v="Twitter"/>
    <d v="2025-05-06T00:00:00"/>
    <s v="Image"/>
    <s v="Check out our latest image on twitter!"/>
    <n v="1952"/>
    <n v="344"/>
    <n v="287"/>
    <n v="15616"/>
    <n v="15403"/>
    <n v="235"/>
    <x v="0"/>
    <s v="ModelYCampaign"/>
    <n v="0.16540727459016394"/>
  </r>
  <r>
    <s v="P295"/>
    <s v="Twitter"/>
    <d v="2025-05-06T00:00:00"/>
    <s v="Image"/>
    <s v="Check out our latest image on twitter!"/>
    <n v="1952"/>
    <n v="344"/>
    <n v="287"/>
    <n v="15616"/>
    <n v="15403"/>
    <n v="235"/>
    <x v="2"/>
    <s v="ModelYCampaign"/>
    <n v="0.16540727459016394"/>
  </r>
  <r>
    <s v="P295"/>
    <s v="Twitter"/>
    <d v="2025-05-06T00:00:00"/>
    <s v="Image"/>
    <s v="Check out our latest image on twitter!"/>
    <n v="1952"/>
    <n v="344"/>
    <n v="287"/>
    <n v="15616"/>
    <n v="15403"/>
    <n v="235"/>
    <x v="1"/>
    <s v="ModelYCampaign"/>
    <n v="0.16540727459016394"/>
  </r>
  <r>
    <s v="P296"/>
    <s v="Twitter"/>
    <d v="2025-02-11T00:00:00"/>
    <s v="Video"/>
    <s v="Check out our latest video on twitter!"/>
    <n v="3440"/>
    <n v="13"/>
    <n v="20"/>
    <n v="58480"/>
    <n v="58146"/>
    <n v="210"/>
    <x v="2"/>
    <s v="SustainabilityDrive"/>
    <n v="5.9387824897400819E-2"/>
  </r>
  <r>
    <s v="P296"/>
    <s v="Twitter"/>
    <d v="2025-02-11T00:00:00"/>
    <s v="Video"/>
    <s v="Check out our latest video on twitter!"/>
    <n v="3440"/>
    <n v="13"/>
    <n v="20"/>
    <n v="58480"/>
    <n v="58146"/>
    <n v="210"/>
    <x v="5"/>
    <s v="SustainabilityDrive"/>
    <n v="5.9387824897400819E-2"/>
  </r>
  <r>
    <s v="P297"/>
    <s v="Twitter"/>
    <d v="2024-12-24T00:00:00"/>
    <s v="Text"/>
    <s v="Check out our latest text on twitter!"/>
    <n v="2166"/>
    <n v="354"/>
    <n v="117"/>
    <n v="10830"/>
    <n v="10245"/>
    <n v="24"/>
    <x v="4"/>
    <s v="SustainabilityDrive"/>
    <n v="0.24349030470914126"/>
  </r>
  <r>
    <s v="P298"/>
    <s v="Facebook"/>
    <d v="2024-10-24T00:00:00"/>
    <s v="Image"/>
    <s v="Check out our latest image on facebook!"/>
    <n v="4303"/>
    <n v="451"/>
    <n v="286"/>
    <n v="86060"/>
    <n v="85823"/>
    <n v="14"/>
    <x v="2"/>
    <s v="FSDUpdate"/>
    <n v="5.8563792702765516E-2"/>
  </r>
  <r>
    <s v="P299"/>
    <s v="Facebook"/>
    <d v="2024-08-26T00:00:00"/>
    <s v="Image"/>
    <s v="Check out our latest image on facebook!"/>
    <n v="2581"/>
    <n v="517"/>
    <n v="117"/>
    <n v="23229"/>
    <n v="22331"/>
    <n v="70"/>
    <x v="0"/>
    <s v="FSDUpdate"/>
    <n v="0.13840458048129492"/>
  </r>
  <r>
    <s v="P300"/>
    <s v="Twitter"/>
    <d v="2024-08-31T00:00:00"/>
    <s v="Carousel"/>
    <s v="Check out our latest carousel on twitter!"/>
    <n v="4494"/>
    <n v="717"/>
    <n v="45"/>
    <n v="62916"/>
    <n v="62688"/>
    <n v="191"/>
    <x v="2"/>
    <s v="CybertruckLaunch"/>
    <n v="8.3539958039290485E-2"/>
  </r>
  <r>
    <s v="P300"/>
    <s v="Twitter"/>
    <d v="2024-08-31T00:00:00"/>
    <s v="Carousel"/>
    <s v="Check out our latest carousel on twitter!"/>
    <n v="4494"/>
    <n v="717"/>
    <n v="45"/>
    <n v="62916"/>
    <n v="62688"/>
    <n v="191"/>
    <x v="4"/>
    <s v="CybertruckLaunch"/>
    <n v="8.3539958039290485E-2"/>
  </r>
  <r>
    <s v="P300"/>
    <s v="Twitter"/>
    <d v="2024-08-31T00:00:00"/>
    <s v="Carousel"/>
    <s v="Check out our latest carousel on twitter!"/>
    <n v="4494"/>
    <n v="717"/>
    <n v="45"/>
    <n v="62916"/>
    <n v="62688"/>
    <n v="191"/>
    <x v="3"/>
    <s v="CybertruckLaunch"/>
    <n v="8.3539958039290485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x v="0"/>
    <n v="88"/>
    <x v="0"/>
    <x v="0"/>
    <n v="5904"/>
  </r>
  <r>
    <s v="2024-06-03"/>
    <x v="1"/>
    <x v="1"/>
    <n v="310"/>
    <x v="1"/>
    <x v="1"/>
    <n v="9566"/>
  </r>
  <r>
    <s v="2024-06-03"/>
    <x v="2"/>
    <x v="2"/>
    <n v="169"/>
    <x v="2"/>
    <x v="2"/>
    <n v="26752"/>
  </r>
  <r>
    <s v="2024-06-03"/>
    <x v="3"/>
    <x v="3"/>
    <n v="445"/>
    <x v="3"/>
    <x v="3"/>
    <n v="30671"/>
  </r>
  <r>
    <s v="2024-06-10"/>
    <x v="0"/>
    <x v="4"/>
    <n v="139"/>
    <x v="4"/>
    <x v="4"/>
    <n v="9920"/>
  </r>
  <r>
    <s v="2024-06-10"/>
    <x v="1"/>
    <x v="5"/>
    <n v="414"/>
    <x v="5"/>
    <x v="5"/>
    <n v="7924"/>
  </r>
  <r>
    <s v="2024-06-10"/>
    <x v="2"/>
    <x v="6"/>
    <n v="250"/>
    <x v="6"/>
    <x v="6"/>
    <n v="8912"/>
  </r>
  <r>
    <s v="2024-06-10"/>
    <x v="3"/>
    <x v="7"/>
    <n v="203"/>
    <x v="7"/>
    <x v="7"/>
    <n v="21205"/>
  </r>
  <r>
    <s v="2024-06-17"/>
    <x v="0"/>
    <x v="8"/>
    <n v="155"/>
    <x v="8"/>
    <x v="8"/>
    <n v="11329"/>
  </r>
  <r>
    <s v="2024-06-17"/>
    <x v="1"/>
    <x v="9"/>
    <n v="371"/>
    <x v="9"/>
    <x v="9"/>
    <n v="46670"/>
  </r>
  <r>
    <s v="2024-06-17"/>
    <x v="2"/>
    <x v="10"/>
    <n v="40"/>
    <x v="10"/>
    <x v="10"/>
    <n v="22482"/>
  </r>
  <r>
    <s v="2024-06-17"/>
    <x v="3"/>
    <x v="11"/>
    <n v="66"/>
    <x v="11"/>
    <x v="11"/>
    <n v="24313"/>
  </r>
  <r>
    <s v="2024-06-24"/>
    <x v="0"/>
    <x v="12"/>
    <n v="282"/>
    <x v="12"/>
    <x v="12"/>
    <n v="18050"/>
  </r>
  <r>
    <s v="2024-06-24"/>
    <x v="1"/>
    <x v="13"/>
    <n v="109"/>
    <x v="13"/>
    <x v="13"/>
    <n v="30635"/>
  </r>
  <r>
    <s v="2024-06-24"/>
    <x v="2"/>
    <x v="14"/>
    <n v="403"/>
    <x v="14"/>
    <x v="14"/>
    <n v="31280"/>
  </r>
  <r>
    <s v="2024-06-24"/>
    <x v="3"/>
    <x v="15"/>
    <n v="431"/>
    <x v="15"/>
    <x v="15"/>
    <n v="1783"/>
  </r>
  <r>
    <s v="2024-07-01"/>
    <x v="0"/>
    <x v="16"/>
    <n v="445"/>
    <x v="16"/>
    <x v="16"/>
    <n v="9566"/>
  </r>
  <r>
    <s v="2024-07-01"/>
    <x v="1"/>
    <x v="17"/>
    <n v="441"/>
    <x v="17"/>
    <x v="17"/>
    <n v="42307"/>
  </r>
  <r>
    <s v="2024-07-01"/>
    <x v="2"/>
    <x v="18"/>
    <n v="63"/>
    <x v="18"/>
    <x v="18"/>
    <n v="5914"/>
  </r>
  <r>
    <s v="2024-07-01"/>
    <x v="3"/>
    <x v="19"/>
    <n v="53"/>
    <x v="19"/>
    <x v="19"/>
    <n v="30060"/>
  </r>
  <r>
    <s v="2024-07-08"/>
    <x v="0"/>
    <x v="20"/>
    <n v="85"/>
    <x v="20"/>
    <x v="20"/>
    <n v="22728"/>
  </r>
  <r>
    <s v="2024-07-08"/>
    <x v="1"/>
    <x v="21"/>
    <n v="41"/>
    <x v="21"/>
    <x v="21"/>
    <n v="38610"/>
  </r>
  <r>
    <s v="2024-07-08"/>
    <x v="2"/>
    <x v="22"/>
    <n v="440"/>
    <x v="22"/>
    <x v="22"/>
    <n v="2932"/>
  </r>
  <r>
    <s v="2024-07-08"/>
    <x v="3"/>
    <x v="23"/>
    <n v="369"/>
    <x v="23"/>
    <x v="23"/>
    <n v="15071"/>
  </r>
  <r>
    <s v="2024-07-15"/>
    <x v="0"/>
    <x v="24"/>
    <n v="115"/>
    <x v="24"/>
    <x v="24"/>
    <n v="10740"/>
  </r>
  <r>
    <s v="2024-07-15"/>
    <x v="1"/>
    <x v="25"/>
    <n v="334"/>
    <x v="25"/>
    <x v="25"/>
    <n v="43420"/>
  </r>
  <r>
    <s v="2024-07-15"/>
    <x v="2"/>
    <x v="26"/>
    <n v="275"/>
    <x v="26"/>
    <x v="26"/>
    <n v="32393"/>
  </r>
  <r>
    <s v="2024-07-15"/>
    <x v="3"/>
    <x v="27"/>
    <n v="64"/>
    <x v="27"/>
    <x v="27"/>
    <n v="28474"/>
  </r>
  <r>
    <s v="2024-07-22"/>
    <x v="0"/>
    <x v="28"/>
    <n v="349"/>
    <x v="28"/>
    <x v="28"/>
    <n v="17328"/>
  </r>
  <r>
    <s v="2024-07-22"/>
    <x v="1"/>
    <x v="29"/>
    <n v="430"/>
    <x v="29"/>
    <x v="29"/>
    <n v="26067"/>
  </r>
  <r>
    <s v="2024-07-22"/>
    <x v="2"/>
    <x v="30"/>
    <n v="385"/>
    <x v="30"/>
    <x v="30"/>
    <n v="32763"/>
  </r>
  <r>
    <s v="2024-07-22"/>
    <x v="3"/>
    <x v="31"/>
    <n v="487"/>
    <x v="31"/>
    <x v="31"/>
    <n v="26452"/>
  </r>
  <r>
    <s v="2024-07-29"/>
    <x v="0"/>
    <x v="32"/>
    <n v="112"/>
    <x v="32"/>
    <x v="32"/>
    <n v="15353"/>
  </r>
  <r>
    <s v="2024-07-29"/>
    <x v="1"/>
    <x v="33"/>
    <n v="478"/>
    <x v="33"/>
    <x v="33"/>
    <n v="4839"/>
  </r>
  <r>
    <s v="2024-07-29"/>
    <x v="2"/>
    <x v="34"/>
    <n v="261"/>
    <x v="34"/>
    <x v="34"/>
    <n v="39272"/>
  </r>
  <r>
    <s v="2024-07-29"/>
    <x v="3"/>
    <x v="35"/>
    <n v="101"/>
    <x v="35"/>
    <x v="35"/>
    <n v="16804"/>
  </r>
  <r>
    <s v="2024-08-05"/>
    <x v="0"/>
    <x v="36"/>
    <n v="293"/>
    <x v="36"/>
    <x v="36"/>
    <n v="49303"/>
  </r>
  <r>
    <s v="2024-08-05"/>
    <x v="1"/>
    <x v="37"/>
    <n v="411"/>
    <x v="37"/>
    <x v="37"/>
    <n v="26455"/>
  </r>
  <r>
    <s v="2024-08-05"/>
    <x v="2"/>
    <x v="38"/>
    <n v="498"/>
    <x v="38"/>
    <x v="38"/>
    <n v="12384"/>
  </r>
  <r>
    <s v="2024-08-05"/>
    <x v="3"/>
    <x v="39"/>
    <n v="141"/>
    <x v="39"/>
    <x v="39"/>
    <n v="49372"/>
  </r>
  <r>
    <s v="2024-08-12"/>
    <x v="0"/>
    <x v="40"/>
    <n v="203"/>
    <x v="40"/>
    <x v="40"/>
    <n v="47101"/>
  </r>
  <r>
    <s v="2024-08-12"/>
    <x v="1"/>
    <x v="41"/>
    <n v="200"/>
    <x v="41"/>
    <x v="41"/>
    <n v="37903"/>
  </r>
  <r>
    <s v="2024-08-12"/>
    <x v="2"/>
    <x v="42"/>
    <n v="448"/>
    <x v="42"/>
    <x v="42"/>
    <n v="33258"/>
  </r>
  <r>
    <s v="2024-08-12"/>
    <x v="3"/>
    <x v="43"/>
    <n v="178"/>
    <x v="43"/>
    <x v="43"/>
    <n v="6915"/>
  </r>
  <r>
    <s v="2024-08-19"/>
    <x v="0"/>
    <x v="44"/>
    <n v="139"/>
    <x v="44"/>
    <x v="44"/>
    <n v="35501"/>
  </r>
  <r>
    <s v="2024-08-19"/>
    <x v="1"/>
    <x v="45"/>
    <n v="20"/>
    <x v="45"/>
    <x v="45"/>
    <n v="14203"/>
  </r>
  <r>
    <s v="2024-08-19"/>
    <x v="2"/>
    <x v="46"/>
    <n v="86"/>
    <x v="46"/>
    <x v="46"/>
    <n v="22206"/>
  </r>
  <r>
    <s v="2024-08-19"/>
    <x v="3"/>
    <x v="47"/>
    <n v="31"/>
    <x v="47"/>
    <x v="18"/>
    <n v="10283"/>
  </r>
  <r>
    <s v="2024-08-26"/>
    <x v="0"/>
    <x v="48"/>
    <n v="76"/>
    <x v="48"/>
    <x v="47"/>
    <n v="24913"/>
  </r>
  <r>
    <s v="2024-08-26"/>
    <x v="1"/>
    <x v="49"/>
    <n v="211"/>
    <x v="49"/>
    <x v="48"/>
    <n v="26925"/>
  </r>
  <r>
    <s v="2024-08-26"/>
    <x v="2"/>
    <x v="50"/>
    <n v="71"/>
    <x v="50"/>
    <x v="49"/>
    <n v="9942"/>
  </r>
  <r>
    <s v="2024-08-26"/>
    <x v="3"/>
    <x v="51"/>
    <n v="394"/>
    <x v="51"/>
    <x v="36"/>
    <n v="32929"/>
  </r>
  <r>
    <s v="2024-09-02"/>
    <x v="0"/>
    <x v="52"/>
    <n v="182"/>
    <x v="52"/>
    <x v="50"/>
    <n v="37829"/>
  </r>
  <r>
    <s v="2024-09-02"/>
    <x v="1"/>
    <x v="53"/>
    <n v="475"/>
    <x v="53"/>
    <x v="51"/>
    <n v="24384"/>
  </r>
  <r>
    <s v="2024-09-02"/>
    <x v="2"/>
    <x v="54"/>
    <n v="360"/>
    <x v="54"/>
    <x v="52"/>
    <n v="25797"/>
  </r>
  <r>
    <s v="2024-09-02"/>
    <x v="3"/>
    <x v="55"/>
    <n v="395"/>
    <x v="55"/>
    <x v="53"/>
    <n v="12646"/>
  </r>
  <r>
    <s v="2024-09-09"/>
    <x v="0"/>
    <x v="56"/>
    <n v="20"/>
    <x v="56"/>
    <x v="54"/>
    <n v="26663"/>
  </r>
  <r>
    <s v="2024-09-09"/>
    <x v="1"/>
    <x v="57"/>
    <n v="414"/>
    <x v="57"/>
    <x v="55"/>
    <n v="40478"/>
  </r>
  <r>
    <s v="2024-09-09"/>
    <x v="2"/>
    <x v="58"/>
    <n v="491"/>
    <x v="58"/>
    <x v="56"/>
    <n v="15476"/>
  </r>
  <r>
    <s v="2024-09-09"/>
    <x v="3"/>
    <x v="59"/>
    <n v="309"/>
    <x v="59"/>
    <x v="57"/>
    <n v="10217"/>
  </r>
  <r>
    <s v="2024-09-16"/>
    <x v="0"/>
    <x v="60"/>
    <n v="401"/>
    <x v="60"/>
    <x v="58"/>
    <n v="21939"/>
  </r>
  <r>
    <s v="2024-09-16"/>
    <x v="1"/>
    <x v="61"/>
    <n v="345"/>
    <x v="61"/>
    <x v="59"/>
    <n v="47462"/>
  </r>
  <r>
    <s v="2024-09-16"/>
    <x v="2"/>
    <x v="62"/>
    <n v="347"/>
    <x v="62"/>
    <x v="60"/>
    <n v="30270"/>
  </r>
  <r>
    <s v="2024-09-16"/>
    <x v="3"/>
    <x v="63"/>
    <n v="155"/>
    <x v="63"/>
    <x v="14"/>
    <n v="5442"/>
  </r>
  <r>
    <s v="2024-09-23"/>
    <x v="0"/>
    <x v="64"/>
    <n v="151"/>
    <x v="64"/>
    <x v="61"/>
    <n v="1083"/>
  </r>
  <r>
    <s v="2024-09-23"/>
    <x v="1"/>
    <x v="65"/>
    <n v="217"/>
    <x v="65"/>
    <x v="62"/>
    <n v="11901"/>
  </r>
  <r>
    <s v="2024-09-23"/>
    <x v="2"/>
    <x v="66"/>
    <n v="231"/>
    <x v="66"/>
    <x v="42"/>
    <n v="24018"/>
  </r>
  <r>
    <s v="2024-09-23"/>
    <x v="3"/>
    <x v="67"/>
    <n v="212"/>
    <x v="67"/>
    <x v="63"/>
    <n v="38883"/>
  </r>
  <r>
    <s v="2024-09-30"/>
    <x v="0"/>
    <x v="68"/>
    <n v="408"/>
    <x v="68"/>
    <x v="64"/>
    <n v="30575"/>
  </r>
  <r>
    <s v="2024-09-30"/>
    <x v="1"/>
    <x v="69"/>
    <n v="429"/>
    <x v="69"/>
    <x v="65"/>
    <n v="2315"/>
  </r>
  <r>
    <s v="2024-09-30"/>
    <x v="2"/>
    <x v="70"/>
    <n v="153"/>
    <x v="70"/>
    <x v="66"/>
    <n v="12148"/>
  </r>
  <r>
    <s v="2024-09-30"/>
    <x v="3"/>
    <x v="71"/>
    <n v="212"/>
    <x v="71"/>
    <x v="62"/>
    <n v="36851"/>
  </r>
  <r>
    <s v="2024-10-07"/>
    <x v="0"/>
    <x v="72"/>
    <n v="67"/>
    <x v="72"/>
    <x v="67"/>
    <n v="41215"/>
  </r>
  <r>
    <s v="2024-10-07"/>
    <x v="1"/>
    <x v="73"/>
    <n v="267"/>
    <x v="73"/>
    <x v="68"/>
    <n v="43836"/>
  </r>
  <r>
    <s v="2024-10-07"/>
    <x v="2"/>
    <x v="74"/>
    <n v="330"/>
    <x v="74"/>
    <x v="69"/>
    <n v="4509"/>
  </r>
  <r>
    <s v="2024-10-07"/>
    <x v="3"/>
    <x v="75"/>
    <n v="189"/>
    <x v="75"/>
    <x v="70"/>
    <n v="27822"/>
  </r>
  <r>
    <s v="2024-10-14"/>
    <x v="0"/>
    <x v="76"/>
    <n v="303"/>
    <x v="76"/>
    <x v="71"/>
    <n v="36397"/>
  </r>
  <r>
    <s v="2024-10-14"/>
    <x v="1"/>
    <x v="77"/>
    <n v="358"/>
    <x v="77"/>
    <x v="72"/>
    <n v="7285"/>
  </r>
  <r>
    <s v="2024-10-14"/>
    <x v="2"/>
    <x v="78"/>
    <n v="221"/>
    <x v="78"/>
    <x v="73"/>
    <n v="33174"/>
  </r>
  <r>
    <s v="2024-10-14"/>
    <x v="3"/>
    <x v="79"/>
    <n v="47"/>
    <x v="79"/>
    <x v="74"/>
    <n v="6742"/>
  </r>
  <r>
    <s v="2024-10-21"/>
    <x v="0"/>
    <x v="80"/>
    <n v="441"/>
    <x v="80"/>
    <x v="75"/>
    <n v="32478"/>
  </r>
  <r>
    <s v="2024-10-21"/>
    <x v="1"/>
    <x v="28"/>
    <n v="69"/>
    <x v="81"/>
    <x v="7"/>
    <n v="42824"/>
  </r>
  <r>
    <s v="2024-10-21"/>
    <x v="2"/>
    <x v="81"/>
    <n v="61"/>
    <x v="82"/>
    <x v="76"/>
    <n v="21208"/>
  </r>
  <r>
    <s v="2024-10-21"/>
    <x v="3"/>
    <x v="82"/>
    <n v="223"/>
    <x v="83"/>
    <x v="77"/>
    <n v="44321"/>
  </r>
  <r>
    <s v="2024-10-28"/>
    <x v="0"/>
    <x v="83"/>
    <n v="66"/>
    <x v="84"/>
    <x v="78"/>
    <n v="13116"/>
  </r>
  <r>
    <s v="2024-10-28"/>
    <x v="1"/>
    <x v="84"/>
    <n v="473"/>
    <x v="85"/>
    <x v="79"/>
    <n v="30214"/>
  </r>
  <r>
    <s v="2024-10-28"/>
    <x v="2"/>
    <x v="85"/>
    <n v="154"/>
    <x v="86"/>
    <x v="80"/>
    <n v="15827"/>
  </r>
  <r>
    <s v="2024-10-28"/>
    <x v="3"/>
    <x v="86"/>
    <n v="157"/>
    <x v="87"/>
    <x v="81"/>
    <n v="46643"/>
  </r>
  <r>
    <s v="2024-11-04"/>
    <x v="0"/>
    <x v="87"/>
    <n v="69"/>
    <x v="88"/>
    <x v="82"/>
    <n v="36484"/>
  </r>
  <r>
    <s v="2024-11-04"/>
    <x v="1"/>
    <x v="88"/>
    <n v="407"/>
    <x v="89"/>
    <x v="83"/>
    <n v="4996"/>
  </r>
  <r>
    <s v="2024-11-04"/>
    <x v="2"/>
    <x v="89"/>
    <n v="218"/>
    <x v="90"/>
    <x v="84"/>
    <n v="36095"/>
  </r>
  <r>
    <s v="2024-11-04"/>
    <x v="3"/>
    <x v="90"/>
    <n v="463"/>
    <x v="91"/>
    <x v="85"/>
    <n v="16443"/>
  </r>
  <r>
    <s v="2024-11-11"/>
    <x v="0"/>
    <x v="91"/>
    <n v="173"/>
    <x v="92"/>
    <x v="22"/>
    <n v="47812"/>
  </r>
  <r>
    <s v="2024-11-11"/>
    <x v="1"/>
    <x v="92"/>
    <n v="277"/>
    <x v="93"/>
    <x v="86"/>
    <n v="38452"/>
  </r>
  <r>
    <s v="2024-11-11"/>
    <x v="2"/>
    <x v="93"/>
    <n v="337"/>
    <x v="94"/>
    <x v="8"/>
    <n v="30428"/>
  </r>
  <r>
    <s v="2024-11-11"/>
    <x v="3"/>
    <x v="94"/>
    <n v="105"/>
    <x v="95"/>
    <x v="87"/>
    <n v="9269"/>
  </r>
  <r>
    <s v="2024-11-18"/>
    <x v="0"/>
    <x v="95"/>
    <n v="236"/>
    <x v="96"/>
    <x v="88"/>
    <n v="29533"/>
  </r>
  <r>
    <s v="2024-11-18"/>
    <x v="1"/>
    <x v="96"/>
    <n v="441"/>
    <x v="97"/>
    <x v="89"/>
    <n v="39997"/>
  </r>
  <r>
    <s v="2024-11-18"/>
    <x v="2"/>
    <x v="97"/>
    <n v="183"/>
    <x v="98"/>
    <x v="90"/>
    <n v="5391"/>
  </r>
  <r>
    <s v="2024-11-18"/>
    <x v="3"/>
    <x v="98"/>
    <n v="218"/>
    <x v="99"/>
    <x v="91"/>
    <n v="22373"/>
  </r>
  <r>
    <s v="2024-11-25"/>
    <x v="0"/>
    <x v="99"/>
    <n v="161"/>
    <x v="100"/>
    <x v="92"/>
    <n v="1810"/>
  </r>
  <r>
    <s v="2024-11-25"/>
    <x v="1"/>
    <x v="100"/>
    <n v="378"/>
    <x v="101"/>
    <x v="93"/>
    <n v="28498"/>
  </r>
  <r>
    <s v="2024-11-25"/>
    <x v="2"/>
    <x v="101"/>
    <n v="232"/>
    <x v="102"/>
    <x v="94"/>
    <n v="39530"/>
  </r>
  <r>
    <s v="2024-11-25"/>
    <x v="3"/>
    <x v="102"/>
    <n v="408"/>
    <x v="103"/>
    <x v="71"/>
    <n v="37876"/>
  </r>
  <r>
    <s v="2024-12-02"/>
    <x v="0"/>
    <x v="103"/>
    <n v="71"/>
    <x v="104"/>
    <x v="95"/>
    <n v="36103"/>
  </r>
  <r>
    <s v="2024-12-02"/>
    <x v="1"/>
    <x v="104"/>
    <n v="196"/>
    <x v="105"/>
    <x v="96"/>
    <n v="26103"/>
  </r>
  <r>
    <s v="2024-12-02"/>
    <x v="2"/>
    <x v="105"/>
    <n v="268"/>
    <x v="106"/>
    <x v="97"/>
    <n v="3455"/>
  </r>
  <r>
    <s v="2024-12-02"/>
    <x v="3"/>
    <x v="106"/>
    <n v="161"/>
    <x v="107"/>
    <x v="98"/>
    <n v="40888"/>
  </r>
  <r>
    <s v="2024-12-09"/>
    <x v="0"/>
    <x v="107"/>
    <n v="375"/>
    <x v="108"/>
    <x v="99"/>
    <n v="22724"/>
  </r>
  <r>
    <s v="2024-12-09"/>
    <x v="1"/>
    <x v="108"/>
    <n v="141"/>
    <x v="109"/>
    <x v="100"/>
    <n v="18601"/>
  </r>
  <r>
    <s v="2024-12-09"/>
    <x v="2"/>
    <x v="109"/>
    <n v="210"/>
    <x v="110"/>
    <x v="101"/>
    <n v="20861"/>
  </r>
  <r>
    <s v="2024-12-09"/>
    <x v="3"/>
    <x v="110"/>
    <n v="163"/>
    <x v="111"/>
    <x v="102"/>
    <n v="46625"/>
  </r>
  <r>
    <s v="2024-12-16"/>
    <x v="0"/>
    <x v="111"/>
    <n v="70"/>
    <x v="112"/>
    <x v="83"/>
    <n v="20692"/>
  </r>
  <r>
    <s v="2024-12-16"/>
    <x v="1"/>
    <x v="112"/>
    <n v="246"/>
    <x v="113"/>
    <x v="9"/>
    <n v="18656"/>
  </r>
  <r>
    <s v="2024-12-16"/>
    <x v="2"/>
    <x v="56"/>
    <n v="233"/>
    <x v="114"/>
    <x v="103"/>
    <n v="13316"/>
  </r>
  <r>
    <s v="2024-12-16"/>
    <x v="3"/>
    <x v="113"/>
    <n v="128"/>
    <x v="115"/>
    <x v="104"/>
    <n v="49558"/>
  </r>
  <r>
    <s v="2024-12-23"/>
    <x v="0"/>
    <x v="114"/>
    <n v="408"/>
    <x v="116"/>
    <x v="105"/>
    <n v="4683"/>
  </r>
  <r>
    <s v="2024-12-23"/>
    <x v="1"/>
    <x v="115"/>
    <n v="425"/>
    <x v="117"/>
    <x v="106"/>
    <n v="47502"/>
  </r>
  <r>
    <s v="2024-12-23"/>
    <x v="2"/>
    <x v="116"/>
    <n v="226"/>
    <x v="118"/>
    <x v="107"/>
    <n v="35359"/>
  </r>
  <r>
    <s v="2024-12-23"/>
    <x v="3"/>
    <x v="117"/>
    <n v="311"/>
    <x v="119"/>
    <x v="108"/>
    <n v="14154"/>
  </r>
  <r>
    <s v="2024-12-30"/>
    <x v="0"/>
    <x v="86"/>
    <n v="49"/>
    <x v="120"/>
    <x v="55"/>
    <n v="4313"/>
  </r>
  <r>
    <s v="2024-12-30"/>
    <x v="1"/>
    <x v="118"/>
    <n v="204"/>
    <x v="121"/>
    <x v="109"/>
    <n v="25140"/>
  </r>
  <r>
    <s v="2024-12-30"/>
    <x v="2"/>
    <x v="119"/>
    <n v="257"/>
    <x v="122"/>
    <x v="91"/>
    <n v="9118"/>
  </r>
  <r>
    <s v="2024-12-30"/>
    <x v="3"/>
    <x v="120"/>
    <n v="35"/>
    <x v="123"/>
    <x v="17"/>
    <n v="39931"/>
  </r>
  <r>
    <s v="2025-01-06"/>
    <x v="0"/>
    <x v="121"/>
    <n v="110"/>
    <x v="124"/>
    <x v="110"/>
    <n v="37132"/>
  </r>
  <r>
    <s v="2025-01-06"/>
    <x v="1"/>
    <x v="122"/>
    <n v="196"/>
    <x v="125"/>
    <x v="111"/>
    <n v="17951"/>
  </r>
  <r>
    <s v="2025-01-06"/>
    <x v="2"/>
    <x v="123"/>
    <n v="445"/>
    <x v="126"/>
    <x v="112"/>
    <n v="2798"/>
  </r>
  <r>
    <s v="2025-01-06"/>
    <x v="3"/>
    <x v="124"/>
    <n v="45"/>
    <x v="127"/>
    <x v="113"/>
    <n v="15045"/>
  </r>
  <r>
    <s v="2025-01-13"/>
    <x v="0"/>
    <x v="125"/>
    <n v="133"/>
    <x v="128"/>
    <x v="64"/>
    <n v="14548"/>
  </r>
  <r>
    <s v="2025-01-13"/>
    <x v="1"/>
    <x v="126"/>
    <n v="353"/>
    <x v="129"/>
    <x v="114"/>
    <n v="45708"/>
  </r>
  <r>
    <s v="2025-01-13"/>
    <x v="2"/>
    <x v="127"/>
    <n v="262"/>
    <x v="130"/>
    <x v="115"/>
    <n v="12350"/>
  </r>
  <r>
    <s v="2025-01-13"/>
    <x v="3"/>
    <x v="128"/>
    <n v="430"/>
    <x v="131"/>
    <x v="116"/>
    <n v="40868"/>
  </r>
  <r>
    <s v="2025-01-20"/>
    <x v="0"/>
    <x v="129"/>
    <n v="176"/>
    <x v="132"/>
    <x v="56"/>
    <n v="43122"/>
  </r>
  <r>
    <s v="2025-01-20"/>
    <x v="1"/>
    <x v="130"/>
    <n v="236"/>
    <x v="133"/>
    <x v="117"/>
    <n v="23853"/>
  </r>
  <r>
    <s v="2025-01-20"/>
    <x v="2"/>
    <x v="131"/>
    <n v="149"/>
    <x v="134"/>
    <x v="118"/>
    <n v="45380"/>
  </r>
  <r>
    <s v="2025-01-20"/>
    <x v="3"/>
    <x v="132"/>
    <n v="442"/>
    <x v="135"/>
    <x v="91"/>
    <n v="7705"/>
  </r>
  <r>
    <s v="2025-01-27"/>
    <x v="0"/>
    <x v="133"/>
    <n v="281"/>
    <x v="136"/>
    <x v="119"/>
    <n v="25525"/>
  </r>
  <r>
    <s v="2025-01-27"/>
    <x v="1"/>
    <x v="134"/>
    <n v="351"/>
    <x v="137"/>
    <x v="97"/>
    <n v="20560"/>
  </r>
  <r>
    <s v="2025-01-27"/>
    <x v="2"/>
    <x v="135"/>
    <n v="75"/>
    <x v="138"/>
    <x v="120"/>
    <n v="19119"/>
  </r>
  <r>
    <s v="2025-01-27"/>
    <x v="3"/>
    <x v="136"/>
    <n v="186"/>
    <x v="139"/>
    <x v="121"/>
    <n v="43999"/>
  </r>
  <r>
    <s v="2025-02-03"/>
    <x v="0"/>
    <x v="137"/>
    <n v="476"/>
    <x v="140"/>
    <x v="122"/>
    <n v="10825"/>
  </r>
  <r>
    <s v="2025-02-03"/>
    <x v="1"/>
    <x v="138"/>
    <n v="411"/>
    <x v="141"/>
    <x v="86"/>
    <n v="40323"/>
  </r>
  <r>
    <s v="2025-02-03"/>
    <x v="2"/>
    <x v="139"/>
    <n v="358"/>
    <x v="142"/>
    <x v="123"/>
    <n v="48270"/>
  </r>
  <r>
    <s v="2025-02-03"/>
    <x v="3"/>
    <x v="140"/>
    <n v="355"/>
    <x v="143"/>
    <x v="124"/>
    <n v="18001"/>
  </r>
  <r>
    <s v="2025-02-10"/>
    <x v="0"/>
    <x v="141"/>
    <n v="234"/>
    <x v="144"/>
    <x v="125"/>
    <n v="3314"/>
  </r>
  <r>
    <s v="2025-02-10"/>
    <x v="1"/>
    <x v="142"/>
    <n v="382"/>
    <x v="145"/>
    <x v="126"/>
    <n v="23489"/>
  </r>
  <r>
    <s v="2025-02-10"/>
    <x v="2"/>
    <x v="143"/>
    <n v="385"/>
    <x v="146"/>
    <x v="127"/>
    <n v="42832"/>
  </r>
  <r>
    <s v="2025-02-10"/>
    <x v="3"/>
    <x v="82"/>
    <n v="263"/>
    <x v="147"/>
    <x v="128"/>
    <n v="24494"/>
  </r>
  <r>
    <s v="2025-02-17"/>
    <x v="0"/>
    <x v="144"/>
    <n v="173"/>
    <x v="148"/>
    <x v="129"/>
    <n v="44097"/>
  </r>
  <r>
    <s v="2025-02-17"/>
    <x v="1"/>
    <x v="145"/>
    <n v="305"/>
    <x v="149"/>
    <x v="130"/>
    <n v="31853"/>
  </r>
  <r>
    <s v="2025-02-17"/>
    <x v="2"/>
    <x v="146"/>
    <n v="399"/>
    <x v="150"/>
    <x v="131"/>
    <n v="37636"/>
  </r>
  <r>
    <s v="2025-02-17"/>
    <x v="3"/>
    <x v="147"/>
    <n v="487"/>
    <x v="151"/>
    <x v="132"/>
    <n v="22996"/>
  </r>
  <r>
    <s v="2025-02-24"/>
    <x v="0"/>
    <x v="148"/>
    <n v="65"/>
    <x v="152"/>
    <x v="133"/>
    <n v="49772"/>
  </r>
  <r>
    <s v="2025-02-24"/>
    <x v="1"/>
    <x v="149"/>
    <n v="177"/>
    <x v="153"/>
    <x v="134"/>
    <n v="22713"/>
  </r>
  <r>
    <s v="2025-02-24"/>
    <x v="2"/>
    <x v="150"/>
    <n v="153"/>
    <x v="154"/>
    <x v="130"/>
    <n v="8718"/>
  </r>
  <r>
    <s v="2025-02-24"/>
    <x v="3"/>
    <x v="151"/>
    <n v="47"/>
    <x v="155"/>
    <x v="135"/>
    <n v="39031"/>
  </r>
  <r>
    <s v="2025-03-03"/>
    <x v="0"/>
    <x v="152"/>
    <n v="56"/>
    <x v="156"/>
    <x v="136"/>
    <n v="33799"/>
  </r>
  <r>
    <s v="2025-03-03"/>
    <x v="1"/>
    <x v="153"/>
    <n v="464"/>
    <x v="157"/>
    <x v="137"/>
    <n v="20553"/>
  </r>
  <r>
    <s v="2025-03-03"/>
    <x v="2"/>
    <x v="154"/>
    <n v="47"/>
    <x v="158"/>
    <x v="113"/>
    <n v="10002"/>
  </r>
  <r>
    <s v="2025-03-03"/>
    <x v="3"/>
    <x v="155"/>
    <n v="195"/>
    <x v="159"/>
    <x v="138"/>
    <n v="30987"/>
  </r>
  <r>
    <s v="2025-03-10"/>
    <x v="0"/>
    <x v="156"/>
    <n v="181"/>
    <x v="160"/>
    <x v="139"/>
    <n v="6296"/>
  </r>
  <r>
    <s v="2025-03-10"/>
    <x v="1"/>
    <x v="157"/>
    <n v="190"/>
    <x v="161"/>
    <x v="140"/>
    <n v="21539"/>
  </r>
  <r>
    <s v="2025-03-10"/>
    <x v="2"/>
    <x v="158"/>
    <n v="49"/>
    <x v="162"/>
    <x v="141"/>
    <n v="14722"/>
  </r>
  <r>
    <s v="2025-03-10"/>
    <x v="3"/>
    <x v="159"/>
    <n v="416"/>
    <x v="163"/>
    <x v="37"/>
    <n v="11383"/>
  </r>
  <r>
    <s v="2025-03-17"/>
    <x v="0"/>
    <x v="160"/>
    <n v="422"/>
    <x v="164"/>
    <x v="107"/>
    <n v="9480"/>
  </r>
  <r>
    <s v="2025-03-17"/>
    <x v="1"/>
    <x v="161"/>
    <n v="242"/>
    <x v="165"/>
    <x v="142"/>
    <n v="29116"/>
  </r>
  <r>
    <s v="2025-03-17"/>
    <x v="2"/>
    <x v="162"/>
    <n v="216"/>
    <x v="166"/>
    <x v="143"/>
    <n v="14068"/>
  </r>
  <r>
    <s v="2025-03-17"/>
    <x v="3"/>
    <x v="163"/>
    <n v="211"/>
    <x v="167"/>
    <x v="144"/>
    <n v="35801"/>
  </r>
  <r>
    <s v="2025-03-24"/>
    <x v="0"/>
    <x v="164"/>
    <n v="29"/>
    <x v="168"/>
    <x v="74"/>
    <n v="49077"/>
  </r>
  <r>
    <s v="2025-03-24"/>
    <x v="1"/>
    <x v="165"/>
    <n v="135"/>
    <x v="169"/>
    <x v="145"/>
    <n v="21453"/>
  </r>
  <r>
    <s v="2025-03-24"/>
    <x v="2"/>
    <x v="166"/>
    <n v="72"/>
    <x v="170"/>
    <x v="146"/>
    <n v="21061"/>
  </r>
  <r>
    <s v="2025-03-24"/>
    <x v="3"/>
    <x v="167"/>
    <n v="53"/>
    <x v="171"/>
    <x v="147"/>
    <n v="20059"/>
  </r>
  <r>
    <s v="2025-03-31"/>
    <x v="0"/>
    <x v="168"/>
    <n v="392"/>
    <x v="172"/>
    <x v="148"/>
    <n v="23140"/>
  </r>
  <r>
    <s v="2025-03-31"/>
    <x v="1"/>
    <x v="169"/>
    <n v="474"/>
    <x v="173"/>
    <x v="149"/>
    <n v="23461"/>
  </r>
  <r>
    <s v="2025-03-31"/>
    <x v="2"/>
    <x v="170"/>
    <n v="270"/>
    <x v="174"/>
    <x v="150"/>
    <n v="11805"/>
  </r>
  <r>
    <s v="2025-03-31"/>
    <x v="3"/>
    <x v="141"/>
    <n v="490"/>
    <x v="175"/>
    <x v="151"/>
    <n v="15969"/>
  </r>
  <r>
    <s v="2025-04-07"/>
    <x v="0"/>
    <x v="171"/>
    <n v="392"/>
    <x v="176"/>
    <x v="152"/>
    <n v="2436"/>
  </r>
  <r>
    <s v="2025-04-07"/>
    <x v="1"/>
    <x v="172"/>
    <n v="278"/>
    <x v="177"/>
    <x v="153"/>
    <n v="47603"/>
  </r>
  <r>
    <s v="2025-04-07"/>
    <x v="2"/>
    <x v="173"/>
    <n v="425"/>
    <x v="178"/>
    <x v="154"/>
    <n v="42964"/>
  </r>
  <r>
    <s v="2025-04-07"/>
    <x v="3"/>
    <x v="174"/>
    <n v="414"/>
    <x v="179"/>
    <x v="155"/>
    <n v="39923"/>
  </r>
  <r>
    <s v="2025-04-14"/>
    <x v="0"/>
    <x v="65"/>
    <n v="358"/>
    <x v="180"/>
    <x v="156"/>
    <n v="2293"/>
  </r>
  <r>
    <s v="2025-04-14"/>
    <x v="1"/>
    <x v="65"/>
    <n v="373"/>
    <x v="181"/>
    <x v="157"/>
    <n v="25920"/>
  </r>
  <r>
    <s v="2025-04-14"/>
    <x v="2"/>
    <x v="175"/>
    <n v="300"/>
    <x v="182"/>
    <x v="110"/>
    <n v="11035"/>
  </r>
  <r>
    <s v="2025-04-14"/>
    <x v="3"/>
    <x v="176"/>
    <n v="375"/>
    <x v="183"/>
    <x v="158"/>
    <n v="20733"/>
  </r>
  <r>
    <s v="2025-04-21"/>
    <x v="0"/>
    <x v="177"/>
    <n v="358"/>
    <x v="184"/>
    <x v="159"/>
    <n v="18693"/>
  </r>
  <r>
    <s v="2025-04-21"/>
    <x v="1"/>
    <x v="178"/>
    <n v="330"/>
    <x v="185"/>
    <x v="160"/>
    <n v="7875"/>
  </r>
  <r>
    <s v="2025-04-21"/>
    <x v="2"/>
    <x v="179"/>
    <n v="388"/>
    <x v="186"/>
    <x v="161"/>
    <n v="8471"/>
  </r>
  <r>
    <s v="2025-04-21"/>
    <x v="3"/>
    <x v="82"/>
    <n v="74"/>
    <x v="187"/>
    <x v="109"/>
    <n v="14090"/>
  </r>
  <r>
    <s v="2025-04-28"/>
    <x v="0"/>
    <x v="180"/>
    <n v="154"/>
    <x v="188"/>
    <x v="162"/>
    <n v="14216"/>
  </r>
  <r>
    <s v="2025-04-28"/>
    <x v="1"/>
    <x v="181"/>
    <n v="380"/>
    <x v="189"/>
    <x v="53"/>
    <n v="3582"/>
  </r>
  <r>
    <s v="2025-04-28"/>
    <x v="2"/>
    <x v="182"/>
    <n v="274"/>
    <x v="190"/>
    <x v="7"/>
    <n v="32500"/>
  </r>
  <r>
    <s v="2025-04-28"/>
    <x v="3"/>
    <x v="183"/>
    <n v="140"/>
    <x v="191"/>
    <x v="163"/>
    <n v="6832"/>
  </r>
  <r>
    <s v="2025-05-05"/>
    <x v="0"/>
    <x v="141"/>
    <n v="76"/>
    <x v="192"/>
    <x v="164"/>
    <n v="33381"/>
  </r>
  <r>
    <s v="2025-05-05"/>
    <x v="1"/>
    <x v="184"/>
    <n v="66"/>
    <x v="193"/>
    <x v="165"/>
    <n v="48419"/>
  </r>
  <r>
    <s v="2025-05-05"/>
    <x v="2"/>
    <x v="185"/>
    <n v="71"/>
    <x v="194"/>
    <x v="166"/>
    <n v="16149"/>
  </r>
  <r>
    <s v="2025-05-05"/>
    <x v="3"/>
    <x v="186"/>
    <n v="171"/>
    <x v="195"/>
    <x v="167"/>
    <n v="7541"/>
  </r>
  <r>
    <s v="2025-05-12"/>
    <x v="0"/>
    <x v="187"/>
    <n v="109"/>
    <x v="196"/>
    <x v="168"/>
    <n v="20042"/>
  </r>
  <r>
    <s v="2025-05-12"/>
    <x v="1"/>
    <x v="188"/>
    <n v="430"/>
    <x v="197"/>
    <x v="169"/>
    <n v="49400"/>
  </r>
  <r>
    <s v="2025-05-12"/>
    <x v="2"/>
    <x v="189"/>
    <n v="68"/>
    <x v="198"/>
    <x v="170"/>
    <n v="4007"/>
  </r>
  <r>
    <s v="2025-05-12"/>
    <x v="3"/>
    <x v="190"/>
    <n v="456"/>
    <x v="199"/>
    <x v="171"/>
    <n v="1217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1135"/>
    <n v="88"/>
    <n v="344084"/>
    <n v="8.06"/>
    <n v="5904"/>
    <n v="1047"/>
  </r>
  <r>
    <s v="2024-06-03"/>
    <x v="1"/>
    <n v="1312"/>
    <n v="310"/>
    <n v="42654"/>
    <n v="4.9800000000000004"/>
    <n v="9566"/>
    <n v="1002"/>
  </r>
  <r>
    <s v="2024-06-03"/>
    <x v="2"/>
    <n v="584"/>
    <n v="169"/>
    <n v="146834"/>
    <n v="8.31"/>
    <n v="26752"/>
    <n v="415"/>
  </r>
  <r>
    <s v="2024-06-03"/>
    <x v="3"/>
    <n v="1535"/>
    <n v="445"/>
    <n v="395536"/>
    <n v="4.1100000000000003"/>
    <n v="30671"/>
    <n v="1090"/>
  </r>
  <r>
    <s v="2024-06-10"/>
    <x v="0"/>
    <n v="656"/>
    <n v="139"/>
    <n v="49157"/>
    <n v="9.0500000000000007"/>
    <n v="9920"/>
    <n v="517"/>
  </r>
  <r>
    <s v="2024-06-10"/>
    <x v="1"/>
    <n v="1697"/>
    <n v="414"/>
    <n v="316555"/>
    <n v="2.37"/>
    <n v="7924"/>
    <n v="1283"/>
  </r>
  <r>
    <s v="2024-06-10"/>
    <x v="2"/>
    <n v="436"/>
    <n v="250"/>
    <n v="254347"/>
    <n v="4.01"/>
    <n v="8912"/>
    <n v="186"/>
  </r>
  <r>
    <s v="2024-06-10"/>
    <x v="3"/>
    <n v="1197"/>
    <n v="203"/>
    <n v="413878"/>
    <n v="3.16"/>
    <n v="21205"/>
    <n v="994"/>
  </r>
  <r>
    <s v="2024-06-17"/>
    <x v="0"/>
    <n v="1048"/>
    <n v="155"/>
    <n v="456946"/>
    <n v="2.46"/>
    <n v="11329"/>
    <n v="893"/>
  </r>
  <r>
    <s v="2024-06-17"/>
    <x v="1"/>
    <n v="1753"/>
    <n v="371"/>
    <n v="169496"/>
    <n v="8.11"/>
    <n v="46670"/>
    <n v="1382"/>
  </r>
  <r>
    <s v="2024-06-17"/>
    <x v="2"/>
    <n v="1335"/>
    <n v="40"/>
    <n v="122732"/>
    <n v="8.19"/>
    <n v="22482"/>
    <n v="1295"/>
  </r>
  <r>
    <s v="2024-06-17"/>
    <x v="3"/>
    <n v="403"/>
    <n v="66"/>
    <n v="382851"/>
    <n v="3.49"/>
    <n v="24313"/>
    <n v="337"/>
  </r>
  <r>
    <s v="2024-06-24"/>
    <x v="0"/>
    <n v="911"/>
    <n v="282"/>
    <n v="35664"/>
    <n v="6.92"/>
    <n v="18050"/>
    <n v="629"/>
  </r>
  <r>
    <s v="2024-06-24"/>
    <x v="1"/>
    <n v="1779"/>
    <n v="109"/>
    <n v="26295"/>
    <n v="9.1199999999999992"/>
    <n v="30635"/>
    <n v="1670"/>
  </r>
  <r>
    <s v="2024-06-24"/>
    <x v="2"/>
    <n v="1238"/>
    <n v="403"/>
    <n v="298421"/>
    <n v="3.5"/>
    <n v="31280"/>
    <n v="835"/>
  </r>
  <r>
    <s v="2024-06-24"/>
    <x v="3"/>
    <n v="308"/>
    <n v="431"/>
    <n v="426184"/>
    <n v="2.62"/>
    <n v="1783"/>
    <n v="-123"/>
  </r>
  <r>
    <s v="2024-07-01"/>
    <x v="0"/>
    <n v="226"/>
    <n v="445"/>
    <n v="419447"/>
    <n v="9.36"/>
    <n v="9566"/>
    <n v="-219"/>
  </r>
  <r>
    <s v="2024-07-01"/>
    <x v="1"/>
    <n v="505"/>
    <n v="441"/>
    <n v="220020"/>
    <n v="4.4800000000000004"/>
    <n v="42307"/>
    <n v="64"/>
  </r>
  <r>
    <s v="2024-07-01"/>
    <x v="2"/>
    <n v="1420"/>
    <n v="63"/>
    <n v="315305"/>
    <n v="6.19"/>
    <n v="5914"/>
    <n v="1357"/>
  </r>
  <r>
    <s v="2024-07-01"/>
    <x v="3"/>
    <n v="144"/>
    <n v="53"/>
    <n v="113678"/>
    <n v="8.7200000000000006"/>
    <n v="30060"/>
    <n v="91"/>
  </r>
  <r>
    <s v="2024-07-08"/>
    <x v="0"/>
    <n v="1757"/>
    <n v="85"/>
    <n v="58223"/>
    <n v="8.74"/>
    <n v="22728"/>
    <n v="1672"/>
  </r>
  <r>
    <s v="2024-07-08"/>
    <x v="1"/>
    <n v="350"/>
    <n v="41"/>
    <n v="251694"/>
    <n v="1.91"/>
    <n v="38610"/>
    <n v="309"/>
  </r>
  <r>
    <s v="2024-07-08"/>
    <x v="2"/>
    <n v="987"/>
    <n v="440"/>
    <n v="389810"/>
    <n v="4.66"/>
    <n v="2932"/>
    <n v="547"/>
  </r>
  <r>
    <s v="2024-07-08"/>
    <x v="3"/>
    <n v="883"/>
    <n v="369"/>
    <n v="233694"/>
    <n v="2.88"/>
    <n v="15071"/>
    <n v="514"/>
  </r>
  <r>
    <s v="2024-07-15"/>
    <x v="0"/>
    <n v="1960"/>
    <n v="115"/>
    <n v="154169"/>
    <n v="3.74"/>
    <n v="10740"/>
    <n v="1845"/>
  </r>
  <r>
    <s v="2024-07-15"/>
    <x v="1"/>
    <n v="170"/>
    <n v="334"/>
    <n v="334626"/>
    <n v="6.44"/>
    <n v="43420"/>
    <n v="-164"/>
  </r>
  <r>
    <s v="2024-07-15"/>
    <x v="2"/>
    <n v="704"/>
    <n v="275"/>
    <n v="226002"/>
    <n v="8.56"/>
    <n v="32393"/>
    <n v="429"/>
  </r>
  <r>
    <s v="2024-07-15"/>
    <x v="3"/>
    <n v="224"/>
    <n v="64"/>
    <n v="156683"/>
    <n v="4.5599999999999996"/>
    <n v="28474"/>
    <n v="160"/>
  </r>
  <r>
    <s v="2024-07-22"/>
    <x v="0"/>
    <n v="508"/>
    <n v="349"/>
    <n v="473812"/>
    <n v="7.88"/>
    <n v="17328"/>
    <n v="159"/>
  </r>
  <r>
    <s v="2024-07-22"/>
    <x v="1"/>
    <n v="1391"/>
    <n v="430"/>
    <n v="295032"/>
    <n v="7.86"/>
    <n v="26067"/>
    <n v="961"/>
  </r>
  <r>
    <s v="2024-07-22"/>
    <x v="2"/>
    <n v="1701"/>
    <n v="385"/>
    <n v="198278"/>
    <n v="5.34"/>
    <n v="32763"/>
    <n v="1316"/>
  </r>
  <r>
    <s v="2024-07-22"/>
    <x v="3"/>
    <n v="804"/>
    <n v="487"/>
    <n v="306564"/>
    <n v="5.52"/>
    <n v="26452"/>
    <n v="317"/>
  </r>
  <r>
    <s v="2024-07-29"/>
    <x v="0"/>
    <n v="653"/>
    <n v="112"/>
    <n v="23664"/>
    <n v="4.05"/>
    <n v="15353"/>
    <n v="541"/>
  </r>
  <r>
    <s v="2024-07-29"/>
    <x v="1"/>
    <n v="160"/>
    <n v="478"/>
    <n v="435034"/>
    <n v="7.73"/>
    <n v="4839"/>
    <n v="-318"/>
  </r>
  <r>
    <s v="2024-07-29"/>
    <x v="2"/>
    <n v="1756"/>
    <n v="261"/>
    <n v="287574"/>
    <n v="4.3600000000000003"/>
    <n v="39272"/>
    <n v="1495"/>
  </r>
  <r>
    <s v="2024-07-29"/>
    <x v="3"/>
    <n v="576"/>
    <n v="101"/>
    <n v="62499"/>
    <n v="3.48"/>
    <n v="16804"/>
    <n v="475"/>
  </r>
  <r>
    <s v="2024-08-05"/>
    <x v="0"/>
    <n v="645"/>
    <n v="293"/>
    <n v="437968"/>
    <n v="7.83"/>
    <n v="49303"/>
    <n v="352"/>
  </r>
  <r>
    <s v="2024-08-05"/>
    <x v="1"/>
    <n v="214"/>
    <n v="411"/>
    <n v="125034"/>
    <n v="6.11"/>
    <n v="26455"/>
    <n v="-197"/>
  </r>
  <r>
    <s v="2024-08-05"/>
    <x v="2"/>
    <n v="826"/>
    <n v="498"/>
    <n v="449994"/>
    <n v="9.43"/>
    <n v="12384"/>
    <n v="328"/>
  </r>
  <r>
    <s v="2024-08-05"/>
    <x v="3"/>
    <n v="460"/>
    <n v="141"/>
    <n v="320650"/>
    <n v="4.04"/>
    <n v="49372"/>
    <n v="319"/>
  </r>
  <r>
    <s v="2024-08-12"/>
    <x v="0"/>
    <n v="1528"/>
    <n v="203"/>
    <n v="489188"/>
    <n v="6.23"/>
    <n v="47101"/>
    <n v="1325"/>
  </r>
  <r>
    <s v="2024-08-12"/>
    <x v="1"/>
    <n v="1534"/>
    <n v="200"/>
    <n v="307612"/>
    <n v="6.01"/>
    <n v="37903"/>
    <n v="1334"/>
  </r>
  <r>
    <s v="2024-08-12"/>
    <x v="2"/>
    <n v="485"/>
    <n v="448"/>
    <n v="434883"/>
    <n v="8.5500000000000007"/>
    <n v="33258"/>
    <n v="37"/>
  </r>
  <r>
    <s v="2024-08-12"/>
    <x v="3"/>
    <n v="1210"/>
    <n v="178"/>
    <n v="102042"/>
    <n v="5.42"/>
    <n v="6915"/>
    <n v="1032"/>
  </r>
  <r>
    <s v="2024-08-19"/>
    <x v="0"/>
    <n v="215"/>
    <n v="139"/>
    <n v="325444"/>
    <n v="3.25"/>
    <n v="35501"/>
    <n v="76"/>
  </r>
  <r>
    <s v="2024-08-19"/>
    <x v="1"/>
    <n v="1078"/>
    <n v="20"/>
    <n v="183924"/>
    <n v="8.84"/>
    <n v="14203"/>
    <n v="1058"/>
  </r>
  <r>
    <s v="2024-08-19"/>
    <x v="2"/>
    <n v="1751"/>
    <n v="86"/>
    <n v="188655"/>
    <n v="7.24"/>
    <n v="22206"/>
    <n v="1665"/>
  </r>
  <r>
    <s v="2024-08-19"/>
    <x v="3"/>
    <n v="221"/>
    <n v="31"/>
    <n v="87443"/>
    <n v="6.19"/>
    <n v="10283"/>
    <n v="190"/>
  </r>
  <r>
    <s v="2024-08-26"/>
    <x v="0"/>
    <n v="1685"/>
    <n v="76"/>
    <n v="453799"/>
    <n v="5.71"/>
    <n v="24913"/>
    <n v="1609"/>
  </r>
  <r>
    <s v="2024-08-26"/>
    <x v="1"/>
    <n v="248"/>
    <n v="211"/>
    <n v="379380"/>
    <n v="9.0399999999999991"/>
    <n v="26925"/>
    <n v="37"/>
  </r>
  <r>
    <s v="2024-08-26"/>
    <x v="2"/>
    <n v="1300"/>
    <n v="71"/>
    <n v="186454"/>
    <n v="3.91"/>
    <n v="9942"/>
    <n v="1229"/>
  </r>
  <r>
    <s v="2024-08-26"/>
    <x v="3"/>
    <n v="422"/>
    <n v="394"/>
    <n v="239044"/>
    <n v="7.83"/>
    <n v="32929"/>
    <n v="28"/>
  </r>
  <r>
    <s v="2024-09-02"/>
    <x v="0"/>
    <n v="1429"/>
    <n v="182"/>
    <n v="101332"/>
    <n v="7.16"/>
    <n v="37829"/>
    <n v="1247"/>
  </r>
  <r>
    <s v="2024-09-02"/>
    <x v="1"/>
    <n v="1520"/>
    <n v="475"/>
    <n v="496982"/>
    <n v="6.41"/>
    <n v="24384"/>
    <n v="1045"/>
  </r>
  <r>
    <s v="2024-09-02"/>
    <x v="2"/>
    <n v="557"/>
    <n v="360"/>
    <n v="318779"/>
    <n v="8.02"/>
    <n v="25797"/>
    <n v="197"/>
  </r>
  <r>
    <s v="2024-09-02"/>
    <x v="3"/>
    <n v="728"/>
    <n v="395"/>
    <n v="370971"/>
    <n v="3.86"/>
    <n v="12646"/>
    <n v="333"/>
  </r>
  <r>
    <s v="2024-09-09"/>
    <x v="0"/>
    <n v="1592"/>
    <n v="20"/>
    <n v="378054"/>
    <n v="9.09"/>
    <n v="26663"/>
    <n v="1572"/>
  </r>
  <r>
    <s v="2024-09-09"/>
    <x v="1"/>
    <n v="1842"/>
    <n v="414"/>
    <n v="307524"/>
    <n v="1.76"/>
    <n v="40478"/>
    <n v="1428"/>
  </r>
  <r>
    <s v="2024-09-09"/>
    <x v="2"/>
    <n v="751"/>
    <n v="491"/>
    <n v="434047"/>
    <n v="9.24"/>
    <n v="15476"/>
    <n v="260"/>
  </r>
  <r>
    <s v="2024-09-09"/>
    <x v="3"/>
    <n v="1409"/>
    <n v="309"/>
    <n v="64583"/>
    <n v="8.99"/>
    <n v="10217"/>
    <n v="1100"/>
  </r>
  <r>
    <s v="2024-09-16"/>
    <x v="0"/>
    <n v="778"/>
    <n v="401"/>
    <n v="50793"/>
    <n v="3.4"/>
    <n v="21939"/>
    <n v="377"/>
  </r>
  <r>
    <s v="2024-09-16"/>
    <x v="1"/>
    <n v="443"/>
    <n v="345"/>
    <n v="474162"/>
    <n v="9.1999999999999993"/>
    <n v="47462"/>
    <n v="98"/>
  </r>
  <r>
    <s v="2024-09-16"/>
    <x v="2"/>
    <n v="1472"/>
    <n v="347"/>
    <n v="392355"/>
    <n v="8.59"/>
    <n v="30270"/>
    <n v="1125"/>
  </r>
  <r>
    <s v="2024-09-16"/>
    <x v="3"/>
    <n v="123"/>
    <n v="155"/>
    <n v="119934"/>
    <n v="3.5"/>
    <n v="5442"/>
    <n v="-32"/>
  </r>
  <r>
    <s v="2024-09-23"/>
    <x v="0"/>
    <n v="817"/>
    <n v="151"/>
    <n v="422625"/>
    <n v="2.36"/>
    <n v="1083"/>
    <n v="666"/>
  </r>
  <r>
    <s v="2024-09-23"/>
    <x v="1"/>
    <n v="198"/>
    <n v="217"/>
    <n v="239753"/>
    <n v="7.36"/>
    <n v="11901"/>
    <n v="-19"/>
  </r>
  <r>
    <s v="2024-09-23"/>
    <x v="2"/>
    <n v="1911"/>
    <n v="231"/>
    <n v="268516"/>
    <n v="8.5500000000000007"/>
    <n v="24018"/>
    <n v="1680"/>
  </r>
  <r>
    <s v="2024-09-23"/>
    <x v="3"/>
    <n v="1218"/>
    <n v="212"/>
    <n v="63177"/>
    <n v="8.1300000000000008"/>
    <n v="38883"/>
    <n v="1006"/>
  </r>
  <r>
    <s v="2024-09-30"/>
    <x v="0"/>
    <n v="1433"/>
    <n v="408"/>
    <n v="370269"/>
    <n v="3.3"/>
    <n v="30575"/>
    <n v="1025"/>
  </r>
  <r>
    <s v="2024-09-30"/>
    <x v="1"/>
    <n v="250"/>
    <n v="429"/>
    <n v="453423"/>
    <n v="1.77"/>
    <n v="2315"/>
    <n v="-179"/>
  </r>
  <r>
    <s v="2024-09-30"/>
    <x v="2"/>
    <n v="752"/>
    <n v="153"/>
    <n v="64906"/>
    <n v="2.09"/>
    <n v="12148"/>
    <n v="599"/>
  </r>
  <r>
    <s v="2024-09-30"/>
    <x v="3"/>
    <n v="1918"/>
    <n v="212"/>
    <n v="94360"/>
    <n v="7.36"/>
    <n v="36851"/>
    <n v="1706"/>
  </r>
  <r>
    <s v="2024-10-07"/>
    <x v="0"/>
    <n v="1939"/>
    <n v="67"/>
    <n v="187183"/>
    <n v="6.25"/>
    <n v="41215"/>
    <n v="1872"/>
  </r>
  <r>
    <s v="2024-10-07"/>
    <x v="1"/>
    <n v="1929"/>
    <n v="267"/>
    <n v="379363"/>
    <n v="1.75"/>
    <n v="43836"/>
    <n v="1662"/>
  </r>
  <r>
    <s v="2024-10-07"/>
    <x v="2"/>
    <n v="437"/>
    <n v="330"/>
    <n v="476486"/>
    <n v="4.97"/>
    <n v="4509"/>
    <n v="107"/>
  </r>
  <r>
    <s v="2024-10-07"/>
    <x v="3"/>
    <n v="307"/>
    <n v="189"/>
    <n v="117767"/>
    <n v="9.3000000000000007"/>
    <n v="27822"/>
    <n v="118"/>
  </r>
  <r>
    <s v="2024-10-14"/>
    <x v="0"/>
    <n v="1527"/>
    <n v="303"/>
    <n v="388555"/>
    <n v="8.9"/>
    <n v="36397"/>
    <n v="1224"/>
  </r>
  <r>
    <s v="2024-10-14"/>
    <x v="1"/>
    <n v="643"/>
    <n v="358"/>
    <n v="157599"/>
    <n v="3.88"/>
    <n v="7285"/>
    <n v="285"/>
  </r>
  <r>
    <s v="2024-10-14"/>
    <x v="2"/>
    <n v="201"/>
    <n v="221"/>
    <n v="309772"/>
    <n v="5.9"/>
    <n v="33174"/>
    <n v="-20"/>
  </r>
  <r>
    <s v="2024-10-14"/>
    <x v="3"/>
    <n v="414"/>
    <n v="47"/>
    <n v="199178"/>
    <n v="1.53"/>
    <n v="6742"/>
    <n v="367"/>
  </r>
  <r>
    <s v="2024-10-21"/>
    <x v="0"/>
    <n v="703"/>
    <n v="441"/>
    <n v="357089"/>
    <n v="6.5"/>
    <n v="32478"/>
    <n v="262"/>
  </r>
  <r>
    <s v="2024-10-21"/>
    <x v="1"/>
    <n v="508"/>
    <n v="69"/>
    <n v="23492"/>
    <n v="3.16"/>
    <n v="42824"/>
    <n v="439"/>
  </r>
  <r>
    <s v="2024-10-21"/>
    <x v="2"/>
    <n v="697"/>
    <n v="61"/>
    <n v="258287"/>
    <n v="8.25"/>
    <n v="21208"/>
    <n v="636"/>
  </r>
  <r>
    <s v="2024-10-21"/>
    <x v="3"/>
    <n v="1707"/>
    <n v="223"/>
    <n v="256910"/>
    <n v="5.41"/>
    <n v="44321"/>
    <n v="1484"/>
  </r>
  <r>
    <s v="2024-10-28"/>
    <x v="0"/>
    <n v="642"/>
    <n v="66"/>
    <n v="346522"/>
    <n v="5.85"/>
    <n v="13116"/>
    <n v="576"/>
  </r>
  <r>
    <s v="2024-10-28"/>
    <x v="1"/>
    <n v="859"/>
    <n v="473"/>
    <n v="209987"/>
    <n v="4.46"/>
    <n v="30214"/>
    <n v="386"/>
  </r>
  <r>
    <s v="2024-10-28"/>
    <x v="2"/>
    <n v="191"/>
    <n v="154"/>
    <n v="240550"/>
    <n v="5.22"/>
    <n v="15827"/>
    <n v="37"/>
  </r>
  <r>
    <s v="2024-10-28"/>
    <x v="3"/>
    <n v="1814"/>
    <n v="157"/>
    <n v="305827"/>
    <n v="1.99"/>
    <n v="46643"/>
    <n v="1657"/>
  </r>
  <r>
    <s v="2024-11-04"/>
    <x v="0"/>
    <n v="1466"/>
    <n v="69"/>
    <n v="54935"/>
    <n v="6.85"/>
    <n v="36484"/>
    <n v="1397"/>
  </r>
  <r>
    <s v="2024-11-04"/>
    <x v="1"/>
    <n v="947"/>
    <n v="407"/>
    <n v="319186"/>
    <n v="3.32"/>
    <n v="4996"/>
    <n v="540"/>
  </r>
  <r>
    <s v="2024-11-04"/>
    <x v="2"/>
    <n v="1821"/>
    <n v="218"/>
    <n v="439080"/>
    <n v="5.68"/>
    <n v="36095"/>
    <n v="1603"/>
  </r>
  <r>
    <s v="2024-11-04"/>
    <x v="3"/>
    <n v="1507"/>
    <n v="463"/>
    <n v="258944"/>
    <n v="6.08"/>
    <n v="16443"/>
    <n v="1044"/>
  </r>
  <r>
    <s v="2024-11-11"/>
    <x v="0"/>
    <n v="1075"/>
    <n v="173"/>
    <n v="51395"/>
    <n v="4.66"/>
    <n v="47812"/>
    <n v="902"/>
  </r>
  <r>
    <s v="2024-11-11"/>
    <x v="1"/>
    <n v="171"/>
    <n v="277"/>
    <n v="309483"/>
    <n v="8.6999999999999993"/>
    <n v="38452"/>
    <n v="-106"/>
  </r>
  <r>
    <s v="2024-11-11"/>
    <x v="2"/>
    <n v="1487"/>
    <n v="337"/>
    <n v="87305"/>
    <n v="2.46"/>
    <n v="30428"/>
    <n v="1150"/>
  </r>
  <r>
    <s v="2024-11-11"/>
    <x v="3"/>
    <n v="454"/>
    <n v="105"/>
    <n v="121091"/>
    <n v="7.97"/>
    <n v="9269"/>
    <n v="349"/>
  </r>
  <r>
    <s v="2024-11-18"/>
    <x v="0"/>
    <n v="187"/>
    <n v="236"/>
    <n v="51087"/>
    <n v="9.41"/>
    <n v="29533"/>
    <n v="-49"/>
  </r>
  <r>
    <s v="2024-11-18"/>
    <x v="1"/>
    <n v="513"/>
    <n v="441"/>
    <n v="338847"/>
    <n v="2.68"/>
    <n v="39997"/>
    <n v="72"/>
  </r>
  <r>
    <s v="2024-11-18"/>
    <x v="2"/>
    <n v="628"/>
    <n v="183"/>
    <n v="487523"/>
    <n v="7.32"/>
    <n v="5391"/>
    <n v="445"/>
  </r>
  <r>
    <s v="2024-11-18"/>
    <x v="3"/>
    <n v="278"/>
    <n v="218"/>
    <n v="301695"/>
    <n v="4.68"/>
    <n v="22373"/>
    <n v="60"/>
  </r>
  <r>
    <s v="2024-11-25"/>
    <x v="0"/>
    <n v="1854"/>
    <n v="161"/>
    <n v="282466"/>
    <n v="5.17"/>
    <n v="1810"/>
    <n v="1693"/>
  </r>
  <r>
    <s v="2024-11-25"/>
    <x v="1"/>
    <n v="1710"/>
    <n v="378"/>
    <n v="336661"/>
    <n v="6.2"/>
    <n v="28498"/>
    <n v="1332"/>
  </r>
  <r>
    <s v="2024-11-25"/>
    <x v="2"/>
    <n v="330"/>
    <n v="232"/>
    <n v="88455"/>
    <n v="2.69"/>
    <n v="39530"/>
    <n v="98"/>
  </r>
  <r>
    <s v="2024-11-25"/>
    <x v="3"/>
    <n v="1293"/>
    <n v="408"/>
    <n v="62535"/>
    <n v="8.9"/>
    <n v="37876"/>
    <n v="885"/>
  </r>
  <r>
    <s v="2024-12-02"/>
    <x v="0"/>
    <n v="1696"/>
    <n v="71"/>
    <n v="421957"/>
    <n v="3.79"/>
    <n v="36103"/>
    <n v="1625"/>
  </r>
  <r>
    <s v="2024-12-02"/>
    <x v="1"/>
    <n v="1902"/>
    <n v="196"/>
    <n v="470269"/>
    <n v="4.79"/>
    <n v="26103"/>
    <n v="1706"/>
  </r>
  <r>
    <s v="2024-12-02"/>
    <x v="2"/>
    <n v="1441"/>
    <n v="268"/>
    <n v="309904"/>
    <n v="6.37"/>
    <n v="3455"/>
    <n v="1173"/>
  </r>
  <r>
    <s v="2024-12-02"/>
    <x v="3"/>
    <n v="452"/>
    <n v="161"/>
    <n v="221274"/>
    <n v="2.65"/>
    <n v="40888"/>
    <n v="291"/>
  </r>
  <r>
    <s v="2024-12-09"/>
    <x v="0"/>
    <n v="1494"/>
    <n v="375"/>
    <n v="220616"/>
    <n v="1.81"/>
    <n v="22724"/>
    <n v="1119"/>
  </r>
  <r>
    <s v="2024-12-09"/>
    <x v="1"/>
    <n v="1514"/>
    <n v="141"/>
    <n v="35842"/>
    <n v="7.47"/>
    <n v="18601"/>
    <n v="1373"/>
  </r>
  <r>
    <s v="2024-12-09"/>
    <x v="2"/>
    <n v="1937"/>
    <n v="210"/>
    <n v="20607"/>
    <n v="4.2"/>
    <n v="20861"/>
    <n v="1727"/>
  </r>
  <r>
    <s v="2024-12-09"/>
    <x v="3"/>
    <n v="736"/>
    <n v="163"/>
    <n v="451894"/>
    <n v="5.43"/>
    <n v="46625"/>
    <n v="573"/>
  </r>
  <r>
    <s v="2024-12-16"/>
    <x v="0"/>
    <n v="1502"/>
    <n v="70"/>
    <n v="465553"/>
    <n v="3.32"/>
    <n v="20692"/>
    <n v="1432"/>
  </r>
  <r>
    <s v="2024-12-16"/>
    <x v="1"/>
    <n v="1623"/>
    <n v="246"/>
    <n v="415815"/>
    <n v="8.11"/>
    <n v="18656"/>
    <n v="1377"/>
  </r>
  <r>
    <s v="2024-12-16"/>
    <x v="2"/>
    <n v="1592"/>
    <n v="233"/>
    <n v="327183"/>
    <n v="6.66"/>
    <n v="13316"/>
    <n v="1359"/>
  </r>
  <r>
    <s v="2024-12-16"/>
    <x v="3"/>
    <n v="1004"/>
    <n v="128"/>
    <n v="488901"/>
    <n v="8.09"/>
    <n v="49558"/>
    <n v="876"/>
  </r>
  <r>
    <s v="2024-12-23"/>
    <x v="0"/>
    <n v="1092"/>
    <n v="408"/>
    <n v="280795"/>
    <n v="8.44"/>
    <n v="4683"/>
    <n v="684"/>
  </r>
  <r>
    <s v="2024-12-23"/>
    <x v="1"/>
    <n v="1155"/>
    <n v="425"/>
    <n v="93347"/>
    <n v="2.02"/>
    <n v="47502"/>
    <n v="730"/>
  </r>
  <r>
    <s v="2024-12-23"/>
    <x v="2"/>
    <n v="1137"/>
    <n v="226"/>
    <n v="81119"/>
    <n v="7.74"/>
    <n v="35359"/>
    <n v="911"/>
  </r>
  <r>
    <s v="2024-12-23"/>
    <x v="3"/>
    <n v="1900"/>
    <n v="311"/>
    <n v="25177"/>
    <n v="2.89"/>
    <n v="14154"/>
    <n v="1589"/>
  </r>
  <r>
    <s v="2024-12-30"/>
    <x v="0"/>
    <n v="1814"/>
    <n v="49"/>
    <n v="140804"/>
    <n v="1.76"/>
    <n v="4313"/>
    <n v="1765"/>
  </r>
  <r>
    <s v="2024-12-30"/>
    <x v="1"/>
    <n v="1980"/>
    <n v="204"/>
    <n v="379431"/>
    <n v="3.09"/>
    <n v="25140"/>
    <n v="1776"/>
  </r>
  <r>
    <s v="2024-12-30"/>
    <x v="2"/>
    <n v="1786"/>
    <n v="257"/>
    <n v="274831"/>
    <n v="4.68"/>
    <n v="9118"/>
    <n v="1529"/>
  </r>
  <r>
    <s v="2024-12-30"/>
    <x v="3"/>
    <n v="1495"/>
    <n v="35"/>
    <n v="136845"/>
    <n v="4.4800000000000004"/>
    <n v="39931"/>
    <n v="1460"/>
  </r>
  <r>
    <s v="2025-01-06"/>
    <x v="0"/>
    <n v="1013"/>
    <n v="110"/>
    <n v="466382"/>
    <n v="5.3"/>
    <n v="37132"/>
    <n v="903"/>
  </r>
  <r>
    <s v="2025-01-06"/>
    <x v="1"/>
    <n v="816"/>
    <n v="196"/>
    <n v="95728"/>
    <n v="8.1999999999999993"/>
    <n v="17951"/>
    <n v="620"/>
  </r>
  <r>
    <s v="2025-01-06"/>
    <x v="2"/>
    <n v="1633"/>
    <n v="445"/>
    <n v="371156"/>
    <n v="2.2200000000000002"/>
    <n v="2798"/>
    <n v="1188"/>
  </r>
  <r>
    <s v="2025-01-06"/>
    <x v="3"/>
    <n v="891"/>
    <n v="45"/>
    <n v="95410"/>
    <n v="8.33"/>
    <n v="15045"/>
    <n v="846"/>
  </r>
  <r>
    <s v="2025-01-13"/>
    <x v="0"/>
    <n v="1855"/>
    <n v="133"/>
    <n v="349413"/>
    <n v="3.3"/>
    <n v="14548"/>
    <n v="1722"/>
  </r>
  <r>
    <s v="2025-01-13"/>
    <x v="1"/>
    <n v="651"/>
    <n v="353"/>
    <n v="224699"/>
    <n v="5.61"/>
    <n v="45708"/>
    <n v="298"/>
  </r>
  <r>
    <s v="2025-01-13"/>
    <x v="2"/>
    <n v="118"/>
    <n v="262"/>
    <n v="487896"/>
    <n v="2.56"/>
    <n v="12350"/>
    <n v="-144"/>
  </r>
  <r>
    <s v="2025-01-13"/>
    <x v="3"/>
    <n v="1331"/>
    <n v="430"/>
    <n v="14437"/>
    <n v="3.29"/>
    <n v="40868"/>
    <n v="901"/>
  </r>
  <r>
    <s v="2025-01-20"/>
    <x v="0"/>
    <n v="1748"/>
    <n v="176"/>
    <n v="383681"/>
    <n v="9.24"/>
    <n v="43122"/>
    <n v="1572"/>
  </r>
  <r>
    <s v="2025-01-20"/>
    <x v="1"/>
    <n v="663"/>
    <n v="236"/>
    <n v="479490"/>
    <n v="4.51"/>
    <n v="23853"/>
    <n v="427"/>
  </r>
  <r>
    <s v="2025-01-20"/>
    <x v="2"/>
    <n v="1040"/>
    <n v="149"/>
    <n v="124404"/>
    <n v="5.23"/>
    <n v="45380"/>
    <n v="891"/>
  </r>
  <r>
    <s v="2025-01-20"/>
    <x v="3"/>
    <n v="1166"/>
    <n v="442"/>
    <n v="336949"/>
    <n v="4.68"/>
    <n v="7705"/>
    <n v="724"/>
  </r>
  <r>
    <s v="2025-01-27"/>
    <x v="0"/>
    <n v="115"/>
    <n v="281"/>
    <n v="357265"/>
    <n v="9.23"/>
    <n v="25525"/>
    <n v="-166"/>
  </r>
  <r>
    <s v="2025-01-27"/>
    <x v="1"/>
    <n v="1249"/>
    <n v="351"/>
    <n v="321307"/>
    <n v="6.37"/>
    <n v="20560"/>
    <n v="898"/>
  </r>
  <r>
    <s v="2025-01-27"/>
    <x v="2"/>
    <n v="1501"/>
    <n v="75"/>
    <n v="262569"/>
    <n v="2.0099999999999998"/>
    <n v="19119"/>
    <n v="1426"/>
  </r>
  <r>
    <s v="2025-01-27"/>
    <x v="3"/>
    <n v="1411"/>
    <n v="186"/>
    <n v="461669"/>
    <n v="3.72"/>
    <n v="43999"/>
    <n v="1225"/>
  </r>
  <r>
    <s v="2025-02-03"/>
    <x v="0"/>
    <n v="1556"/>
    <n v="476"/>
    <n v="351556"/>
    <n v="3.89"/>
    <n v="10825"/>
    <n v="1080"/>
  </r>
  <r>
    <s v="2025-02-03"/>
    <x v="1"/>
    <n v="1159"/>
    <n v="411"/>
    <n v="135987"/>
    <n v="8.6999999999999993"/>
    <n v="40323"/>
    <n v="748"/>
  </r>
  <r>
    <s v="2025-02-03"/>
    <x v="2"/>
    <n v="927"/>
    <n v="358"/>
    <n v="177554"/>
    <n v="6.95"/>
    <n v="48270"/>
    <n v="569"/>
  </r>
  <r>
    <s v="2025-02-03"/>
    <x v="3"/>
    <n v="152"/>
    <n v="355"/>
    <n v="270766"/>
    <n v="9.48"/>
    <n v="18001"/>
    <n v="-203"/>
  </r>
  <r>
    <s v="2025-02-10"/>
    <x v="0"/>
    <n v="1957"/>
    <n v="234"/>
    <n v="222126"/>
    <n v="4.6100000000000003"/>
    <n v="3314"/>
    <n v="1723"/>
  </r>
  <r>
    <s v="2025-02-10"/>
    <x v="1"/>
    <n v="1294"/>
    <n v="382"/>
    <n v="309914"/>
    <n v="8.0299999999999994"/>
    <n v="23489"/>
    <n v="912"/>
  </r>
  <r>
    <s v="2025-02-10"/>
    <x v="2"/>
    <n v="1587"/>
    <n v="385"/>
    <n v="126582"/>
    <n v="6.99"/>
    <n v="42832"/>
    <n v="1202"/>
  </r>
  <r>
    <s v="2025-02-10"/>
    <x v="3"/>
    <n v="1707"/>
    <n v="263"/>
    <n v="485280"/>
    <n v="9.0299999999999994"/>
    <n v="24494"/>
    <n v="1444"/>
  </r>
  <r>
    <s v="2025-02-17"/>
    <x v="0"/>
    <n v="1138"/>
    <n v="173"/>
    <n v="453243"/>
    <n v="2.86"/>
    <n v="44097"/>
    <n v="965"/>
  </r>
  <r>
    <s v="2025-02-17"/>
    <x v="1"/>
    <n v="1895"/>
    <n v="305"/>
    <n v="104967"/>
    <n v="3.85"/>
    <n v="31853"/>
    <n v="1590"/>
  </r>
  <r>
    <s v="2025-02-17"/>
    <x v="2"/>
    <n v="362"/>
    <n v="399"/>
    <n v="145608"/>
    <n v="7.3"/>
    <n v="37636"/>
    <n v="-37"/>
  </r>
  <r>
    <s v="2025-02-17"/>
    <x v="3"/>
    <n v="1662"/>
    <n v="487"/>
    <n v="105980"/>
    <n v="9.08"/>
    <n v="22996"/>
    <n v="1175"/>
  </r>
  <r>
    <s v="2025-02-24"/>
    <x v="0"/>
    <n v="1440"/>
    <n v="65"/>
    <n v="126524"/>
    <n v="4.34"/>
    <n v="49772"/>
    <n v="1375"/>
  </r>
  <r>
    <s v="2025-02-24"/>
    <x v="1"/>
    <n v="1884"/>
    <n v="177"/>
    <n v="230448"/>
    <n v="7.8"/>
    <n v="22713"/>
    <n v="1707"/>
  </r>
  <r>
    <s v="2025-02-24"/>
    <x v="2"/>
    <n v="861"/>
    <n v="153"/>
    <n v="317007"/>
    <n v="3.85"/>
    <n v="8718"/>
    <n v="708"/>
  </r>
  <r>
    <s v="2025-02-24"/>
    <x v="3"/>
    <n v="1063"/>
    <n v="47"/>
    <n v="464239"/>
    <n v="6.58"/>
    <n v="39031"/>
    <n v="1016"/>
  </r>
  <r>
    <s v="2025-03-03"/>
    <x v="0"/>
    <n v="1371"/>
    <n v="56"/>
    <n v="257579"/>
    <n v="8.6199999999999992"/>
    <n v="33799"/>
    <n v="1315"/>
  </r>
  <r>
    <s v="2025-03-03"/>
    <x v="1"/>
    <n v="345"/>
    <n v="464"/>
    <n v="366881"/>
    <n v="4.55"/>
    <n v="20553"/>
    <n v="-119"/>
  </r>
  <r>
    <s v="2025-03-03"/>
    <x v="2"/>
    <n v="946"/>
    <n v="47"/>
    <n v="466575"/>
    <n v="8.33"/>
    <n v="10002"/>
    <n v="899"/>
  </r>
  <r>
    <s v="2025-03-03"/>
    <x v="3"/>
    <n v="510"/>
    <n v="195"/>
    <n v="224534"/>
    <n v="9.4"/>
    <n v="30987"/>
    <n v="315"/>
  </r>
  <r>
    <s v="2025-03-10"/>
    <x v="0"/>
    <n v="393"/>
    <n v="181"/>
    <n v="462142"/>
    <n v="7.23"/>
    <n v="6296"/>
    <n v="212"/>
  </r>
  <r>
    <s v="2025-03-10"/>
    <x v="1"/>
    <n v="1098"/>
    <n v="190"/>
    <n v="340842"/>
    <n v="9.39"/>
    <n v="21539"/>
    <n v="908"/>
  </r>
  <r>
    <s v="2025-03-10"/>
    <x v="2"/>
    <n v="1399"/>
    <n v="49"/>
    <n v="12471"/>
    <n v="5.12"/>
    <n v="14722"/>
    <n v="1350"/>
  </r>
  <r>
    <s v="2025-03-10"/>
    <x v="3"/>
    <n v="1658"/>
    <n v="416"/>
    <n v="98397"/>
    <n v="6.11"/>
    <n v="11383"/>
    <n v="1242"/>
  </r>
  <r>
    <s v="2025-03-17"/>
    <x v="0"/>
    <n v="1102"/>
    <n v="422"/>
    <n v="410330"/>
    <n v="7.74"/>
    <n v="9480"/>
    <n v="680"/>
  </r>
  <r>
    <s v="2025-03-17"/>
    <x v="1"/>
    <n v="1358"/>
    <n v="242"/>
    <n v="342129"/>
    <n v="4.9400000000000004"/>
    <n v="29116"/>
    <n v="1116"/>
  </r>
  <r>
    <s v="2025-03-17"/>
    <x v="2"/>
    <n v="1077"/>
    <n v="216"/>
    <n v="12447"/>
    <n v="1.8"/>
    <n v="14068"/>
    <n v="861"/>
  </r>
  <r>
    <s v="2025-03-17"/>
    <x v="3"/>
    <n v="1596"/>
    <n v="211"/>
    <n v="17380"/>
    <n v="8.64"/>
    <n v="35801"/>
    <n v="1385"/>
  </r>
  <r>
    <s v="2025-03-24"/>
    <x v="0"/>
    <n v="490"/>
    <n v="29"/>
    <n v="364810"/>
    <n v="1.53"/>
    <n v="49077"/>
    <n v="461"/>
  </r>
  <r>
    <s v="2025-03-24"/>
    <x v="1"/>
    <n v="609"/>
    <n v="135"/>
    <n v="373606"/>
    <n v="8.52"/>
    <n v="21453"/>
    <n v="474"/>
  </r>
  <r>
    <s v="2025-03-24"/>
    <x v="2"/>
    <n v="364"/>
    <n v="72"/>
    <n v="211090"/>
    <n v="5.53"/>
    <n v="21061"/>
    <n v="292"/>
  </r>
  <r>
    <s v="2025-03-24"/>
    <x v="3"/>
    <n v="442"/>
    <n v="53"/>
    <n v="441931"/>
    <n v="1.87"/>
    <n v="20059"/>
    <n v="389"/>
  </r>
  <r>
    <s v="2025-03-31"/>
    <x v="0"/>
    <n v="1033"/>
    <n v="392"/>
    <n v="282780"/>
    <n v="6.27"/>
    <n v="23140"/>
    <n v="641"/>
  </r>
  <r>
    <s v="2025-03-31"/>
    <x v="1"/>
    <n v="988"/>
    <n v="474"/>
    <n v="370070"/>
    <n v="9.4600000000000009"/>
    <n v="23461"/>
    <n v="514"/>
  </r>
  <r>
    <s v="2025-03-31"/>
    <x v="2"/>
    <n v="1946"/>
    <n v="270"/>
    <n v="198350"/>
    <n v="7.5"/>
    <n v="11805"/>
    <n v="1676"/>
  </r>
  <r>
    <s v="2025-03-31"/>
    <x v="3"/>
    <n v="1957"/>
    <n v="490"/>
    <n v="435726"/>
    <n v="4.7300000000000004"/>
    <n v="15969"/>
    <n v="1467"/>
  </r>
  <r>
    <s v="2025-04-07"/>
    <x v="0"/>
    <n v="559"/>
    <n v="392"/>
    <n v="78789"/>
    <n v="3.19"/>
    <n v="2436"/>
    <n v="167"/>
  </r>
  <r>
    <s v="2025-04-07"/>
    <x v="1"/>
    <n v="1307"/>
    <n v="278"/>
    <n v="98596"/>
    <n v="2.4900000000000002"/>
    <n v="47603"/>
    <n v="1029"/>
  </r>
  <r>
    <s v="2025-04-07"/>
    <x v="2"/>
    <n v="1432"/>
    <n v="425"/>
    <n v="29589"/>
    <n v="4.5"/>
    <n v="42964"/>
    <n v="1007"/>
  </r>
  <r>
    <s v="2025-04-07"/>
    <x v="3"/>
    <n v="623"/>
    <n v="414"/>
    <n v="290354"/>
    <n v="6.49"/>
    <n v="39923"/>
    <n v="209"/>
  </r>
  <r>
    <s v="2025-04-14"/>
    <x v="0"/>
    <n v="198"/>
    <n v="358"/>
    <n v="66682"/>
    <n v="6.73"/>
    <n v="2293"/>
    <n v="-160"/>
  </r>
  <r>
    <s v="2025-04-14"/>
    <x v="1"/>
    <n v="198"/>
    <n v="373"/>
    <n v="70707"/>
    <n v="4.83"/>
    <n v="25920"/>
    <n v="-175"/>
  </r>
  <r>
    <s v="2025-04-14"/>
    <x v="2"/>
    <n v="353"/>
    <n v="300"/>
    <n v="142507"/>
    <n v="5.3"/>
    <n v="11035"/>
    <n v="53"/>
  </r>
  <r>
    <s v="2025-04-14"/>
    <x v="3"/>
    <n v="520"/>
    <n v="375"/>
    <n v="369525"/>
    <n v="6.54"/>
    <n v="20733"/>
    <n v="145"/>
  </r>
  <r>
    <s v="2025-04-21"/>
    <x v="0"/>
    <n v="961"/>
    <n v="358"/>
    <n v="62942"/>
    <n v="6.8"/>
    <n v="18693"/>
    <n v="603"/>
  </r>
  <r>
    <s v="2025-04-21"/>
    <x v="1"/>
    <n v="1375"/>
    <n v="330"/>
    <n v="377382"/>
    <n v="2.6"/>
    <n v="7875"/>
    <n v="1045"/>
  </r>
  <r>
    <s v="2025-04-21"/>
    <x v="2"/>
    <n v="1147"/>
    <n v="388"/>
    <n v="333851"/>
    <n v="2.44"/>
    <n v="8471"/>
    <n v="759"/>
  </r>
  <r>
    <s v="2025-04-21"/>
    <x v="3"/>
    <n v="1707"/>
    <n v="74"/>
    <n v="270958"/>
    <n v="3.09"/>
    <n v="14090"/>
    <n v="1633"/>
  </r>
  <r>
    <s v="2025-04-28"/>
    <x v="0"/>
    <n v="1693"/>
    <n v="154"/>
    <n v="445944"/>
    <n v="5.69"/>
    <n v="14216"/>
    <n v="1539"/>
  </r>
  <r>
    <s v="2025-04-28"/>
    <x v="1"/>
    <n v="833"/>
    <n v="380"/>
    <n v="224830"/>
    <n v="3.86"/>
    <n v="3582"/>
    <n v="453"/>
  </r>
  <r>
    <s v="2025-04-28"/>
    <x v="2"/>
    <n v="1222"/>
    <n v="274"/>
    <n v="487289"/>
    <n v="3.16"/>
    <n v="32500"/>
    <n v="948"/>
  </r>
  <r>
    <s v="2025-04-28"/>
    <x v="3"/>
    <n v="777"/>
    <n v="140"/>
    <n v="11435"/>
    <n v="1.6"/>
    <n v="6832"/>
    <n v="637"/>
  </r>
  <r>
    <s v="2025-05-05"/>
    <x v="0"/>
    <n v="1957"/>
    <n v="76"/>
    <n v="447902"/>
    <n v="6.09"/>
    <n v="33381"/>
    <n v="1881"/>
  </r>
  <r>
    <s v="2025-05-05"/>
    <x v="1"/>
    <n v="405"/>
    <n v="66"/>
    <n v="418696"/>
    <n v="5.59"/>
    <n v="48419"/>
    <n v="339"/>
  </r>
  <r>
    <s v="2025-05-05"/>
    <x v="2"/>
    <n v="1581"/>
    <n v="71"/>
    <n v="484364"/>
    <n v="3.55"/>
    <n v="16149"/>
    <n v="1510"/>
  </r>
  <r>
    <s v="2025-05-05"/>
    <x v="3"/>
    <n v="1035"/>
    <n v="171"/>
    <n v="148477"/>
    <n v="5.21"/>
    <n v="7541"/>
    <n v="864"/>
  </r>
  <r>
    <s v="2025-05-12"/>
    <x v="0"/>
    <n v="1765"/>
    <n v="109"/>
    <n v="468301"/>
    <n v="1.82"/>
    <n v="20042"/>
    <n v="1656"/>
  </r>
  <r>
    <s v="2025-05-12"/>
    <x v="1"/>
    <n v="837"/>
    <n v="430"/>
    <n v="364820"/>
    <n v="4"/>
    <n v="49400"/>
    <n v="407"/>
  </r>
  <r>
    <s v="2025-05-12"/>
    <x v="2"/>
    <n v="337"/>
    <n v="68"/>
    <n v="456298"/>
    <n v="7.57"/>
    <n v="4007"/>
    <n v="269"/>
  </r>
  <r>
    <s v="2025-05-12"/>
    <x v="3"/>
    <n v="119"/>
    <n v="456"/>
    <n v="82558"/>
    <n v="6.81"/>
    <n v="12174"/>
    <n v="-33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50"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8.31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4.01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8.19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3.5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6.19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4.66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8.56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5.34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4.3600000000000003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9.43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8.5500000000000007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7.24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3.91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8.02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9.24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8.59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8.5500000000000007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2.09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4.97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5.9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8.25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5.22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5.68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2.46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7.32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2.69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6.37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4.2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6.66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7.74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4.68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2.2200000000000002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2.56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5.23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2.0099999999999998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6.95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6.99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7.3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3.85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8.33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5.12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1.8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5.53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7.5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4.5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5.3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2.44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3.16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3.55"/>
  </r>
  <r>
    <s v="P001"/>
    <s v="Twitter"/>
    <d v="2024-12-23T00:00:00"/>
    <x v="0"/>
    <s v="Check out our latest reel on twitter!"/>
    <n v="1461"/>
    <n v="184"/>
    <n v="344"/>
    <n v="21915"/>
    <n v="21675"/>
    <n v="15"/>
    <x v="0"/>
    <s v="CybertruckLaunch"/>
    <n v="7.57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8.31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4.01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8.19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3.5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6.19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4.66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8.56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5.34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4.3600000000000003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9.43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8.5500000000000007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7.24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3.91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8.02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9.24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8.59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8.5500000000000007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2.09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4.97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5.9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8.25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5.22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5.68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2.46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7.32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2.69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6.37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4.2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6.66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7.74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4.68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2.2200000000000002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2.56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5.23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2.0099999999999998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6.95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6.99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7.3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3.85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8.33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5.12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1.8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5.53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7.5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4.5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5.3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2.44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3.16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3.55"/>
  </r>
  <r>
    <s v="P001"/>
    <s v="Twitter"/>
    <d v="2024-12-23T00:00:00"/>
    <x v="0"/>
    <s v="Check out our latest reel on twitter!"/>
    <n v="1461"/>
    <n v="184"/>
    <n v="344"/>
    <n v="21915"/>
    <n v="21675"/>
    <n v="15"/>
    <x v="1"/>
    <s v="CybertruckLaunch"/>
    <n v="7.57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8.31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4.01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8.19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3.5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6.19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4.66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8.56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5.34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4.3600000000000003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9.43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8.5500000000000007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7.24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3.91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8.02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9.24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8.59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8.5500000000000007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2.09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4.97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5.9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8.25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5.22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5.68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2.46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7.32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2.69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6.37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4.2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6.66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7.74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4.68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2.2200000000000002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2.56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5.23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2.0099999999999998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6.95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6.99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7.3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3.85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8.33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5.12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1.8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5.53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7.5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4.5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5.3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2.44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3.16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3.55"/>
  </r>
  <r>
    <s v="P002"/>
    <s v="Twitter"/>
    <d v="2025-04-03T00:00:00"/>
    <x v="1"/>
    <s v="Check out our latest text on twitter!"/>
    <n v="4054"/>
    <n v="389"/>
    <n v="493"/>
    <n v="64864"/>
    <n v="64383"/>
    <n v="117"/>
    <x v="2"/>
    <s v="ModelYCampaign"/>
    <n v="7.57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8.31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4.01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8.19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3.5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6.19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4.66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8.56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5.34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4.3600000000000003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9.43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8.5500000000000007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7.24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3.91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8.02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9.24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8.59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8.5500000000000007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2.09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4.97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5.9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8.25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5.22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5.68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2.46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7.32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2.69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6.37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4.2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6.66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7.74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4.68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2.2200000000000002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2.56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5.23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2.0099999999999998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6.95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6.99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7.3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3.85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8.33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5.12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1.8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5.53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7.5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4.5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5.3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2.44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3.16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3.55"/>
  </r>
  <r>
    <s v="P002"/>
    <s v="Twitter"/>
    <d v="2025-04-03T00:00:00"/>
    <x v="1"/>
    <s v="Check out our latest text on twitter!"/>
    <n v="4054"/>
    <n v="389"/>
    <n v="493"/>
    <n v="64864"/>
    <n v="64383"/>
    <n v="117"/>
    <x v="3"/>
    <s v="ModelYCampaign"/>
    <n v="7.57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8.31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4.01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8.19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3.5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6.19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4.66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8.56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5.34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4.3600000000000003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9.43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8.5500000000000007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7.24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3.91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8.02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9.24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8.59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8.5500000000000007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2.09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4.97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5.9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8.25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5.22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5.68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2.46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7.32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2.69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6.37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4.2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6.66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7.74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4.68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2.2200000000000002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2.56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5.23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2.0099999999999998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6.95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6.99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7.3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3.85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8.33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5.12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1.8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5.53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7.5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4.5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5.3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2.44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3.16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3.55"/>
  </r>
  <r>
    <s v="P007"/>
    <s v="Twitter"/>
    <d v="2024-06-24T00:00:00"/>
    <x v="2"/>
    <s v="Check out our latest carousel on twitter!"/>
    <n v="3860"/>
    <n v="201"/>
    <n v="279"/>
    <n v="61760"/>
    <n v="61660"/>
    <n v="235"/>
    <x v="2"/>
    <s v="ModelYCampaign"/>
    <n v="7.57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8.31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4.01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8.19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3.5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6.19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4.66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8.56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5.34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4.3600000000000003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9.43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8.5500000000000007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7.24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3.91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8.02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9.24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8.59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8.5500000000000007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2.09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4.97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5.9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8.25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5.22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5.68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2.46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7.32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2.69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6.37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4.2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6.66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7.74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4.68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2.2200000000000002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2.56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5.23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2.0099999999999998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6.95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6.99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7.3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3.85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8.33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5.12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1.8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5.53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7.5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4.5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5.3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2.44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3.16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3.55"/>
  </r>
  <r>
    <s v="P025"/>
    <s v="Twitter"/>
    <d v="2025-04-10T00:00:00"/>
    <x v="2"/>
    <s v="Check out our latest carousel on twitter!"/>
    <n v="3128"/>
    <n v="211"/>
    <n v="197"/>
    <n v="59432"/>
    <n v="59182"/>
    <n v="238"/>
    <x v="4"/>
    <m/>
    <n v="7.57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8.31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4.01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8.19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3.5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6.19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4.66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8.56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5.34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4.3600000000000003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9.43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8.5500000000000007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7.24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3.91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8.02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9.24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8.59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8.5500000000000007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2.09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4.97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5.9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8.25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5.22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5.68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2.46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7.32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2.69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6.37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4.2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6.66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7.74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4.68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2.2200000000000002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2.56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5.23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2.0099999999999998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6.95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6.99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7.3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3.85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8.33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5.12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1.8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5.53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7.5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4.5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5.3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2.44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3.16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3.55"/>
  </r>
  <r>
    <s v="P032"/>
    <s v="Twitter"/>
    <d v="2024-07-31T00:00:00"/>
    <x v="2"/>
    <s v="Check out our latest carousel on twitter!"/>
    <n v="2278"/>
    <n v="10"/>
    <n v="321"/>
    <n v="13668"/>
    <n v="12676"/>
    <n v="275"/>
    <x v="4"/>
    <s v="CybertruckLaunch"/>
    <n v="7.57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8.31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4.01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8.19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3.5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6.19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4.66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8.56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5.34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4.3600000000000003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9.43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8.5500000000000007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7.24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3.91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8.02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9.24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8.59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8.5500000000000007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2.09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4.97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5.9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8.25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5.22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5.68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2.46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7.32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2.69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6.37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4.2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6.66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7.74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4.68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2.2200000000000002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2.56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5.23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2.0099999999999998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6.95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6.99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7.3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3.85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8.33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5.12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1.8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5.53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7.5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4.5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5.3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2.44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3.16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3.55"/>
  </r>
  <r>
    <s v="P040"/>
    <s v="Twitter"/>
    <d v="2025-03-07T00:00:00"/>
    <x v="3"/>
    <s v="Check out our latest image on twitter!"/>
    <n v="4750"/>
    <n v="151"/>
    <n v="415"/>
    <n v="38000"/>
    <n v="37792"/>
    <n v="299"/>
    <x v="4"/>
    <s v="SustainabilityDrive"/>
    <n v="7.57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8.31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4.01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8.19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3.5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6.19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4.66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8.56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5.34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4.3600000000000003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9.43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8.5500000000000007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7.24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3.91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8.02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9.24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8.59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8.5500000000000007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2.09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4.97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5.9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8.25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5.22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5.68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2.46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7.32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2.69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6.37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4.2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6.66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7.74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4.68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2.2200000000000002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2.56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5.23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2.0099999999999998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6.95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6.99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7.3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3.85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8.33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5.12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1.8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5.53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7.5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4.5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5.3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2.44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3.16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3.55"/>
  </r>
  <r>
    <s v="P044"/>
    <s v="Twitter"/>
    <d v="2025-03-02T00:00:00"/>
    <x v="3"/>
    <s v="Check out our latest image on twitter!"/>
    <n v="2358"/>
    <n v="784"/>
    <n v="344"/>
    <n v="35370"/>
    <n v="34475"/>
    <n v="216"/>
    <x v="2"/>
    <m/>
    <n v="7.57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8.31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4.01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8.19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3.5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6.19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4.66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8.56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5.34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4.3600000000000003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9.43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8.5500000000000007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7.24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3.91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8.02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9.24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8.59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8.5500000000000007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2.09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4.97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5.9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8.25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5.22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5.68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2.46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7.32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2.69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6.37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4.2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6.66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7.74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4.68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2.2200000000000002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2.56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5.23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2.0099999999999998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6.95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6.99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7.3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3.85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8.33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5.12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1.8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5.53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7.5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4.5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5.3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2.44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3.16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3.55"/>
  </r>
  <r>
    <s v="P046"/>
    <s v="Twitter"/>
    <d v="2025-05-02T00:00:00"/>
    <x v="4"/>
    <s v="Check out our latest video on twitter!"/>
    <n v="1108"/>
    <n v="177"/>
    <n v="212"/>
    <n v="8864"/>
    <n v="8710"/>
    <n v="97"/>
    <x v="2"/>
    <s v="SustainabilityDrive"/>
    <n v="7.57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8.31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4.01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8.19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3.5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6.19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4.66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8.56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5.34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4.3600000000000003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9.43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8.5500000000000007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7.24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3.91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8.02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9.24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8.59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8.5500000000000007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2.09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4.97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5.9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8.25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5.22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5.68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2.46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7.32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2.69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6.37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4.2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6.66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7.74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4.68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2.2200000000000002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2.56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5.23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2.0099999999999998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6.95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6.99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7.3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3.85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8.33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5.12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1.8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5.53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7.5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4.5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5.3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2.44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3.16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3.55"/>
  </r>
  <r>
    <s v="P047"/>
    <s v="Twitter"/>
    <d v="2025-02-24T00:00:00"/>
    <x v="2"/>
    <s v="Check out our latest carousel on twitter!"/>
    <n v="2704"/>
    <n v="752"/>
    <n v="153"/>
    <n v="21632"/>
    <n v="20792"/>
    <n v="127"/>
    <x v="0"/>
    <m/>
    <n v="7.57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8.31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4.01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8.19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3.5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6.19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4.66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8.56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5.34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4.3600000000000003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9.43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8.5500000000000007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7.24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3.91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8.02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9.24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8.59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8.5500000000000007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2.09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4.97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5.9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8.25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5.22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5.68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2.46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7.32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2.69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6.37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4.2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6.66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7.74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4.68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2.2200000000000002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2.56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5.23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2.0099999999999998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6.95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6.99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7.3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3.85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8.33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5.12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1.8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5.53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7.5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4.5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5.3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2.44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3.16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3.55"/>
  </r>
  <r>
    <s v="P048"/>
    <s v="Twitter"/>
    <d v="2025-03-11T00:00:00"/>
    <x v="5"/>
    <s v="Check out our latest story on twitter!"/>
    <n v="1950"/>
    <n v="295"/>
    <n v="478"/>
    <n v="37050"/>
    <n v="36272"/>
    <n v="119"/>
    <x v="2"/>
    <m/>
    <n v="7.57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8.31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4.01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8.19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3.5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6.19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4.66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8.56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5.34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4.3600000000000003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9.43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8.5500000000000007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7.24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3.91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8.02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9.24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8.59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8.5500000000000007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2.09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4.97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5.9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8.25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5.22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5.68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2.46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7.32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2.69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6.37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4.2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6.66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7.74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4.68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2.2200000000000002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2.56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5.23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2.0099999999999998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6.95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6.99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7.3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3.85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8.33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5.12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1.8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5.53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7.5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4.5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5.3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2.44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3.16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3.55"/>
  </r>
  <r>
    <s v="P049"/>
    <s v="Twitter"/>
    <d v="2024-06-10T00:00:00"/>
    <x v="5"/>
    <s v="Check out our latest story on twitter!"/>
    <n v="2164"/>
    <n v="549"/>
    <n v="274"/>
    <n v="28132"/>
    <n v="27361"/>
    <n v="177"/>
    <x v="2"/>
    <s v="SustainabilityDrive"/>
    <n v="7.57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8.31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4.01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8.19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3.5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6.19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4.66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8.56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5.34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4.3600000000000003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9.43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8.5500000000000007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7.24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3.91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8.02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9.24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8.59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8.5500000000000007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2.09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4.97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5.9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8.25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5.22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5.68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2.46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7.32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2.69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6.37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4.2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6.66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7.74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4.68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2.2200000000000002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2.56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5.23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2.0099999999999998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6.95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6.99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7.3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3.85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8.33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5.12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1.8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5.53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7.5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4.5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5.3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2.44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3.16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3.55"/>
  </r>
  <r>
    <s v="P057"/>
    <s v="Twitter"/>
    <d v="2024-10-21T00:00:00"/>
    <x v="4"/>
    <s v="Check out our latest video on twitter!"/>
    <n v="2825"/>
    <n v="535"/>
    <n v="295"/>
    <n v="45200"/>
    <n v="44739"/>
    <n v="169"/>
    <x v="2"/>
    <s v="CybertruckLaunch"/>
    <n v="7.57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8.31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4.01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8.19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3.5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6.19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4.66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8.56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5.34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4.3600000000000003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9.43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8.5500000000000007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7.24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3.91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8.02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9.24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8.59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8.5500000000000007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2.09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4.97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5.9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8.25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5.22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5.68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2.46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7.32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2.69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6.37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4.2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6.66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7.74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4.68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2.2200000000000002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2.56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5.23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2.0099999999999998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6.95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6.99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7.3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3.85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8.33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5.12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1.8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5.53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7.5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4.5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5.3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2.44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3.16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3.55"/>
  </r>
  <r>
    <s v="P061"/>
    <s v="Twitter"/>
    <d v="2024-09-05T00:00:00"/>
    <x v="4"/>
    <s v="Check out our latest video on twitter!"/>
    <n v="4886"/>
    <n v="983"/>
    <n v="409"/>
    <n v="43974"/>
    <n v="43239"/>
    <n v="65"/>
    <x v="2"/>
    <s v="CybertruckLaunch"/>
    <n v="7.57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8.31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4.01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8.19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3.5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6.19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4.66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8.56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5.34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4.3600000000000003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9.43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8.5500000000000007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7.24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3.91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8.02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9.24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8.59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8.5500000000000007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2.09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4.97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5.9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8.25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5.22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5.68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2.46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7.32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2.69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6.37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4.2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6.66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7.74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4.68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2.2200000000000002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2.56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5.23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2.0099999999999998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6.95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6.99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7.3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3.85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8.33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5.12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1.8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5.53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7.5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4.5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5.3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2.44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3.16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3.55"/>
  </r>
  <r>
    <s v="P062"/>
    <s v="Twitter"/>
    <d v="2024-11-22T00:00:00"/>
    <x v="2"/>
    <s v="Check out our latest carousel on twitter!"/>
    <n v="53"/>
    <n v="81"/>
    <n v="379"/>
    <n v="954"/>
    <n v="7"/>
    <n v="148"/>
    <x v="2"/>
    <s v="FSDUpdate"/>
    <n v="7.57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8.31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4.01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8.19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3.5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6.19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4.66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8.56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5.34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4.3600000000000003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9.43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8.5500000000000007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7.24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3.91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8.02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9.24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8.59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8.5500000000000007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2.09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4.97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5.9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8.25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5.22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5.68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2.46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7.32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2.69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6.37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4.2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6.66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7.74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4.68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2.2200000000000002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2.56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5.23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2.0099999999999998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6.95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6.99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7.3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3.85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8.33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5.12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1.8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5.53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7.5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4.5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5.3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2.44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3.16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3.55"/>
  </r>
  <r>
    <s v="P063"/>
    <s v="Twitter"/>
    <d v="2024-07-31T00:00:00"/>
    <x v="2"/>
    <s v="Check out our latest carousel on twitter!"/>
    <n v="4507"/>
    <n v="217"/>
    <n v="13"/>
    <n v="90140"/>
    <n v="89591"/>
    <n v="125"/>
    <x v="0"/>
    <s v="FSDUpdate"/>
    <n v="7.57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8.31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4.01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8.19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3.5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6.19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4.66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8.56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5.34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4.3600000000000003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9.43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8.5500000000000007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7.24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3.91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8.02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9.24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8.59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8.5500000000000007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2.09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4.97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5.9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8.25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5.22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5.68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2.46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7.32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2.69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6.37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4.2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6.66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7.74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4.68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2.2200000000000002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2.56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5.23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2.0099999999999998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6.95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6.99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7.3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3.85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8.33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5.12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1.8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5.53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7.5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4.5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5.3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2.44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3.16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3.55"/>
  </r>
  <r>
    <s v="P066"/>
    <s v="Twitter"/>
    <d v="2024-07-26T00:00:00"/>
    <x v="2"/>
    <s v="Check out our latest carousel on twitter!"/>
    <n v="432"/>
    <n v="171"/>
    <n v="280"/>
    <n v="3024"/>
    <n v="2285"/>
    <n v="184"/>
    <x v="4"/>
    <s v="CybertruckLaunch"/>
    <n v="7.57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8.31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4.01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8.19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3.5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6.19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4.66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8.56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5.34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4.3600000000000003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9.43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8.5500000000000007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7.24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3.91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8.02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9.24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8.59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8.5500000000000007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2.09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4.97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5.9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8.25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5.22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5.68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2.46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7.32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2.69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6.37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4.2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6.66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7.74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4.68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2.2200000000000002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2.56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5.23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2.0099999999999998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6.95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6.99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7.3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3.85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8.33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5.12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1.8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5.53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7.5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4.5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5.3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2.44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3.16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3.55"/>
  </r>
  <r>
    <s v="P069"/>
    <s v="Twitter"/>
    <d v="2025-03-08T00:00:00"/>
    <x v="1"/>
    <s v="Check out our latest text on twitter!"/>
    <n v="1292"/>
    <n v="626"/>
    <n v="496"/>
    <n v="25840"/>
    <n v="24916"/>
    <n v="149"/>
    <x v="0"/>
    <s v="FSDUpdate"/>
    <n v="7.57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8.31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4.01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8.19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3.5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6.19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4.66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8.56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5.34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4.3600000000000003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9.43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8.5500000000000007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7.24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3.91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8.02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9.24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8.59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8.5500000000000007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2.09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4.97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5.9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8.25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5.22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5.68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2.46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7.32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2.69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6.37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4.2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6.66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7.74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4.68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2.2200000000000002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2.56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5.23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2.0099999999999998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6.95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6.99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7.3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3.85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8.33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5.12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1.8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5.53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7.5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4.5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5.3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2.44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3.16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3.55"/>
  </r>
  <r>
    <s v="P076"/>
    <s v="Twitter"/>
    <d v="2024-11-07T00:00:00"/>
    <x v="5"/>
    <s v="Check out our latest story on twitter!"/>
    <n v="1121"/>
    <n v="135"/>
    <n v="18"/>
    <n v="15694"/>
    <n v="14957"/>
    <n v="99"/>
    <x v="2"/>
    <s v="SustainabilityDrive"/>
    <n v="7.57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8.31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4.01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8.19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3.5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6.19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4.66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8.56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5.34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4.3600000000000003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9.43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8.5500000000000007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7.24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3.91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8.02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9.24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8.59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8.5500000000000007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2.09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4.97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5.9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8.25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5.22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5.68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2.46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7.32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2.69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6.37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4.2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6.66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7.74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4.68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2.2200000000000002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2.56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5.23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2.0099999999999998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6.95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6.99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7.3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3.85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8.33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5.12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1.8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5.53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7.5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4.5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5.3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2.44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3.16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3.55"/>
  </r>
  <r>
    <s v="P078"/>
    <s v="Twitter"/>
    <d v="2024-06-17T00:00:00"/>
    <x v="3"/>
    <s v="Check out our latest image on twitter!"/>
    <n v="954"/>
    <n v="324"/>
    <n v="288"/>
    <n v="19080"/>
    <n v="18859"/>
    <n v="21"/>
    <x v="0"/>
    <s v="SustainabilityDrive"/>
    <n v="7.57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8.31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4.01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8.19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3.5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6.19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4.66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8.56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5.34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4.3600000000000003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9.43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8.5500000000000007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7.24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3.91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8.02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9.24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8.59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8.5500000000000007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2.09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4.97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5.9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8.25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5.22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5.68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2.46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7.32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2.69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6.37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4.2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6.66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7.74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4.68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2.2200000000000002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2.56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5.23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2.0099999999999998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6.95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6.99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7.3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3.85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8.33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5.12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1.8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5.53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7.5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4.5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5.3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2.44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3.16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3.55"/>
  </r>
  <r>
    <s v="P087"/>
    <s v="Twitter"/>
    <d v="2024-06-06T00:00:00"/>
    <x v="4"/>
    <s v="Check out our latest video on twitter!"/>
    <n v="1436"/>
    <n v="765"/>
    <n v="496"/>
    <n v="12924"/>
    <n v="12701"/>
    <n v="197"/>
    <x v="0"/>
    <s v="FSDUpdate"/>
    <n v="7.57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8.31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4.01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8.19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3.5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6.19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4.66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8.56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5.34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4.3600000000000003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9.43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8.5500000000000007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7.24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3.91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8.02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9.24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8.59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8.5500000000000007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2.09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4.97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5.9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8.25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5.22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5.68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2.46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7.32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2.69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6.37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4.2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6.66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7.74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4.68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2.2200000000000002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2.56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5.23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2.0099999999999998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6.95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6.99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7.3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3.85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8.33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5.12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1.8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5.53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7.5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4.5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5.3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2.44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3.16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3.55"/>
  </r>
  <r>
    <s v="P089"/>
    <s v="Twitter"/>
    <d v="2025-01-10T00:00:00"/>
    <x v="3"/>
    <s v="Check out our latest image on twitter!"/>
    <n v="2214"/>
    <n v="249"/>
    <n v="152"/>
    <n v="15498"/>
    <n v="14800"/>
    <n v="180"/>
    <x v="4"/>
    <m/>
    <n v="7.57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8.31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4.01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8.19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3.5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6.19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4.66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8.56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5.34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4.3600000000000003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9.43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8.5500000000000007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7.24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3.91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8.02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9.24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8.59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8.5500000000000007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2.09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4.97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5.9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8.25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5.22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5.68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2.46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7.32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2.69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6.37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4.2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6.66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7.74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4.68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2.2200000000000002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2.56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5.23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2.0099999999999998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6.95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6.99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7.3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3.85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8.33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5.12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1.8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5.53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7.5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4.5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5.3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2.44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3.16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3.55"/>
  </r>
  <r>
    <s v="P092"/>
    <s v="Twitter"/>
    <d v="2024-10-21T00:00:00"/>
    <x v="5"/>
    <s v="Check out our latest story on twitter!"/>
    <n v="3801"/>
    <n v="967"/>
    <n v="401"/>
    <n v="38010"/>
    <n v="37625"/>
    <n v="236"/>
    <x v="0"/>
    <s v="FSDUpdate"/>
    <n v="7.57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8.31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4.01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8.19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3.5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6.19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4.66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8.56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5.34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4.3600000000000003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9.43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8.5500000000000007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7.24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3.91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8.02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9.24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8.59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8.5500000000000007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2.09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4.97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5.9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8.25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5.22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5.68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2.46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7.32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2.69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6.37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4.2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6.66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7.74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4.68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2.2200000000000002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2.56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5.23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2.0099999999999998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6.95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6.99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7.3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3.85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8.33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5.12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1.8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5.53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7.5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4.5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5.3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2.44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3.16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3.55"/>
  </r>
  <r>
    <s v="P096"/>
    <s v="Twitter"/>
    <d v="2024-09-10T00:00:00"/>
    <x v="3"/>
    <s v="Check out our latest image on twitter!"/>
    <n v="1238"/>
    <n v="366"/>
    <n v="444"/>
    <n v="19808"/>
    <n v="19334"/>
    <n v="123"/>
    <x v="0"/>
    <m/>
    <n v="7.57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8.31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4.01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8.19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3.5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6.19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4.66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8.56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5.34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4.3600000000000003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9.43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8.5500000000000007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7.24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3.91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8.02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9.24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8.59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8.5500000000000007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2.09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4.97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5.9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8.25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5.22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5.68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2.46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7.32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2.69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6.37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4.2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6.66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7.74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4.68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2.2200000000000002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2.56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5.23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2.0099999999999998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6.95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6.99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7.3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3.85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8.33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5.12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1.8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5.53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7.5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4.5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5.3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2.44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3.16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3.55"/>
  </r>
  <r>
    <s v="P098"/>
    <s v="Twitter"/>
    <d v="2024-06-10T00:00:00"/>
    <x v="5"/>
    <s v="Check out our latest story on twitter!"/>
    <n v="1575"/>
    <n v="771"/>
    <n v="486"/>
    <n v="25200"/>
    <n v="24826"/>
    <n v="17"/>
    <x v="0"/>
    <s v="SustainabilityDrive"/>
    <n v="7.57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8.31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4.01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8.19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3.5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6.19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4.66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8.56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5.34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4.3600000000000003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9.43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8.5500000000000007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7.24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3.91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8.02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9.24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8.59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8.5500000000000007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2.09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4.97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5.9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8.25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5.22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5.68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2.46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7.32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2.69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6.37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4.2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6.66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7.74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4.68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2.2200000000000002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2.56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5.23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2.0099999999999998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6.95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6.99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7.3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3.85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8.33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5.12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1.8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5.53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7.5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4.5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5.3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2.44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3.16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3.55"/>
  </r>
  <r>
    <s v="P102"/>
    <s v="Twitter"/>
    <d v="2024-09-18T00:00:00"/>
    <x v="0"/>
    <s v="Check out our latest reel on twitter!"/>
    <n v="1000"/>
    <n v="978"/>
    <n v="162"/>
    <n v="6000"/>
    <n v="5221"/>
    <n v="223"/>
    <x v="4"/>
    <s v="ModelYCampaign"/>
    <n v="7.57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8.31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4.01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8.19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3.5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6.19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4.66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8.56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5.34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4.3600000000000003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9.43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8.5500000000000007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7.24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3.91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8.02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9.24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8.59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8.5500000000000007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2.09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4.97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5.9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8.25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5.22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5.68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2.46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7.32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2.69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6.37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4.2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6.66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7.74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4.68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2.2200000000000002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2.56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5.23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2.0099999999999998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6.95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6.99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7.3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3.85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8.33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5.12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1.8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5.53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7.5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4.5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5.3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2.44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3.16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3.55"/>
  </r>
  <r>
    <s v="P108"/>
    <s v="Twitter"/>
    <d v="2025-03-25T00:00:00"/>
    <x v="4"/>
    <s v="Check out our latest video on twitter!"/>
    <n v="4050"/>
    <n v="871"/>
    <n v="347"/>
    <n v="52650"/>
    <n v="51755"/>
    <n v="209"/>
    <x v="2"/>
    <s v="ModelYCampaign"/>
    <n v="7.57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8.31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4.01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8.19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3.5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6.19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4.66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8.56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5.34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4.3600000000000003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9.43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8.5500000000000007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7.24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3.91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8.02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9.24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8.59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8.5500000000000007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2.09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4.97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5.9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8.25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5.22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5.68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2.46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7.32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2.69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6.37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4.2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6.66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7.74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4.68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2.2200000000000002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2.56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5.23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2.0099999999999998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6.95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6.99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7.3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3.85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8.33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5.12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1.8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5.53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7.5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4.5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5.3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2.44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3.16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3.55"/>
  </r>
  <r>
    <s v="P109"/>
    <s v="Twitter"/>
    <d v="2024-08-08T00:00:00"/>
    <x v="5"/>
    <s v="Check out our latest story on twitter!"/>
    <n v="3649"/>
    <n v="215"/>
    <n v="413"/>
    <n v="25543"/>
    <n v="24963"/>
    <n v="167"/>
    <x v="0"/>
    <s v="FSDUpdate"/>
    <n v="7.57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8.31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4.01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8.19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3.5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6.19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4.66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8.56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5.34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4.3600000000000003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9.43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8.5500000000000007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7.24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3.91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8.02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9.24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8.59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8.5500000000000007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2.09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4.97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5.9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8.25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5.22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5.68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2.46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7.32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2.69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6.37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4.2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6.66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7.74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4.68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2.2200000000000002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2.56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5.23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2.0099999999999998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6.95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6.99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7.3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3.85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8.33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5.12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1.8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5.53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7.5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4.5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5.3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2.44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3.16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3.55"/>
  </r>
  <r>
    <s v="P112"/>
    <s v="Twitter"/>
    <d v="2024-10-05T00:00:00"/>
    <x v="5"/>
    <s v="Check out our latest story on twitter!"/>
    <n v="1957"/>
    <n v="877"/>
    <n v="238"/>
    <n v="17613"/>
    <n v="16865"/>
    <n v="297"/>
    <x v="0"/>
    <s v="FSDUpdate"/>
    <n v="7.57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8.31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4.01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8.19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3.5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6.19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4.66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8.56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5.34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4.3600000000000003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9.43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8.5500000000000007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7.24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3.91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8.02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9.24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8.59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8.5500000000000007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2.09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4.97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5.9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8.25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5.22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5.68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2.46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7.32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2.69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6.37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4.2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6.66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7.74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4.68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2.2200000000000002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2.56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5.23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2.0099999999999998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6.95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6.99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7.3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3.85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8.33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5.12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1.8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5.53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7.5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4.5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5.3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2.44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3.16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3.55"/>
  </r>
  <r>
    <s v="P113"/>
    <s v="Twitter"/>
    <d v="2024-10-02T00:00:00"/>
    <x v="2"/>
    <s v="Check out our latest carousel on twitter!"/>
    <n v="4419"/>
    <n v="236"/>
    <n v="369"/>
    <n v="44190"/>
    <n v="43582"/>
    <n v="10"/>
    <x v="4"/>
    <s v="CybertruckLaunch"/>
    <n v="7.57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8.31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4.01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8.19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3.5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6.19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4.66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8.56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5.34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4.3600000000000003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9.43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8.5500000000000007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7.24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3.91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8.02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9.24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8.59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8.5500000000000007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2.09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4.97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5.9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8.25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5.22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5.68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2.46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7.32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2.69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6.37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4.2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6.66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7.74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4.68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2.2200000000000002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2.56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5.23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2.0099999999999998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6.95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6.99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7.3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3.85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8.33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5.12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1.8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5.53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7.5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4.5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5.3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2.44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3.16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3.55"/>
  </r>
  <r>
    <s v="P114"/>
    <s v="Twitter"/>
    <d v="2024-11-14T00:00:00"/>
    <x v="5"/>
    <s v="Check out our latest story on twitter!"/>
    <n v="4000"/>
    <n v="689"/>
    <n v="488"/>
    <n v="40000"/>
    <n v="39569"/>
    <n v="44"/>
    <x v="0"/>
    <s v="CybertruckLaunch"/>
    <n v="7.57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8.31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4.01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8.19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3.5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6.19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4.66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8.56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5.34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4.3600000000000003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9.43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8.5500000000000007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7.24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3.91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8.02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9.24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8.59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8.5500000000000007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2.09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4.97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5.9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8.25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5.22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5.68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2.46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7.32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2.69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6.37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4.2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6.66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7.74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4.68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2.2200000000000002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2.56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5.23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2.0099999999999998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6.95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6.99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7.3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3.85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8.33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5.12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1.8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5.53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7.5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4.5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5.3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2.44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3.16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3.55"/>
  </r>
  <r>
    <s v="P115"/>
    <s v="Twitter"/>
    <d v="2025-05-11T00:00:00"/>
    <x v="3"/>
    <s v="Check out our latest image on twitter!"/>
    <n v="2493"/>
    <n v="97"/>
    <n v="44"/>
    <n v="42381"/>
    <n v="41991"/>
    <n v="242"/>
    <x v="2"/>
    <s v="SustainabilityDrive"/>
    <n v="7.57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8.31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4.01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8.19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3.5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6.19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4.66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8.56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5.34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4.3600000000000003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9.43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8.5500000000000007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7.24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3.91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8.02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9.24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8.59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8.5500000000000007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2.09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4.97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5.9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8.25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5.22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5.68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2.46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7.32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2.69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6.37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4.2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6.66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7.74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4.68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2.2200000000000002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2.56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5.23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2.0099999999999998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6.95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6.99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7.3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3.85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8.33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5.12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1.8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5.53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7.5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4.5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5.3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2.44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3.16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3.55"/>
  </r>
  <r>
    <s v="P115"/>
    <s v="Twitter"/>
    <d v="2025-05-11T00:00:00"/>
    <x v="3"/>
    <s v="Check out our latest image on twitter!"/>
    <n v="2493"/>
    <n v="97"/>
    <n v="44"/>
    <n v="42381"/>
    <n v="41991"/>
    <n v="242"/>
    <x v="1"/>
    <s v="SustainabilityDrive"/>
    <n v="7.57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8.31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4.01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8.19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3.5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6.19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4.66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8.56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5.34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4.3600000000000003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9.43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8.5500000000000007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7.24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3.91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8.02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9.24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8.59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8.5500000000000007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2.09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4.97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5.9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8.25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5.22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5.68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2.46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7.32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2.69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6.37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4.2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6.66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7.74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4.68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2.2200000000000002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2.56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5.23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2.0099999999999998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6.95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6.99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7.3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3.85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8.33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5.12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1.8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5.53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7.5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4.5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5.3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2.44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3.16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3.55"/>
  </r>
  <r>
    <s v="P117"/>
    <s v="Twitter"/>
    <d v="2024-11-04T00:00:00"/>
    <x v="3"/>
    <s v="Check out our latest image on twitter!"/>
    <n v="1606"/>
    <n v="451"/>
    <n v="405"/>
    <n v="20878"/>
    <n v="20190"/>
    <n v="219"/>
    <x v="4"/>
    <s v="SustainabilityDrive"/>
    <n v="7.57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8.31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4.01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8.19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3.5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6.19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4.66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8.56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5.34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4.3600000000000003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9.43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8.5500000000000007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7.24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3.91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8.02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9.24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8.59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8.5500000000000007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2.09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4.97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5.9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8.25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5.22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5.68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2.46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7.32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2.69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6.37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4.2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6.66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7.74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4.68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2.2200000000000002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2.56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5.23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2.0099999999999998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6.95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6.99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7.3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3.85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8.33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5.12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1.8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5.53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7.5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4.5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5.3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2.44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3.16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3.55"/>
  </r>
  <r>
    <s v="P125"/>
    <s v="Twitter"/>
    <d v="2024-09-08T00:00:00"/>
    <x v="2"/>
    <s v="Check out our latest carousel on twitter!"/>
    <n v="3811"/>
    <n v="866"/>
    <n v="216"/>
    <n v="34299"/>
    <n v="34088"/>
    <n v="233"/>
    <x v="2"/>
    <s v="SustainabilityDrive"/>
    <n v="7.57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8.31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4.01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8.19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3.5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6.19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4.66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8.56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5.34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4.3600000000000003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9.43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8.5500000000000007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7.24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3.91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8.02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9.24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8.59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8.5500000000000007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2.09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4.97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5.9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8.25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5.22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5.68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2.46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7.32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2.69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6.37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4.2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6.66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7.74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4.68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2.2200000000000002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2.56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5.23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2.0099999999999998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6.95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6.99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7.3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3.85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8.33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5.12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1.8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5.53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7.5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4.5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5.3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2.44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3.16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3.55"/>
  </r>
  <r>
    <s v="P128"/>
    <s v="Twitter"/>
    <d v="2025-01-10T00:00:00"/>
    <x v="3"/>
    <s v="Check out our latest image on twitter!"/>
    <n v="3092"/>
    <n v="106"/>
    <n v="291"/>
    <n v="27828"/>
    <n v="27217"/>
    <n v="102"/>
    <x v="0"/>
    <m/>
    <n v="7.57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8.31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4.01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8.19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3.5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6.19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4.66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8.56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5.34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4.3600000000000003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9.43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8.5500000000000007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7.24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3.91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8.02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9.24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8.59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8.5500000000000007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2.09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4.97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5.9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8.25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5.22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5.68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2.46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7.32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2.69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6.37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4.2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6.66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7.74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4.68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2.2200000000000002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2.56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5.23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2.0099999999999998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6.95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6.99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7.3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3.85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8.33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5.12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1.8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5.53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7.5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4.5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5.3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2.44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3.16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3.55"/>
  </r>
  <r>
    <s v="P129"/>
    <s v="Twitter"/>
    <d v="2024-07-21T00:00:00"/>
    <x v="1"/>
    <s v="Check out our latest text on twitter!"/>
    <n v="2147"/>
    <n v="430"/>
    <n v="393"/>
    <n v="17176"/>
    <n v="16483"/>
    <n v="170"/>
    <x v="2"/>
    <m/>
    <n v="7.57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8.31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4.01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8.19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3.5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6.19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4.66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8.56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5.34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4.3600000000000003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9.43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8.5500000000000007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7.24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3.91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8.02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9.24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8.59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8.5500000000000007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2.09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4.97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5.9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8.25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5.22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5.68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2.46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7.32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2.69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6.37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4.2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6.66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7.74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4.68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2.2200000000000002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2.56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5.23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2.0099999999999998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6.95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6.99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7.3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3.85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8.33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5.12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1.8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5.53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7.5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4.5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5.3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2.44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3.16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3.55"/>
  </r>
  <r>
    <s v="P134"/>
    <s v="Twitter"/>
    <d v="2025-04-24T00:00:00"/>
    <x v="0"/>
    <s v="Check out our latest reel on twitter!"/>
    <n v="3731"/>
    <n v="115"/>
    <n v="135"/>
    <n v="55965"/>
    <n v="55436"/>
    <n v="103"/>
    <x v="2"/>
    <s v="CybertruckLaunch"/>
    <n v="7.57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8.31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4.01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8.19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3.5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6.19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4.66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8.56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5.34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4.3600000000000003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9.43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8.5500000000000007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7.24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3.91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8.02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9.24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8.59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8.5500000000000007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2.09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4.97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5.9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8.25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5.22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5.68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2.46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7.32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2.69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6.37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4.2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6.66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7.74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4.68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2.2200000000000002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2.56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5.23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2.0099999999999998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6.95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6.99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7.3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3.85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8.33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5.12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1.8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5.53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7.5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4.5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5.3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2.44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3.16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3.55"/>
  </r>
  <r>
    <s v="P138"/>
    <s v="Twitter"/>
    <d v="2025-03-29T00:00:00"/>
    <x v="3"/>
    <s v="Check out our latest image on twitter!"/>
    <n v="305"/>
    <n v="187"/>
    <n v="243"/>
    <n v="4575"/>
    <n v="3704"/>
    <n v="234"/>
    <x v="0"/>
    <s v="FSDUpdate"/>
    <n v="7.57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8.31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4.01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8.19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3.5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6.19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4.66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8.56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5.34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4.3600000000000003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9.43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8.5500000000000007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7.24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3.91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8.02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9.24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8.59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8.5500000000000007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2.09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4.97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5.9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8.25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5.22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5.68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2.46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7.32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2.69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6.37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4.2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6.66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7.74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4.68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2.2200000000000002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2.56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5.23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2.0099999999999998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6.95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6.99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7.3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3.85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8.33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5.12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1.8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5.53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7.5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4.5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5.3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2.44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3.16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3.55"/>
  </r>
  <r>
    <s v="P141"/>
    <s v="Twitter"/>
    <d v="2024-08-31T00:00:00"/>
    <x v="3"/>
    <s v="Check out our latest image on twitter!"/>
    <n v="3170"/>
    <n v="857"/>
    <n v="379"/>
    <n v="19020"/>
    <n v="18559"/>
    <n v="240"/>
    <x v="0"/>
    <m/>
    <n v="7.57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8.31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4.01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8.19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3.5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6.19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4.66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8.56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5.34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4.3600000000000003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9.43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8.5500000000000007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7.24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3.91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8.02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9.24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8.59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8.5500000000000007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2.09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4.97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5.9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8.25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5.22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5.68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2.46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7.32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2.69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6.37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4.2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6.66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7.74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4.68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2.2200000000000002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2.56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5.23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2.0099999999999998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6.95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6.99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7.3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3.85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8.33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5.12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1.8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5.53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7.5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4.5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5.3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2.44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3.16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3.55"/>
  </r>
  <r>
    <s v="P149"/>
    <s v="Twitter"/>
    <d v="2024-06-16T00:00:00"/>
    <x v="4"/>
    <s v="Check out our latest video on twitter!"/>
    <n v="1702"/>
    <n v="750"/>
    <n v="179"/>
    <n v="34040"/>
    <n v="33174"/>
    <n v="76"/>
    <x v="4"/>
    <s v="CybertruckLaunch"/>
    <n v="7.57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8.31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4.01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8.19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3.5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6.19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4.66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8.56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5.34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4.3600000000000003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9.43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8.5500000000000007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7.24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3.91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8.02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9.24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8.59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8.5500000000000007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2.09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4.97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5.9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8.25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5.22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5.68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2.46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7.32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2.69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6.37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4.2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6.66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7.74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4.68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2.2200000000000002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2.56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5.23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2.0099999999999998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6.95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6.99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7.3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3.85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8.33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5.12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1.8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5.53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7.5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4.5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5.3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2.44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3.16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3.55"/>
  </r>
  <r>
    <s v="P153"/>
    <s v="Twitter"/>
    <d v="2025-01-01T00:00:00"/>
    <x v="4"/>
    <s v="Check out our latest video on twitter!"/>
    <n v="754"/>
    <n v="197"/>
    <n v="257"/>
    <n v="6786"/>
    <n v="6221"/>
    <n v="212"/>
    <x v="2"/>
    <s v="FSDUpdate"/>
    <n v="7.57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8.31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4.01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8.19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3.5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6.19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4.66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8.56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5.34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4.3600000000000003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9.43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8.5500000000000007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7.24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3.91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8.02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9.24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8.59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8.5500000000000007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2.09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4.97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5.9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8.25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5.22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5.68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2.46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7.32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2.69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6.37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4.2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6.66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7.74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4.68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2.2200000000000002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2.56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5.23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2.0099999999999998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6.95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6.99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7.3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3.85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8.33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5.12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1.8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5.53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7.5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4.5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5.3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2.44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3.16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3.55"/>
  </r>
  <r>
    <s v="P160"/>
    <s v="Twitter"/>
    <d v="2024-08-24T00:00:00"/>
    <x v="4"/>
    <s v="Check out our latest video on twitter!"/>
    <n v="1082"/>
    <n v="209"/>
    <n v="484"/>
    <n v="19476"/>
    <n v="18654"/>
    <n v="20"/>
    <x v="2"/>
    <m/>
    <n v="7.57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8.31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4.01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8.19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3.5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6.19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4.66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8.56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5.34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4.3600000000000003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9.43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8.5500000000000007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7.24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3.91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8.02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9.24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8.59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8.5500000000000007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2.09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4.97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5.9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8.25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5.22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5.68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2.46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7.32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2.69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6.37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4.2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6.66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7.74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4.68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2.2200000000000002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2.56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5.23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2.0099999999999998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6.95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6.99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7.3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3.85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8.33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5.12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1.8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5.53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7.5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4.5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5.3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2.44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3.16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3.55"/>
  </r>
  <r>
    <s v="P161"/>
    <s v="Twitter"/>
    <d v="2025-02-19T00:00:00"/>
    <x v="1"/>
    <s v="Check out our latest text on twitter!"/>
    <n v="4671"/>
    <n v="876"/>
    <n v="366"/>
    <n v="51381"/>
    <n v="50565"/>
    <n v="245"/>
    <x v="2"/>
    <s v="SustainabilityDrive"/>
    <n v="7.57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8.31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4.01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8.19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3.5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6.19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4.66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8.56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5.34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4.3600000000000003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9.43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8.5500000000000007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7.24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3.91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8.02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9.24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8.59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8.5500000000000007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2.09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4.97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5.9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8.25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5.22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5.68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2.46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7.32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2.69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6.37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4.2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6.66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7.74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4.68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2.2200000000000002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2.56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5.23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2.0099999999999998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6.95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6.99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7.3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3.85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8.33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5.12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1.8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5.53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7.5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4.5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5.3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2.44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3.16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3.55"/>
  </r>
  <r>
    <s v="P165"/>
    <s v="Twitter"/>
    <d v="2024-12-11T00:00:00"/>
    <x v="1"/>
    <s v="Check out our latest text on twitter!"/>
    <n v="3239"/>
    <n v="43"/>
    <n v="211"/>
    <n v="22673"/>
    <n v="22171"/>
    <n v="230"/>
    <x v="2"/>
    <s v="ModelYCampaign"/>
    <n v="7.57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8.31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4.01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8.19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3.5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6.19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4.66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8.56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5.34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4.3600000000000003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9.43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8.5500000000000007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7.24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3.91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8.02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9.24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8.59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8.5500000000000007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2.09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4.97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5.9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8.25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5.22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5.68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2.46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7.32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2.69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6.37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4.2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6.66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7.74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4.68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2.2200000000000002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2.56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5.23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2.0099999999999998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6.95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6.99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7.3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3.85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8.33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5.12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1.8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5.53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7.5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4.5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5.3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2.44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3.16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3.55"/>
  </r>
  <r>
    <s v="P166"/>
    <s v="Twitter"/>
    <d v="2025-02-16T00:00:00"/>
    <x v="0"/>
    <s v="Check out our latest reel on twitter!"/>
    <n v="1076"/>
    <n v="313"/>
    <n v="306"/>
    <n v="11836"/>
    <n v="11596"/>
    <n v="104"/>
    <x v="0"/>
    <s v="CybertruckLaunch"/>
    <n v="7.57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8.31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4.01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8.19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3.5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6.19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4.66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8.56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5.34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4.3600000000000003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9.43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8.5500000000000007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7.24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3.91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8.02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9.24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8.59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8.5500000000000007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2.09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4.97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5.9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8.25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5.22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5.68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2.46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7.32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2.69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6.37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4.2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6.66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7.74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4.68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2.2200000000000002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2.56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5.23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2.0099999999999998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6.95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6.99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7.3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3.85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8.33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5.12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1.8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5.53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7.5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4.5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5.3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2.44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3.16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3.55"/>
  </r>
  <r>
    <s v="P170"/>
    <s v="Twitter"/>
    <d v="2025-04-28T00:00:00"/>
    <x v="1"/>
    <s v="Check out our latest text on twitter!"/>
    <n v="3577"/>
    <n v="596"/>
    <n v="493"/>
    <n v="67963"/>
    <n v="67839"/>
    <n v="53"/>
    <x v="2"/>
    <s v="FSDUpdate"/>
    <n v="7.57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8.31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4.01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8.19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3.5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6.19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4.66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8.56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5.34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4.3600000000000003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9.43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8.5500000000000007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7.24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3.91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8.02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9.24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8.59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8.5500000000000007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2.09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4.97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5.9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8.25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5.22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5.68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2.46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7.32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2.69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6.37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4.2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6.66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7.74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4.68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2.2200000000000002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2.56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5.23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2.0099999999999998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6.95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6.99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7.3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3.85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8.33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5.12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1.8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5.53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7.5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4.5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5.3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2.44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3.16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3.55"/>
  </r>
  <r>
    <s v="P173"/>
    <s v="Twitter"/>
    <d v="2024-12-05T00:00:00"/>
    <x v="4"/>
    <s v="Check out our latest video on twitter!"/>
    <n v="1330"/>
    <n v="925"/>
    <n v="35"/>
    <n v="15960"/>
    <n v="15379"/>
    <n v="229"/>
    <x v="0"/>
    <s v="FSDUpdate"/>
    <n v="7.57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8.31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4.01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8.19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3.5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6.19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4.66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8.56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5.34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4.3600000000000003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9.43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8.5500000000000007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7.24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3.91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8.02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9.24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8.59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8.5500000000000007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2.09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4.97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5.9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8.25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5.22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5.68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2.46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7.32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2.69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6.37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4.2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6.66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7.74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4.68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2.2200000000000002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2.56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5.23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2.0099999999999998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6.95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6.99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7.3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3.85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8.33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5.12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1.8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5.53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7.5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4.5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5.3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2.44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3.16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3.55"/>
  </r>
  <r>
    <s v="P184"/>
    <s v="Twitter"/>
    <d v="2024-07-28T00:00:00"/>
    <x v="3"/>
    <s v="Check out our latest image on twitter!"/>
    <n v="3215"/>
    <n v="960"/>
    <n v="202"/>
    <n v="32150"/>
    <n v="31404"/>
    <n v="251"/>
    <x v="4"/>
    <s v="CybertruckLaunch"/>
    <n v="7.57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8.06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9.0500000000000007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2.46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6.92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9.36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8.74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3.74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7.88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4.05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7.8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6.2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3.25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5.71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7.16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9.09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3.4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2.36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3.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6.25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8.9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6.5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5.85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6.85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4.66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9.41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5.17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3.79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1.81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3.32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8.44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1.76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5.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3.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9.24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9.2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3.89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4.610000000000000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2.86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4.34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8.6199999999999992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7.2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7.74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1.5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6.27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3.19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6.73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6.8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5.69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6.09"/>
  </r>
  <r>
    <s v="P004"/>
    <s v="Instagram"/>
    <d v="2024-08-12T00:00:00"/>
    <x v="5"/>
    <s v="Check out our latest story on instagram!"/>
    <n v="2404"/>
    <n v="363"/>
    <n v="138"/>
    <n v="19232"/>
    <n v="18636"/>
    <n v="128"/>
    <x v="4"/>
    <s v="SustainabilityDrive"/>
    <n v="1.82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8.06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9.0500000000000007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2.46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6.92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9.36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8.74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3.74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7.88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4.05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7.8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6.2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3.25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5.71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7.16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9.09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3.4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2.36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3.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6.25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8.9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6.5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5.85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6.85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4.66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9.41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5.17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3.79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1.81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3.32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8.44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1.76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5.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3.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9.24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9.2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3.89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4.610000000000000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2.86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4.34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8.6199999999999992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7.2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7.74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1.5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6.27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3.19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6.73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6.8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5.69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6.09"/>
  </r>
  <r>
    <s v="P011"/>
    <s v="Instagram"/>
    <d v="2025-02-02T00:00:00"/>
    <x v="5"/>
    <s v="Check out our latest story on instagram!"/>
    <n v="1792"/>
    <n v="614"/>
    <n v="497"/>
    <n v="25088"/>
    <n v="24675"/>
    <n v="65"/>
    <x v="0"/>
    <s v="SustainabilityDrive"/>
    <n v="1.82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8.06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9.0500000000000007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2.46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6.92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9.36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8.74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3.74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7.88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4.05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7.8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6.2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3.25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5.71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7.16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9.09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3.4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2.36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3.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6.25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8.9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6.5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5.85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6.85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4.66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9.41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5.17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3.79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1.81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3.32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8.44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1.76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5.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3.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9.24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9.2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3.89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4.610000000000000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2.86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4.34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8.6199999999999992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7.2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7.74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1.5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6.27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3.19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6.73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6.8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5.69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6.09"/>
  </r>
  <r>
    <s v="P018"/>
    <s v="Instagram"/>
    <d v="2024-08-19T00:00:00"/>
    <x v="0"/>
    <s v="Check out our latest reel on instagram!"/>
    <n v="3000"/>
    <n v="382"/>
    <n v="325"/>
    <n v="36000"/>
    <n v="35819"/>
    <n v="19"/>
    <x v="0"/>
    <s v="CybertruckLaunch"/>
    <n v="1.82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8.06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9.0500000000000007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2.46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6.92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9.36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8.74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3.74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7.88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4.05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7.8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6.2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3.25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5.71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7.16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9.09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3.4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2.36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3.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6.25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8.9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6.5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5.85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6.85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4.66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9.41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5.17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3.79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1.81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3.32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8.44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1.76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5.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3.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9.24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9.2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3.89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4.610000000000000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2.86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4.34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8.6199999999999992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7.2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7.74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1.5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6.27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3.19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6.73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6.8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5.69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6.09"/>
  </r>
  <r>
    <s v="P019"/>
    <s v="Instagram"/>
    <d v="2024-06-23T00:00:00"/>
    <x v="4"/>
    <s v="Check out our latest video on instagram!"/>
    <n v="1071"/>
    <n v="519"/>
    <n v="22"/>
    <n v="16065"/>
    <n v="15865"/>
    <n v="103"/>
    <x v="2"/>
    <s v="SustainabilityDrive"/>
    <n v="1.82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8.06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9.0500000000000007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2.46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6.92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9.36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8.74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3.74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7.88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4.05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7.8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6.2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3.25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5.71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7.16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9.09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3.4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2.36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3.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6.25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8.9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6.5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5.85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6.85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4.66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9.41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5.17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3.79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1.81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3.32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8.44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1.76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5.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3.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9.24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9.2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3.89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4.610000000000000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2.86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4.34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8.6199999999999992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7.2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7.74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1.5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6.27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3.19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6.73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6.8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5.69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6.09"/>
  </r>
  <r>
    <s v="P020"/>
    <s v="Instagram"/>
    <d v="2024-09-09T00:00:00"/>
    <x v="2"/>
    <s v="Check out our latest carousel on instagram!"/>
    <n v="4054"/>
    <n v="488"/>
    <n v="373"/>
    <n v="77026"/>
    <n v="76881"/>
    <n v="25"/>
    <x v="2"/>
    <s v="CybertruckLaunch"/>
    <n v="1.82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8.06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9.0500000000000007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2.46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6.92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9.36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8.74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3.74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7.88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4.05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7.8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6.2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3.25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5.71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7.16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9.09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3.4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2.36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3.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6.25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8.9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6.5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5.85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6.85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4.66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9.41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5.17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3.79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1.81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3.32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8.44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1.76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5.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3.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9.24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9.2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3.89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4.610000000000000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2.86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4.34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8.6199999999999992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7.2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7.74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1.5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6.27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3.19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6.73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6.8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5.69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6.09"/>
  </r>
  <r>
    <s v="P021"/>
    <s v="Instagram"/>
    <d v="2025-01-04T00:00:00"/>
    <x v="0"/>
    <s v="Check out our latest reel on instagram!"/>
    <n v="4838"/>
    <n v="640"/>
    <n v="128"/>
    <n v="72570"/>
    <n v="72396"/>
    <n v="83"/>
    <x v="0"/>
    <s v="SustainabilityDrive"/>
    <n v="1.82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8.06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9.0500000000000007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2.46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6.92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9.36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8.74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3.74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7.88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4.05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7.8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6.2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3.25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5.71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7.16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9.09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3.4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2.36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3.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6.25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8.9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6.5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5.85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6.85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4.66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9.41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5.17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3.79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1.81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3.32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8.44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1.76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5.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3.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9.24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9.2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3.89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4.610000000000000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2.86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4.34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8.6199999999999992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7.2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7.74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1.5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6.27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3.19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6.73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6.8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5.69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6.09"/>
  </r>
  <r>
    <s v="P028"/>
    <s v="Instagram"/>
    <d v="2025-03-04T00:00:00"/>
    <x v="4"/>
    <s v="Check out our latest video on instagram!"/>
    <n v="432"/>
    <n v="624"/>
    <n v="123"/>
    <n v="6912"/>
    <n v="6259"/>
    <n v="79"/>
    <x v="0"/>
    <s v="SustainabilityDrive"/>
    <n v="1.82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8.06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9.0500000000000007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2.46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6.92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9.36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8.74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3.74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7.88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4.05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7.8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6.2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3.25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5.71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7.16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9.09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3.4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2.36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3.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6.25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8.9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6.5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5.85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6.85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4.66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9.41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5.17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3.79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1.81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3.32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8.44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1.76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5.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3.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9.24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9.2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3.89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4.610000000000000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2.86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4.34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8.6199999999999992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7.2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7.74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1.5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6.27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3.19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6.73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6.8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5.69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6.09"/>
  </r>
  <r>
    <s v="P029"/>
    <s v="Instagram"/>
    <d v="2025-01-31T00:00:00"/>
    <x v="2"/>
    <s v="Check out our latest carousel on instagram!"/>
    <n v="2566"/>
    <n v="118"/>
    <n v="37"/>
    <n v="12830"/>
    <n v="12264"/>
    <n v="221"/>
    <x v="0"/>
    <s v="FSDUpdate"/>
    <n v="1.82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8.06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9.0500000000000007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2.46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6.92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9.36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8.74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3.74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7.88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4.05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7.8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6.2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3.25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5.71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7.16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9.09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3.4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2.36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3.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6.25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8.9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6.5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5.85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6.85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4.66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9.41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5.17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3.79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1.81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3.32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8.44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1.76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5.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3.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9.24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9.2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3.89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4.610000000000000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2.86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4.34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8.6199999999999992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7.2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7.74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1.5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6.27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3.19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6.73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6.8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5.69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6.09"/>
  </r>
  <r>
    <s v="P030"/>
    <s v="Instagram"/>
    <d v="2025-02-25T00:00:00"/>
    <x v="4"/>
    <s v="Check out our latest video on instagram!"/>
    <n v="3095"/>
    <n v="39"/>
    <n v="78"/>
    <n v="55710"/>
    <n v="54808"/>
    <n v="93"/>
    <x v="4"/>
    <m/>
    <n v="1.82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8.06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9.0500000000000007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2.46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6.92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9.36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8.74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3.74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7.88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4.05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7.8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6.2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3.25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5.71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7.16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9.09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3.4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2.36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3.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6.25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8.9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6.5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5.85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6.85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4.66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9.41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5.17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3.79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1.81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3.32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8.44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1.76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5.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3.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9.24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9.2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3.89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4.610000000000000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2.86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4.34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8.6199999999999992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7.2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7.74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1.5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6.27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3.19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6.73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6.8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5.69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6.09"/>
  </r>
  <r>
    <s v="P031"/>
    <s v="Instagram"/>
    <d v="2024-12-16T00:00:00"/>
    <x v="1"/>
    <s v="Check out our latest text on instagram!"/>
    <n v="438"/>
    <n v="153"/>
    <n v="275"/>
    <n v="3066"/>
    <n v="2701"/>
    <n v="282"/>
    <x v="2"/>
    <s v="ModelYCampaign"/>
    <n v="1.82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8.06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9.0500000000000007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2.46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6.92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9.36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8.74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3.74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7.88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4.05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7.8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6.2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3.25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5.71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7.16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9.09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3.4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2.36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3.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6.25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8.9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6.5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5.85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6.85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4.66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9.41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5.17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3.79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1.81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3.32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8.44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1.76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5.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3.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9.24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9.2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3.89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4.610000000000000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2.86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4.34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8.6199999999999992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7.2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7.74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1.5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6.27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3.19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6.73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6.8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5.69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6.09"/>
  </r>
  <r>
    <s v="P035"/>
    <s v="Instagram"/>
    <d v="2024-11-30T00:00:00"/>
    <x v="4"/>
    <s v="Check out our latest video on instagram!"/>
    <n v="3775"/>
    <n v="16"/>
    <n v="239"/>
    <n v="33975"/>
    <n v="33310"/>
    <n v="271"/>
    <x v="0"/>
    <s v="ModelYCampaign"/>
    <n v="1.82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8.06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9.0500000000000007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2.46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6.92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9.36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8.74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3.74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7.88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4.05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7.8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6.2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3.25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5.71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7.16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9.09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3.4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2.36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3.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6.25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8.9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6.5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5.85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6.85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4.66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9.41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5.17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3.79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1.81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3.32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8.44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1.76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5.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3.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9.24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9.2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3.89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4.610000000000000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2.86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4.34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8.6199999999999992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7.2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7.74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1.5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6.27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3.19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6.73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6.8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5.69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6.09"/>
  </r>
  <r>
    <s v="P036"/>
    <s v="Instagram"/>
    <d v="2025-04-19T00:00:00"/>
    <x v="5"/>
    <s v="Check out our latest story on instagram!"/>
    <n v="4518"/>
    <n v="285"/>
    <n v="383"/>
    <n v="67770"/>
    <n v="67621"/>
    <n v="31"/>
    <x v="4"/>
    <s v="ModelYCampaign"/>
    <n v="1.82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8.06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9.0500000000000007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2.46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6.92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9.36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8.74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3.74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7.88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4.05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7.8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6.2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3.25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5.71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7.16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9.09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3.4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2.36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3.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6.25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8.9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6.5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5.85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6.85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4.66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9.41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5.17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3.79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1.81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3.32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8.44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1.76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5.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3.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9.24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9.2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3.89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4.610000000000000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2.86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4.34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8.6199999999999992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7.2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7.74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1.5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6.27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3.19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6.73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6.8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5.69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6.09"/>
  </r>
  <r>
    <s v="P041"/>
    <s v="Instagram"/>
    <d v="2025-03-08T00:00:00"/>
    <x v="0"/>
    <s v="Check out our latest reel on instagram!"/>
    <n v="456"/>
    <n v="629"/>
    <n v="428"/>
    <n v="8208"/>
    <n v="7377"/>
    <n v="205"/>
    <x v="0"/>
    <s v="SustainabilityDrive"/>
    <n v="1.82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8.06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9.0500000000000007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2.46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6.92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9.36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8.74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3.74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7.88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4.05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7.8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6.2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3.25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5.71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7.16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9.09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3.4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2.36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3.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6.25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8.9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6.5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5.85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6.85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4.66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9.41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5.17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3.79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1.81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3.32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8.44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1.76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5.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3.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9.24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9.2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3.89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4.610000000000000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2.86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4.34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8.6199999999999992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7.2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7.74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1.5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6.27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3.19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6.73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6.8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5.69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6.09"/>
  </r>
  <r>
    <s v="P043"/>
    <s v="Instagram"/>
    <d v="2024-12-14T00:00:00"/>
    <x v="2"/>
    <s v="Check out our latest carousel on instagram!"/>
    <n v="2174"/>
    <n v="658"/>
    <n v="15"/>
    <n v="13044"/>
    <n v="12206"/>
    <n v="137"/>
    <x v="2"/>
    <s v="FSDUpdate"/>
    <n v="1.82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8.06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9.0500000000000007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2.46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6.92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9.36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8.74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3.74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7.88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4.05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7.8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6.2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3.25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5.71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7.16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9.09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3.4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2.36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3.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6.25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8.9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6.5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5.85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6.85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4.66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9.41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5.17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3.79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1.81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3.32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8.44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1.76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5.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3.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9.24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9.2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3.89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4.610000000000000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2.86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4.34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8.6199999999999992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7.2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7.74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1.5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6.27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3.19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6.73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6.8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5.69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6.09"/>
  </r>
  <r>
    <s v="P058"/>
    <s v="Instagram"/>
    <d v="2025-04-15T00:00:00"/>
    <x v="0"/>
    <s v="Check out our latest reel on instagram!"/>
    <n v="103"/>
    <n v="770"/>
    <n v="19"/>
    <n v="1030"/>
    <n v="410"/>
    <n v="262"/>
    <x v="2"/>
    <s v="SustainabilityDrive"/>
    <n v="1.82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8.06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9.0500000000000007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2.46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6.92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9.36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8.74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3.74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7.88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4.05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7.8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6.2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3.25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5.71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7.16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9.09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3.4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2.36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3.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6.25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8.9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6.5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5.85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6.85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4.66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9.41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5.17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3.79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1.81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3.32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8.44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1.76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5.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3.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9.24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9.2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3.89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4.610000000000000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2.86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4.34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8.6199999999999992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7.2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7.74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1.5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6.27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3.19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6.73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6.8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5.69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6.09"/>
  </r>
  <r>
    <s v="P059"/>
    <s v="Instagram"/>
    <d v="2024-06-22T00:00:00"/>
    <x v="1"/>
    <s v="Check out our latest text on instagram!"/>
    <n v="2180"/>
    <n v="263"/>
    <n v="387"/>
    <n v="30520"/>
    <n v="30059"/>
    <n v="174"/>
    <x v="4"/>
    <m/>
    <n v="1.82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8.06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9.0500000000000007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2.46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6.92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9.36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8.74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3.74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7.88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4.05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7.8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6.2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3.25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5.71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7.16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9.09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3.4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2.36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3.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6.25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8.9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6.5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5.85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6.85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4.66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9.41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5.17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3.79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1.81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3.32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8.44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1.76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5.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3.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9.24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9.2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3.89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4.610000000000000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2.86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4.34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8.6199999999999992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7.2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7.74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1.5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6.27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3.19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6.73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6.8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5.69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6.09"/>
  </r>
  <r>
    <s v="P060"/>
    <s v="Instagram"/>
    <d v="2025-01-28T00:00:00"/>
    <x v="4"/>
    <s v="Check out our latest video on instagram!"/>
    <n v="904"/>
    <n v="973"/>
    <n v="63"/>
    <n v="11752"/>
    <n v="11580"/>
    <n v="84"/>
    <x v="4"/>
    <s v="FSDUpdate"/>
    <n v="1.82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8.06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9.0500000000000007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2.46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6.92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9.36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8.74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3.74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7.88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4.05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7.8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6.2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3.25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5.71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7.16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9.09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3.4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2.36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3.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6.25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8.9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6.5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5.85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6.85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4.66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9.41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5.17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3.79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1.81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3.32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8.44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1.76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5.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3.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9.24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9.2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3.89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4.610000000000000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2.86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4.34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8.6199999999999992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7.2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7.74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1.5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6.27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3.19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6.73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6.8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5.69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6.09"/>
  </r>
  <r>
    <s v="P060"/>
    <s v="Instagram"/>
    <d v="2025-01-28T00:00:00"/>
    <x v="4"/>
    <s v="Check out our latest video on instagram!"/>
    <n v="904"/>
    <n v="973"/>
    <n v="63"/>
    <n v="11752"/>
    <n v="11580"/>
    <n v="84"/>
    <x v="2"/>
    <s v="FSDUpdate"/>
    <n v="1.82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8.06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9.0500000000000007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2.46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6.92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9.36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8.74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3.74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7.88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4.05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7.8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6.2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3.25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5.71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7.16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9.09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3.4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2.36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3.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6.25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8.9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6.5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5.85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6.85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4.66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9.41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5.17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3.79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1.81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3.32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8.44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1.76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5.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3.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9.24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9.2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3.89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4.610000000000000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2.86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4.34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8.6199999999999992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7.2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7.74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1.5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6.27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3.19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6.73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6.8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5.69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6.09"/>
  </r>
  <r>
    <s v="P060"/>
    <s v="Instagram"/>
    <d v="2025-01-28T00:00:00"/>
    <x v="4"/>
    <s v="Check out our latest video on instagram!"/>
    <n v="904"/>
    <n v="973"/>
    <n v="63"/>
    <n v="11752"/>
    <n v="11580"/>
    <n v="84"/>
    <x v="1"/>
    <s v="FSDUpdate"/>
    <n v="1.82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8.06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9.0500000000000007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2.46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6.92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9.36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8.74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3.74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7.88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4.05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7.8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6.2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3.25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5.71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7.16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9.09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3.4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2.36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3.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6.25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8.9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6.5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5.85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6.85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4.66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9.41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5.17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3.79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1.81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3.32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8.44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1.76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5.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3.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9.24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9.2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3.89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4.610000000000000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2.86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4.34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8.6199999999999992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7.2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7.74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1.5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6.27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3.19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6.73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6.8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5.69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6.09"/>
  </r>
  <r>
    <s v="P065"/>
    <s v="Instagram"/>
    <d v="2025-03-28T00:00:00"/>
    <x v="5"/>
    <s v="Check out our latest story on instagram!"/>
    <n v="1881"/>
    <n v="501"/>
    <n v="99"/>
    <n v="20691"/>
    <n v="19987"/>
    <n v="289"/>
    <x v="4"/>
    <m/>
    <n v="1.82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8.06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9.0500000000000007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2.46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6.92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9.36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8.74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3.74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7.88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4.05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7.8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6.2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3.25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5.71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7.16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9.09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3.4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2.36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3.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6.25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8.9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6.5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5.85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6.85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4.66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9.41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5.17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3.79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1.81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3.32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8.44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1.76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5.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3.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9.24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9.2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3.89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4.610000000000000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2.86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4.34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8.6199999999999992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7.2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7.74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1.5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6.27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3.19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6.73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6.8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5.69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6.09"/>
  </r>
  <r>
    <s v="P068"/>
    <s v="Instagram"/>
    <d v="2024-12-08T00:00:00"/>
    <x v="5"/>
    <s v="Check out our latest story on instagram!"/>
    <n v="2610"/>
    <n v="126"/>
    <n v="288"/>
    <n v="15660"/>
    <n v="15145"/>
    <n v="73"/>
    <x v="4"/>
    <m/>
    <n v="1.82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8.06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9.0500000000000007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2.46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6.92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9.36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8.74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3.74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7.88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4.05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7.8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6.2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3.25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5.71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7.16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9.09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3.4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2.36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3.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6.25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8.9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6.5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5.85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6.85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4.66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9.41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5.17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3.79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1.81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3.32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8.44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1.76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5.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3.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9.24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9.2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3.89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4.610000000000000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2.86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4.34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8.6199999999999992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7.2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7.74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1.5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6.27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3.19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6.73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6.8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5.69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6.09"/>
  </r>
  <r>
    <s v="P075"/>
    <s v="Instagram"/>
    <d v="2024-08-01T00:00:00"/>
    <x v="0"/>
    <s v="Check out our latest reel on instagram!"/>
    <n v="1674"/>
    <n v="929"/>
    <n v="37"/>
    <n v="21762"/>
    <n v="20998"/>
    <n v="255"/>
    <x v="2"/>
    <s v="SustainabilityDrive"/>
    <n v="1.82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8.06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9.0500000000000007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2.46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6.92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9.36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8.74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3.74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7.88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4.05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7.8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6.2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3.25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5.71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7.16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9.09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3.4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2.36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3.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6.25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8.9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6.5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5.85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6.85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4.66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9.41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5.17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3.79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1.81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3.32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8.44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1.76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5.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3.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9.24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9.2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3.89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4.610000000000000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2.86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4.34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8.6199999999999992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7.2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7.74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1.5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6.27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3.19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6.73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6.8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5.69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6.09"/>
  </r>
  <r>
    <s v="P079"/>
    <s v="Instagram"/>
    <d v="2024-10-09T00:00:00"/>
    <x v="2"/>
    <s v="Check out our latest carousel on instagram!"/>
    <n v="3068"/>
    <n v="137"/>
    <n v="329"/>
    <n v="39884"/>
    <n v="39404"/>
    <n v="266"/>
    <x v="4"/>
    <s v="ModelYCampaign"/>
    <n v="1.82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8.06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9.0500000000000007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2.46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6.92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9.36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8.74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3.74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7.88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4.05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7.8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6.2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3.25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5.71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7.16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9.09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3.4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2.36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3.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6.25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8.9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6.5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5.85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6.85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4.66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9.41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5.17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3.79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1.81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3.32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8.44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1.76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5.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3.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9.24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9.2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3.89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4.610000000000000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2.86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4.34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8.6199999999999992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7.2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7.74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1.5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6.27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3.19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6.73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6.8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5.69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6.09"/>
  </r>
  <r>
    <s v="P080"/>
    <s v="Instagram"/>
    <d v="2024-06-13T00:00:00"/>
    <x v="5"/>
    <s v="Check out our latest story on instagram!"/>
    <n v="2103"/>
    <n v="892"/>
    <n v="103"/>
    <n v="39957"/>
    <n v="39466"/>
    <n v="28"/>
    <x v="0"/>
    <m/>
    <n v="1.82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8.06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9.0500000000000007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2.46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6.92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9.36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8.74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3.74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7.88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4.05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7.8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6.2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3.25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5.71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7.16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9.09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3.4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2.36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3.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6.25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8.9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6.5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5.85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6.85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4.66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9.41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5.17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3.79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1.81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3.32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8.44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1.76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5.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3.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9.24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9.2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3.89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4.610000000000000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2.86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4.34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8.6199999999999992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7.2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7.74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1.5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6.27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3.19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6.73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6.8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5.69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6.09"/>
  </r>
  <r>
    <s v="P081"/>
    <s v="Instagram"/>
    <d v="2024-10-19T00:00:00"/>
    <x v="5"/>
    <s v="Check out our latest story on instagram!"/>
    <n v="1816"/>
    <n v="29"/>
    <n v="41"/>
    <n v="19976"/>
    <n v="19262"/>
    <n v="283"/>
    <x v="2"/>
    <s v="FSDUpdate"/>
    <n v="1.82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8.06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9.0500000000000007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2.46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6.92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9.36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8.74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3.74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7.88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4.05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7.8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6.2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3.25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5.71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7.16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9.09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3.4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2.36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3.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6.25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8.9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6.5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5.85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6.85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4.66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9.41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5.17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3.79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1.81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3.32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8.44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1.76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5.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3.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9.24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9.2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3.89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4.610000000000000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2.86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4.34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8.6199999999999992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7.2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7.74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1.5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6.27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3.19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6.73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6.8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5.69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6.09"/>
  </r>
  <r>
    <s v="P082"/>
    <s v="Instagram"/>
    <d v="2024-07-24T00:00:00"/>
    <x v="3"/>
    <s v="Check out our latest image on instagram!"/>
    <n v="725"/>
    <n v="88"/>
    <n v="428"/>
    <n v="14500"/>
    <n v="13637"/>
    <n v="200"/>
    <x v="0"/>
    <s v="FSDUpdate"/>
    <n v="1.82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8.06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9.0500000000000007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2.46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6.92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9.36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8.74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3.74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7.88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4.05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7.8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6.2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3.25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5.71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7.16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9.09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3.4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2.36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3.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6.25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8.9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6.5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5.85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6.85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4.66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9.41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5.17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3.79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1.81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3.32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8.44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1.76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5.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3.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9.24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9.2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3.89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4.610000000000000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2.86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4.34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8.6199999999999992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7.2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7.74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1.5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6.27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3.19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6.73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6.8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5.69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6.09"/>
  </r>
  <r>
    <s v="P082"/>
    <s v="Instagram"/>
    <d v="2024-07-24T00:00:00"/>
    <x v="3"/>
    <s v="Check out our latest image on instagram!"/>
    <n v="725"/>
    <n v="88"/>
    <n v="428"/>
    <n v="14500"/>
    <n v="13637"/>
    <n v="200"/>
    <x v="2"/>
    <s v="FSDUpdate"/>
    <n v="1.82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8.06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9.0500000000000007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2.46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6.92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9.36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8.74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3.74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7.88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4.05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7.8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6.2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3.25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5.71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7.16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9.09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3.4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2.36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3.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6.25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8.9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6.5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5.85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6.85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4.66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9.41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5.17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3.79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1.81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3.32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8.44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1.76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5.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3.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9.24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9.2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3.89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4.610000000000000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2.86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4.34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8.6199999999999992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7.2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7.74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1.5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6.27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3.19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6.73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6.8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5.69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6.09"/>
  </r>
  <r>
    <s v="P082"/>
    <s v="Instagram"/>
    <d v="2024-07-24T00:00:00"/>
    <x v="3"/>
    <s v="Check out our latest image on instagram!"/>
    <n v="725"/>
    <n v="88"/>
    <n v="428"/>
    <n v="14500"/>
    <n v="13637"/>
    <n v="200"/>
    <x v="1"/>
    <s v="FSDUpdate"/>
    <n v="1.82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8.06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9.0500000000000007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2.46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6.92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9.36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8.74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3.74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7.88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4.05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7.8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6.2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3.25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5.71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7.16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9.09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3.4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2.36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3.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6.25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8.9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6.5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5.85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6.85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4.66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9.41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5.17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3.79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1.81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3.32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8.44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1.76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5.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3.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9.24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9.2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3.89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4.610000000000000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2.86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4.34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8.6199999999999992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7.2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7.74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1.5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6.27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3.19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6.73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6.8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5.69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6.09"/>
  </r>
  <r>
    <s v="P085"/>
    <s v="Instagram"/>
    <d v="2025-04-19T00:00:00"/>
    <x v="3"/>
    <s v="Check out our latest image on instagram!"/>
    <n v="4177"/>
    <n v="569"/>
    <n v="55"/>
    <n v="25062"/>
    <n v="24847"/>
    <n v="230"/>
    <x v="0"/>
    <s v="CybertruckLaunch"/>
    <n v="1.82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8.06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9.0500000000000007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2.46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6.92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9.36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8.74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3.74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7.88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4.05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7.8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6.2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3.25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5.71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7.16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9.09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3.4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2.36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3.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6.25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8.9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6.5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5.85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6.85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4.66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9.41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5.17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3.79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1.81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3.32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8.44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1.76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5.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3.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9.24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9.2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3.89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4.610000000000000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2.86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4.34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8.6199999999999992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7.2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7.74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1.5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6.27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3.19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6.73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6.8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5.69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6.09"/>
  </r>
  <r>
    <s v="P090"/>
    <s v="Instagram"/>
    <d v="2024-06-03T00:00:00"/>
    <x v="3"/>
    <s v="Check out our latest image on instagram!"/>
    <n v="3861"/>
    <n v="960"/>
    <n v="101"/>
    <n v="69498"/>
    <n v="68817"/>
    <n v="297"/>
    <x v="2"/>
    <s v="SustainabilityDrive"/>
    <n v="1.82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8.06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9.0500000000000007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2.46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6.92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9.36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8.74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3.74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7.88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4.05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7.8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6.2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3.25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5.71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7.16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9.09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3.4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2.36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3.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6.25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8.9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6.5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5.85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6.85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4.66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9.41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5.17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3.79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1.81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3.32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8.44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1.76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5.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3.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9.24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9.2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3.89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4.610000000000000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2.86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4.34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8.6199999999999992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7.2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7.74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1.5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6.27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3.19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6.73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6.8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5.69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6.09"/>
  </r>
  <r>
    <s v="P093"/>
    <s v="Instagram"/>
    <d v="2024-12-11T00:00:00"/>
    <x v="4"/>
    <s v="Check out our latest video on instagram!"/>
    <n v="1431"/>
    <n v="951"/>
    <n v="26"/>
    <n v="8586"/>
    <n v="8396"/>
    <n v="150"/>
    <x v="4"/>
    <s v="FSDUpdate"/>
    <n v="1.82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8.06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9.0500000000000007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2.46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6.92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9.36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8.74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3.74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7.88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4.05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7.8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6.2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3.25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5.71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7.16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9.09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3.4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2.36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3.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6.25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8.9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6.5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5.85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6.85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4.66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9.41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5.17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3.79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1.81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3.32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8.44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1.76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5.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3.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9.24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9.2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3.89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4.610000000000000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2.86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4.34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8.6199999999999992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7.2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7.74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1.5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6.27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3.19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6.73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6.8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5.69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6.09"/>
  </r>
  <r>
    <s v="P094"/>
    <s v="Instagram"/>
    <d v="2024-11-07T00:00:00"/>
    <x v="3"/>
    <s v="Check out our latest image on instagram!"/>
    <n v="2647"/>
    <n v="304"/>
    <n v="170"/>
    <n v="18529"/>
    <n v="17841"/>
    <n v="46"/>
    <x v="0"/>
    <s v="FSDUpdate"/>
    <n v="1.82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8.06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9.0500000000000007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2.46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6.92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9.36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8.74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3.74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7.88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4.05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7.8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6.2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3.25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5.71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7.16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9.09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3.4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2.36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3.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6.25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8.9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6.5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5.85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6.85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4.66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9.41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5.17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3.79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1.81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3.32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8.44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1.76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5.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3.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9.24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9.2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3.89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4.610000000000000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2.86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4.34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8.6199999999999992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7.2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7.74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1.5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6.27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3.19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6.73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6.8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5.69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6.09"/>
  </r>
  <r>
    <s v="P095"/>
    <s v="Instagram"/>
    <d v="2024-11-08T00:00:00"/>
    <x v="1"/>
    <s v="Check out our latest text on instagram!"/>
    <n v="3182"/>
    <n v="559"/>
    <n v="160"/>
    <n v="57276"/>
    <n v="56890"/>
    <n v="163"/>
    <x v="0"/>
    <s v="SustainabilityDrive"/>
    <n v="1.82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8.06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9.0500000000000007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2.46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6.92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9.36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8.74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3.74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7.88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4.05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7.8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6.2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3.25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5.71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7.16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9.09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3.4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2.36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3.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6.25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8.9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6.5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5.85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6.85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4.66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9.41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5.17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3.79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1.81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3.32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8.44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1.76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5.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3.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9.24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9.2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3.89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4.610000000000000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2.86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4.34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8.6199999999999992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7.2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7.74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1.5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6.27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3.19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6.73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6.8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5.69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6.09"/>
  </r>
  <r>
    <s v="P097"/>
    <s v="Instagram"/>
    <d v="2024-08-13T00:00:00"/>
    <x v="3"/>
    <s v="Check out our latest image on instagram!"/>
    <n v="4739"/>
    <n v="527"/>
    <n v="135"/>
    <n v="61607"/>
    <n v="61333"/>
    <n v="36"/>
    <x v="2"/>
    <s v="ModelYCampaign"/>
    <n v="1.82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8.06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9.0500000000000007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2.46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6.92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9.36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8.74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3.74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7.88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4.05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7.8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6.2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3.25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5.71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7.16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9.09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3.4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2.36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3.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6.25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8.9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6.5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5.85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6.85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4.66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9.41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5.17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3.79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1.81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3.32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8.44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1.76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5.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3.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9.24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9.2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3.89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4.610000000000000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2.86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4.34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8.6199999999999992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7.2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7.74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1.5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6.27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3.19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6.73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6.8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5.69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6.09"/>
  </r>
  <r>
    <s v="P097"/>
    <s v="Instagram"/>
    <d v="2024-08-13T00:00:00"/>
    <x v="3"/>
    <s v="Check out our latest image on instagram!"/>
    <n v="4739"/>
    <n v="527"/>
    <n v="135"/>
    <n v="61607"/>
    <n v="61333"/>
    <n v="36"/>
    <x v="1"/>
    <s v="ModelYCampaign"/>
    <n v="1.82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8.06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9.0500000000000007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2.46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6.92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9.36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8.74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3.74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7.88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4.05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7.8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6.2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3.25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5.71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7.16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9.09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3.4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2.36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3.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6.25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8.9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6.5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5.85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6.85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4.66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9.41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5.17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3.79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1.81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3.32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8.44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1.76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5.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3.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9.24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9.2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3.89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4.610000000000000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2.86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4.34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8.6199999999999992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7.2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7.74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1.5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6.27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3.19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6.73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6.8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5.69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6.09"/>
  </r>
  <r>
    <s v="P105"/>
    <s v="Instagram"/>
    <d v="2024-06-14T00:00:00"/>
    <x v="2"/>
    <s v="Check out our latest carousel on instagram!"/>
    <n v="498"/>
    <n v="38"/>
    <n v="42"/>
    <n v="4482"/>
    <n v="3647"/>
    <n v="32"/>
    <x v="0"/>
    <s v="CybertruckLaunch"/>
    <n v="1.82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8.06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9.0500000000000007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2.46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6.92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9.36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8.74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3.74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7.88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4.05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7.8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6.2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3.25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5.71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7.16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9.09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3.4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2.36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3.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6.25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8.9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6.5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5.85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6.85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4.66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9.41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5.17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3.79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1.81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3.32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8.44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1.76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5.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3.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9.24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9.2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3.89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4.610000000000000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2.86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4.34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8.6199999999999992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7.2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7.74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1.5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6.27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3.19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6.73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6.8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5.69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6.09"/>
  </r>
  <r>
    <s v="P106"/>
    <s v="Instagram"/>
    <d v="2025-02-04T00:00:00"/>
    <x v="3"/>
    <s v="Check out our latest image on instagram!"/>
    <n v="4619"/>
    <n v="821"/>
    <n v="499"/>
    <n v="69285"/>
    <n v="69141"/>
    <n v="298"/>
    <x v="2"/>
    <s v="SustainabilityDrive"/>
    <n v="1.82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8.06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9.0500000000000007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2.46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6.92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9.36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8.74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3.74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7.88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4.05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7.8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6.2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3.25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5.71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7.16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9.09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3.4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2.36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3.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6.25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8.9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6.5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5.85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6.85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4.66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9.41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5.17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3.79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1.81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3.32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8.44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1.76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5.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3.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9.24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9.2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3.89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4.610000000000000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2.86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4.34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8.6199999999999992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7.2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7.74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1.5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6.27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3.19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6.73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6.8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5.69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6.09"/>
  </r>
  <r>
    <s v="P110"/>
    <s v="Instagram"/>
    <d v="2024-07-29T00:00:00"/>
    <x v="0"/>
    <s v="Check out our latest reel on instagram!"/>
    <n v="3523"/>
    <n v="753"/>
    <n v="482"/>
    <n v="38753"/>
    <n v="38579"/>
    <n v="270"/>
    <x v="4"/>
    <s v="ModelYCampaign"/>
    <n v="1.82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8.06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9.0500000000000007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2.46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6.92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9.36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8.74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3.74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7.88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4.05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7.8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6.2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3.25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5.71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7.16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9.09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3.4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2.36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3.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6.25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8.9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6.5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5.85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6.85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4.66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9.41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5.17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3.79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1.81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3.32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8.44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1.76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5.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3.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9.24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9.2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3.89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4.610000000000000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2.86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4.34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8.6199999999999992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7.2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7.74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1.5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6.27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3.19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6.73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6.8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5.69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6.09"/>
  </r>
  <r>
    <s v="P119"/>
    <s v="Instagram"/>
    <d v="2025-02-07T00:00:00"/>
    <x v="0"/>
    <s v="Check out our latest reel on instagram!"/>
    <n v="1970"/>
    <n v="675"/>
    <n v="478"/>
    <n v="9850"/>
    <n v="8924"/>
    <n v="117"/>
    <x v="0"/>
    <m/>
    <n v="1.82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8.06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9.0500000000000007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2.46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6.92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9.36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8.74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3.74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7.88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4.05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7.8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6.2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3.25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5.71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7.16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9.09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3.4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2.36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3.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6.25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8.9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6.5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5.85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6.85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4.66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9.41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5.17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3.79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1.81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3.32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8.44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1.76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5.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3.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9.24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9.2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3.89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4.610000000000000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2.86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4.34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8.6199999999999992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7.2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7.74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1.5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6.27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3.19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6.73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6.8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5.69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6.09"/>
  </r>
  <r>
    <s v="P121"/>
    <s v="Instagram"/>
    <d v="2024-07-29T00:00:00"/>
    <x v="5"/>
    <s v="Check out our latest story on instagram!"/>
    <n v="498"/>
    <n v="701"/>
    <n v="412"/>
    <n v="4980"/>
    <n v="4185"/>
    <n v="185"/>
    <x v="0"/>
    <m/>
    <n v="1.82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8.06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9.0500000000000007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2.46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6.92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9.36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8.74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3.74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7.88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4.05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7.8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6.2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3.25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5.71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7.16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9.09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3.4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2.36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3.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6.25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8.9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6.5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5.85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6.85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4.66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9.41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5.17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3.79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1.81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3.32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8.44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1.76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5.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3.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9.24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9.2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3.89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4.610000000000000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2.86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4.34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8.6199999999999992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7.2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7.74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1.5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6.27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3.19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6.73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6.8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5.69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6.09"/>
  </r>
  <r>
    <s v="P122"/>
    <s v="Instagram"/>
    <d v="2024-10-02T00:00:00"/>
    <x v="1"/>
    <s v="Check out our latest text on instagram!"/>
    <n v="3432"/>
    <n v="869"/>
    <n v="123"/>
    <n v="54912"/>
    <n v="53916"/>
    <n v="264"/>
    <x v="4"/>
    <s v="ModelYCampaign"/>
    <n v="1.82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8.06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9.0500000000000007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2.46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6.92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9.36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8.74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3.74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7.88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4.05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7.8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6.2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3.25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5.71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7.16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9.09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3.4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2.36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3.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6.25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8.9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6.5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5.85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6.85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4.66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9.41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5.17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3.79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1.81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3.32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8.44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1.76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5.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3.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9.24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9.2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3.89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4.610000000000000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2.86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4.34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8.6199999999999992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7.2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7.74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1.5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6.27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3.19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6.73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6.8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5.69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6.09"/>
  </r>
  <r>
    <s v="P123"/>
    <s v="Instagram"/>
    <d v="2024-06-14T00:00:00"/>
    <x v="5"/>
    <s v="Check out our latest story on instagram!"/>
    <n v="4363"/>
    <n v="649"/>
    <n v="140"/>
    <n v="21815"/>
    <n v="21481"/>
    <n v="157"/>
    <x v="4"/>
    <s v="CybertruckLaunch"/>
    <n v="1.82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8.06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9.0500000000000007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2.46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6.92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9.36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8.74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3.74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7.88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4.05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7.8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6.2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3.25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5.71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7.16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9.09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3.4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2.36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3.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6.25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8.9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6.5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5.85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6.85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4.66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9.41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5.17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3.79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1.81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3.32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8.44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1.76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5.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3.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9.24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9.2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3.89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4.610000000000000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2.86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4.34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8.6199999999999992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7.2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7.74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1.5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6.27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3.19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6.73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6.8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5.69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6.09"/>
  </r>
  <r>
    <s v="P126"/>
    <s v="Instagram"/>
    <d v="2025-03-28T00:00:00"/>
    <x v="2"/>
    <s v="Check out our latest carousel on instagram!"/>
    <n v="4158"/>
    <n v="167"/>
    <n v="241"/>
    <n v="45738"/>
    <n v="45183"/>
    <n v="142"/>
    <x v="0"/>
    <m/>
    <n v="1.82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8.06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9.0500000000000007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2.46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6.92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9.36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8.74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3.74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7.88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4.05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7.8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6.2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3.25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5.71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7.16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9.09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3.4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2.36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3.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6.25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8.9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6.5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5.85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6.85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4.66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9.41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5.17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3.79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1.81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3.32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8.44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1.76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5.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3.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9.24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9.2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3.89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4.610000000000000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2.86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4.34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8.6199999999999992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7.2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7.74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1.5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6.27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3.19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6.73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6.8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5.69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6.09"/>
  </r>
  <r>
    <s v="P131"/>
    <s v="Instagram"/>
    <d v="2024-10-21T00:00:00"/>
    <x v="0"/>
    <s v="Check out our latest reel on instagram!"/>
    <n v="4840"/>
    <n v="658"/>
    <n v="211"/>
    <n v="43560"/>
    <n v="43225"/>
    <n v="57"/>
    <x v="0"/>
    <s v="FSDUpdate"/>
    <n v="1.82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8.06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9.0500000000000007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2.46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6.92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9.36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8.74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3.74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7.88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4.05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7.8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6.2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3.25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5.71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7.16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9.09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3.4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2.36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3.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6.25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8.9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6.5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5.85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6.85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4.66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9.41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5.17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3.79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1.81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3.32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8.44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1.76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5.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3.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9.24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9.2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3.89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4.610000000000000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2.86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4.34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8.6199999999999992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7.2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7.74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1.5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6.27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3.19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6.73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6.8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5.69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6.09"/>
  </r>
  <r>
    <s v="P132"/>
    <s v="Instagram"/>
    <d v="2025-03-04T00:00:00"/>
    <x v="5"/>
    <s v="Check out our latest story on instagram!"/>
    <n v="1947"/>
    <n v="842"/>
    <n v="101"/>
    <n v="21417"/>
    <n v="20967"/>
    <n v="186"/>
    <x v="0"/>
    <s v="ModelYCampaign"/>
    <n v="1.82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8.06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9.0500000000000007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2.46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6.92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9.36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8.74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3.74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7.88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4.05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7.8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6.2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3.25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5.71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7.16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9.09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3.4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2.36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3.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6.25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8.9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6.5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5.85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6.85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4.66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9.41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5.17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3.79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1.81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3.32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8.44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1.76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5.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3.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9.24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9.2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3.89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4.610000000000000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2.86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4.34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8.6199999999999992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7.2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7.74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1.5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6.27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3.19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6.73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6.8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5.69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6.09"/>
  </r>
  <r>
    <s v="P136"/>
    <s v="Instagram"/>
    <d v="2024-07-11T00:00:00"/>
    <x v="1"/>
    <s v="Check out our latest text on instagram!"/>
    <n v="3134"/>
    <n v="888"/>
    <n v="444"/>
    <n v="21938"/>
    <n v="21337"/>
    <n v="130"/>
    <x v="4"/>
    <s v="SustainabilityDrive"/>
    <n v="1.82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8.06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9.0500000000000007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2.46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6.92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9.36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8.74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3.74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7.88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4.05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7.8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6.2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3.25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5.71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7.16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9.09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3.4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2.36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3.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6.25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8.9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6.5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5.85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6.85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4.66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9.41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5.17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3.79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1.81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3.32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8.44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1.76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5.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3.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9.24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9.2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3.89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4.610000000000000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2.86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4.34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8.6199999999999992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7.2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7.74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1.5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6.27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3.19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6.73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6.8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5.69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6.09"/>
  </r>
  <r>
    <s v="P145"/>
    <s v="Instagram"/>
    <d v="2024-08-12T00:00:00"/>
    <x v="2"/>
    <s v="Check out our latest carousel on instagram!"/>
    <n v="1878"/>
    <n v="62"/>
    <n v="179"/>
    <n v="37560"/>
    <n v="36874"/>
    <n v="142"/>
    <x v="2"/>
    <s v="SustainabilityDrive"/>
    <n v="1.82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8.06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9.0500000000000007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2.46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6.92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9.36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8.74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3.74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7.88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4.05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7.8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6.2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3.25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5.71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7.16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9.09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3.4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2.36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3.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6.25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8.9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6.5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5.85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6.85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4.66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9.41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5.17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3.79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1.81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3.32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8.44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1.76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5.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3.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9.24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9.2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3.89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4.610000000000000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2.86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4.34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8.6199999999999992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7.2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7.74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1.5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6.27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3.19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6.73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6.8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5.69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6.09"/>
  </r>
  <r>
    <s v="P147"/>
    <s v="Instagram"/>
    <d v="2024-10-21T00:00:00"/>
    <x v="0"/>
    <s v="Check out our latest reel on instagram!"/>
    <n v="3256"/>
    <n v="459"/>
    <n v="266"/>
    <n v="26048"/>
    <n v="25529"/>
    <n v="143"/>
    <x v="2"/>
    <s v="ModelYCampaign"/>
    <n v="1.82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8.06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9.0500000000000007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2.46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6.92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9.36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8.74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3.74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7.88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4.05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7.8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6.2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3.25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5.71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7.16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9.09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3.4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2.36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3.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6.25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8.9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6.5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5.85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6.85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4.66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9.41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5.17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3.79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1.81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3.32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8.44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1.76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5.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3.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9.24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9.2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3.89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4.610000000000000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2.86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4.34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8.6199999999999992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7.2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7.74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1.5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6.27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3.19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6.73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6.8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5.69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6.09"/>
  </r>
  <r>
    <s v="P148"/>
    <s v="Instagram"/>
    <d v="2025-04-15T00:00:00"/>
    <x v="4"/>
    <s v="Check out our latest video on instagram!"/>
    <n v="4133"/>
    <n v="466"/>
    <n v="327"/>
    <n v="24798"/>
    <n v="24620"/>
    <n v="176"/>
    <x v="4"/>
    <s v="SustainabilityDrive"/>
    <n v="1.82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8.06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9.0500000000000007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2.46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6.92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9.36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8.74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3.74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7.88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4.05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7.8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6.2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3.25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5.71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7.16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9.09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3.4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2.36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3.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6.25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8.9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6.5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5.85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6.85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4.66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9.41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5.17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3.79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1.81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3.32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8.44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1.76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5.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3.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9.24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9.2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3.89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4.610000000000000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2.86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4.34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8.6199999999999992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7.2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7.74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1.5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6.27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3.19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6.73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6.8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5.69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6.09"/>
  </r>
  <r>
    <s v="P151"/>
    <s v="Instagram"/>
    <d v="2024-07-26T00:00:00"/>
    <x v="3"/>
    <s v="Check out our latest image on instagram!"/>
    <n v="3559"/>
    <n v="59"/>
    <n v="289"/>
    <n v="35590"/>
    <n v="35105"/>
    <n v="122"/>
    <x v="4"/>
    <s v="CybertruckLaunch"/>
    <n v="1.82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8.06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9.0500000000000007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2.46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6.92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9.36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8.74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3.74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7.88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4.05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7.8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6.2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3.25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5.71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7.16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9.09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3.4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2.36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3.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6.25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8.9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6.5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5.85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6.85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4.66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9.41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5.17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3.79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1.81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3.32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8.44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1.76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5.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3.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9.24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9.2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3.89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4.610000000000000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2.86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4.34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8.6199999999999992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7.2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7.74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1.5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6.27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3.19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6.73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6.8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5.69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6.09"/>
  </r>
  <r>
    <s v="P154"/>
    <s v="Instagram"/>
    <d v="2024-10-09T00:00:00"/>
    <x v="2"/>
    <s v="Check out our latest carousel on instagram!"/>
    <n v="985"/>
    <n v="932"/>
    <n v="287"/>
    <n v="6895"/>
    <n v="6757"/>
    <n v="64"/>
    <x v="0"/>
    <s v="SustainabilityDrive"/>
    <n v="1.82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8.06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9.0500000000000007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2.46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6.92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9.36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8.74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3.74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7.88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4.05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7.8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6.2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3.25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5.71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7.16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9.09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3.4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2.36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3.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6.25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8.9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6.5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5.85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6.85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4.66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9.41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5.17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3.79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1.81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3.32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8.44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1.76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5.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3.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9.24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9.2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3.89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4.610000000000000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2.86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4.34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8.6199999999999992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7.2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7.74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1.5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6.27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3.19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6.73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6.8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5.69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6.09"/>
  </r>
  <r>
    <s v="P158"/>
    <s v="Instagram"/>
    <d v="2024-08-11T00:00:00"/>
    <x v="5"/>
    <s v="Check out our latest story on instagram!"/>
    <n v="1762"/>
    <n v="405"/>
    <n v="423"/>
    <n v="22906"/>
    <n v="21925"/>
    <n v="25"/>
    <x v="2"/>
    <s v="CybertruckLaunch"/>
    <n v="1.82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8.06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9.0500000000000007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2.46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6.92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9.36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8.74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3.74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7.88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4.05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7.8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6.2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3.25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5.71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7.16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9.09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3.4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2.36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3.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6.25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8.9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6.5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5.85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6.85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4.66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9.41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5.17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3.79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1.81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3.32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8.44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1.76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5.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3.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9.24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9.2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3.89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4.610000000000000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2.86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4.34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8.6199999999999992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7.2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7.74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1.5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6.27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3.19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6.73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6.8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5.69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6.09"/>
  </r>
  <r>
    <s v="P163"/>
    <s v="Instagram"/>
    <d v="2025-04-08T00:00:00"/>
    <x v="3"/>
    <s v="Check out our latest image on instagram!"/>
    <n v="4501"/>
    <n v="375"/>
    <n v="323"/>
    <n v="22505"/>
    <n v="21836"/>
    <n v="132"/>
    <x v="2"/>
    <s v="ModelYCampaign"/>
    <n v="1.82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8.06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9.0500000000000007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2.46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6.92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9.36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8.74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3.74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7.88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4.05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7.8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6.2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3.25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5.71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7.16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9.09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3.4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2.36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3.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6.25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8.9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6.5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5.85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6.85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4.66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9.41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5.17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3.79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1.81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3.32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8.44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1.76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5.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3.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9.24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9.2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3.89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4.610000000000000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2.86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4.34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8.6199999999999992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7.2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7.74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1.5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6.27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3.19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6.73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6.8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5.69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6.09"/>
  </r>
  <r>
    <s v="P167"/>
    <s v="Instagram"/>
    <d v="2024-11-28T00:00:00"/>
    <x v="1"/>
    <s v="Check out our latest text on instagram!"/>
    <n v="4771"/>
    <n v="818"/>
    <n v="56"/>
    <n v="57252"/>
    <n v="56378"/>
    <n v="150"/>
    <x v="0"/>
    <m/>
    <n v="1.82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8.06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9.0500000000000007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2.46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6.92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9.36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8.74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3.74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7.88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4.05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7.8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6.2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3.25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5.71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7.16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9.09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3.4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2.36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3.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6.25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8.9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6.5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5.85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6.85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4.66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9.41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5.17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3.79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1.81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3.32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8.44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1.76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5.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3.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9.24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9.2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3.89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4.610000000000000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2.86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4.34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8.6199999999999992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7.2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7.74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1.5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6.27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3.19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6.73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6.8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5.69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6.09"/>
  </r>
  <r>
    <s v="P175"/>
    <s v="Instagram"/>
    <d v="2025-01-17T00:00:00"/>
    <x v="0"/>
    <s v="Check out our latest reel on instagram!"/>
    <n v="142"/>
    <n v="784"/>
    <n v="183"/>
    <n v="1704"/>
    <n v="995"/>
    <n v="154"/>
    <x v="0"/>
    <s v="SustainabilityDrive"/>
    <n v="1.82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8.06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9.0500000000000007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2.46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6.92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9.36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8.74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3.74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7.88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4.05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7.8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6.2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3.25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5.71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7.16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9.09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3.4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2.36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3.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6.25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8.9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6.5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5.85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6.85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4.66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9.41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5.17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3.79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1.81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3.32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8.44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1.76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5.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3.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9.24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9.2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3.89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4.610000000000000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2.86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4.34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8.6199999999999992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7.2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7.74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1.5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6.27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3.19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6.73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6.8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5.69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6.09"/>
  </r>
  <r>
    <s v="P177"/>
    <s v="Instagram"/>
    <d v="2024-07-10T00:00:00"/>
    <x v="2"/>
    <s v="Check out our latest carousel on instagram!"/>
    <n v="3099"/>
    <n v="694"/>
    <n v="171"/>
    <n v="43386"/>
    <n v="42921"/>
    <n v="52"/>
    <x v="2"/>
    <s v="FSDUpdate"/>
    <n v="1.82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8.06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9.0500000000000007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2.46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6.92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9.36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8.74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3.74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7.88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4.05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7.8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6.2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3.25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5.71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7.16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9.09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3.4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2.36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3.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6.25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8.9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6.5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5.85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6.85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4.66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9.41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5.17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3.79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1.81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3.32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8.44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1.76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5.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3.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9.24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9.2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3.89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4.610000000000000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2.86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4.34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8.6199999999999992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7.2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7.74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1.5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6.27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3.19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6.73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6.8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5.69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6.09"/>
  </r>
  <r>
    <s v="P178"/>
    <s v="Instagram"/>
    <d v="2024-11-07T00:00:00"/>
    <x v="4"/>
    <s v="Check out our latest video on instagram!"/>
    <n v="129"/>
    <n v="643"/>
    <n v="136"/>
    <n v="1290"/>
    <n v="839"/>
    <n v="238"/>
    <x v="2"/>
    <s v="SustainabilityDrive"/>
    <n v="1.82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8.06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9.0500000000000007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2.46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6.92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9.36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8.74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3.74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7.88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4.05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7.8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6.2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3.25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5.71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7.16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9.09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3.4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2.36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3.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6.25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8.9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6.5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5.85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6.85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4.66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9.41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5.17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3.79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1.81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3.32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8.44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1.76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5.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3.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9.24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9.2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3.89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4.610000000000000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2.86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4.34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8.6199999999999992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7.2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7.74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1.5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6.27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3.19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6.73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6.8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5.69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6.09"/>
  </r>
  <r>
    <s v="P183"/>
    <s v="Instagram"/>
    <d v="2024-12-17T00:00:00"/>
    <x v="5"/>
    <s v="Check out our latest story on instagram!"/>
    <n v="360"/>
    <n v="590"/>
    <n v="393"/>
    <n v="4680"/>
    <n v="4322"/>
    <n v="208"/>
    <x v="0"/>
    <s v="ModelYCampaign"/>
    <n v="1.82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8.06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9.0500000000000007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2.46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6.92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9.36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8.74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3.74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7.88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4.05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7.8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6.2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3.25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5.71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7.16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9.09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3.4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2.36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3.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6.25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8.9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6.5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5.85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6.85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4.66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9.41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5.17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3.79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1.81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3.32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8.44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1.76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5.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3.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9.24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9.2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3.89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4.610000000000000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2.86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4.34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8.6199999999999992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7.2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7.74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1.5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6.27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3.19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6.73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6.8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5.69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6.09"/>
  </r>
  <r>
    <s v="P185"/>
    <s v="Instagram"/>
    <d v="2025-01-11T00:00:00"/>
    <x v="2"/>
    <s v="Check out our latest carousel on instagram!"/>
    <n v="4523"/>
    <n v="61"/>
    <n v="157"/>
    <n v="49753"/>
    <n v="49329"/>
    <n v="71"/>
    <x v="4"/>
    <m/>
    <n v="1.82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4.9800000000000004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2.37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8.11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9.1199999999999992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4.4800000000000004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1.91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6.44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7.86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7.73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6.11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6.01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8.84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9.0399999999999991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6.41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1.76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9.1999999999999993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7.36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1.77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1.75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3.88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3.16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4.46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3.32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8.6999999999999993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2.68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6.2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4.79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7.47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8.11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2.02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3.09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8.1999999999999993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5.61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4.51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6.37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8.6999999999999993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8.0299999999999994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3.85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7.8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4.55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9.39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4.9400000000000004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8.52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9.4600000000000009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2.4900000000000002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4.83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2.6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3.86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5.59"/>
  </r>
  <r>
    <s v="P006"/>
    <s v="Facebook"/>
    <d v="2024-10-31T00:00:00"/>
    <x v="2"/>
    <s v="Check out our latest carousel on facebook!"/>
    <n v="2945"/>
    <n v="930"/>
    <n v="355"/>
    <n v="23560"/>
    <n v="23275"/>
    <n v="256"/>
    <x v="2"/>
    <s v="ModelYCampaign"/>
    <n v="4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4.9800000000000004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2.37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8.11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9.1199999999999992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4.4800000000000004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1.91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6.44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7.86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7.73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6.11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6.01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8.84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9.0399999999999991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6.41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1.76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9.1999999999999993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7.36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1.77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1.75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3.88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3.16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4.46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3.32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8.6999999999999993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2.68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6.2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4.79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7.47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8.11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2.02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3.09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8.1999999999999993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5.61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4.51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6.37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8.6999999999999993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8.0299999999999994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3.85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7.8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4.55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9.39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4.9400000000000004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8.52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9.4600000000000009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2.4900000000000002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4.83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2.6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3.86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5.59"/>
  </r>
  <r>
    <s v="P009"/>
    <s v="Facebook"/>
    <d v="2024-08-30T00:00:00"/>
    <x v="1"/>
    <s v="Check out our latest text on facebook!"/>
    <n v="3784"/>
    <n v="808"/>
    <n v="404"/>
    <n v="56760"/>
    <n v="56343"/>
    <n v="131"/>
    <x v="2"/>
    <s v="ModelYCampaign"/>
    <n v="4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4.9800000000000004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2.37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8.11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9.1199999999999992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4.4800000000000004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1.91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6.44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7.86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7.73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6.11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6.01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8.84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9.0399999999999991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6.41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1.76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9.1999999999999993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7.36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1.77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1.75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3.88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3.16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4.46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3.32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8.6999999999999993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2.68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6.2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4.79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7.47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8.11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2.02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3.09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8.1999999999999993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5.61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4.51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6.37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8.6999999999999993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8.0299999999999994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3.85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7.8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4.55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9.39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4.9400000000000004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8.52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9.4600000000000009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2.4900000000000002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4.83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2.6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3.86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5.59"/>
  </r>
  <r>
    <s v="P010"/>
    <s v="Facebook"/>
    <d v="2025-03-11T00:00:00"/>
    <x v="3"/>
    <s v="Check out our latest image on facebook!"/>
    <n v="4241"/>
    <n v="902"/>
    <n v="47"/>
    <n v="72097"/>
    <n v="71598"/>
    <n v="167"/>
    <x v="2"/>
    <s v="ModelYCampaign"/>
    <n v="4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4.9800000000000004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2.37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8.11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9.1199999999999992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4.4800000000000004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1.91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6.44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7.86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7.73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6.11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6.01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8.84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9.0399999999999991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6.41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1.76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9.1999999999999993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7.36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1.77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1.75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3.88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3.16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4.46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3.32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8.6999999999999993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2.68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6.2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4.79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7.47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8.11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2.02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3.09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8.1999999999999993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5.61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4.51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6.37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8.6999999999999993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8.0299999999999994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3.85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7.8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4.55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9.39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4.9400000000000004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8.52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9.4600000000000009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2.4900000000000002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4.83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2.6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3.86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5.59"/>
  </r>
  <r>
    <s v="P012"/>
    <s v="Facebook"/>
    <d v="2024-07-21T00:00:00"/>
    <x v="0"/>
    <s v="Check out our latest reel on facebook!"/>
    <n v="1946"/>
    <n v="686"/>
    <n v="377"/>
    <n v="23352"/>
    <n v="22982"/>
    <n v="213"/>
    <x v="0"/>
    <s v="FSDUpdate"/>
    <n v="4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4.9800000000000004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2.37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8.11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9.1199999999999992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4.4800000000000004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1.91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6.44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7.86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7.73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6.11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6.01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8.84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9.0399999999999991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6.41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1.76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9.1999999999999993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7.36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1.77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1.75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3.88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3.16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4.46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3.32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8.6999999999999993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2.68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6.2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4.79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7.47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8.11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2.02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3.09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8.1999999999999993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5.61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4.51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6.37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8.6999999999999993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8.0299999999999994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3.85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7.8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4.55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9.39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4.9400000000000004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8.52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9.4600000000000009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2.4900000000000002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4.83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2.6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3.86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5.59"/>
  </r>
  <r>
    <s v="P014"/>
    <s v="Facebook"/>
    <d v="2025-02-16T00:00:00"/>
    <x v="5"/>
    <s v="Check out our latest story on facebook!"/>
    <n v="4242"/>
    <n v="555"/>
    <n v="131"/>
    <n v="33936"/>
    <n v="33802"/>
    <n v="265"/>
    <x v="0"/>
    <m/>
    <n v="4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4.9800000000000004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2.37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8.11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9.1199999999999992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4.4800000000000004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1.91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6.44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7.86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7.73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6.11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6.01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8.84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9.0399999999999991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6.41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1.76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9.1999999999999993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7.36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1.77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1.75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3.88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3.16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4.46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3.32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8.6999999999999993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2.68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6.2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4.79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7.47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8.11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2.02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3.09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8.1999999999999993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5.61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4.51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6.37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8.6999999999999993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8.0299999999999994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3.85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7.8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4.55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9.39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4.9400000000000004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8.52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9.4600000000000009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2.4900000000000002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4.83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2.6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3.86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5.59"/>
  </r>
  <r>
    <s v="P015"/>
    <s v="Facebook"/>
    <d v="2024-10-24T00:00:00"/>
    <x v="4"/>
    <s v="Check out our latest video on facebook!"/>
    <n v="3888"/>
    <n v="604"/>
    <n v="128"/>
    <n v="77760"/>
    <n v="77167"/>
    <n v="20"/>
    <x v="0"/>
    <s v="CybertruckLaunch"/>
    <n v="4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4.9800000000000004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2.37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8.11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9.1199999999999992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4.4800000000000004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1.91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6.44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7.86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7.73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6.11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6.01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8.84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9.0399999999999991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6.41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1.76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9.1999999999999993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7.36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1.77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1.75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3.88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3.16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4.46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3.32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8.6999999999999993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2.68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6.2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4.79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7.47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8.11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2.02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3.09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8.1999999999999993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5.61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4.51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6.37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8.6999999999999993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8.0299999999999994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3.85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7.8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4.55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9.39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4.9400000000000004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8.52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9.4600000000000009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2.4900000000000002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4.83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2.6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3.86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5.59"/>
  </r>
  <r>
    <s v="P016"/>
    <s v="Facebook"/>
    <d v="2024-08-26T00:00:00"/>
    <x v="1"/>
    <s v="Check out our latest text on facebook!"/>
    <n v="3452"/>
    <n v="377"/>
    <n v="360"/>
    <n v="55232"/>
    <n v="55075"/>
    <n v="87"/>
    <x v="0"/>
    <s v="FSDUpdate"/>
    <n v="4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4.9800000000000004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2.37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8.11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9.1199999999999992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4.4800000000000004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1.91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6.44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7.86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7.73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6.11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6.01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8.84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9.0399999999999991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6.41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1.76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9.1999999999999993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7.36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1.77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1.75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3.88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3.16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4.46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3.32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8.6999999999999993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2.68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6.2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4.79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7.47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8.11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2.02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3.09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8.1999999999999993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5.61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4.51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6.37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8.6999999999999993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8.0299999999999994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3.85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7.8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4.55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9.39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4.9400000000000004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8.52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9.4600000000000009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2.4900000000000002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4.83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2.6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3.86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5.59"/>
  </r>
  <r>
    <s v="P017"/>
    <s v="Facebook"/>
    <d v="2025-05-05T00:00:00"/>
    <x v="1"/>
    <s v="Check out our latest text on facebook!"/>
    <n v="4441"/>
    <n v="511"/>
    <n v="70"/>
    <n v="53292"/>
    <n v="53082"/>
    <n v="159"/>
    <x v="4"/>
    <s v="SustainabilityDrive"/>
    <n v="4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4.9800000000000004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2.37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8.11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9.1199999999999992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4.4800000000000004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1.91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6.44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7.86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7.73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6.11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6.01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8.84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9.0399999999999991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6.41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1.76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9.1999999999999993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7.36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1.77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1.75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3.88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3.16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4.46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3.32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8.6999999999999993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2.68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6.2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4.79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7.47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8.11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2.02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3.09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8.1999999999999993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5.61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4.51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6.37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8.6999999999999993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8.0299999999999994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3.85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7.8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4.55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9.39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4.9400000000000004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8.52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9.4600000000000009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2.4900000000000002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4.83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2.6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3.86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5.59"/>
  </r>
  <r>
    <s v="P022"/>
    <s v="Facebook"/>
    <d v="2025-02-27T00:00:00"/>
    <x v="1"/>
    <s v="Check out our latest text on facebook!"/>
    <n v="1570"/>
    <n v="187"/>
    <n v="260"/>
    <n v="25120"/>
    <n v="24613"/>
    <n v="133"/>
    <x v="2"/>
    <s v="SustainabilityDrive"/>
    <n v="4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4.9800000000000004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2.37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8.11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9.1199999999999992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4.4800000000000004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1.91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6.44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7.86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7.73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6.11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6.01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8.84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9.0399999999999991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6.41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1.76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9.1999999999999993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7.36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1.77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1.75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3.88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3.16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4.46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3.32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8.6999999999999993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2.68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6.2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4.79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7.47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8.11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2.02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3.09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8.1999999999999993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5.61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4.51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6.37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8.6999999999999993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8.0299999999999994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3.85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7.8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4.55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9.39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4.9400000000000004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8.52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9.4600000000000009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2.4900000000000002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4.83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2.6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3.86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5.59"/>
  </r>
  <r>
    <s v="P023"/>
    <s v="Facebook"/>
    <d v="2024-11-06T00:00:00"/>
    <x v="4"/>
    <s v="Check out our latest video on facebook!"/>
    <n v="1606"/>
    <n v="547"/>
    <n v="316"/>
    <n v="32120"/>
    <n v="31736"/>
    <n v="225"/>
    <x v="2"/>
    <s v="ModelYCampaign"/>
    <n v="4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4.9800000000000004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2.37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8.11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9.1199999999999992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4.4800000000000004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1.91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6.44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7.86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7.73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6.11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6.01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8.84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9.0399999999999991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6.41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1.76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9.1999999999999993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7.36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1.77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1.75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3.88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3.16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4.46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3.32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8.6999999999999993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2.68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6.2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4.79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7.47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8.11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2.02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3.09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8.1999999999999993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5.61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4.51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6.37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8.6999999999999993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8.0299999999999994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3.85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7.8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4.55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9.39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4.9400000000000004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8.52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9.4600000000000009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2.4900000000000002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4.83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2.6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3.86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5.59"/>
  </r>
  <r>
    <s v="P023"/>
    <s v="Facebook"/>
    <d v="2024-11-06T00:00:00"/>
    <x v="4"/>
    <s v="Check out our latest video on facebook!"/>
    <n v="1606"/>
    <n v="547"/>
    <n v="316"/>
    <n v="32120"/>
    <n v="31736"/>
    <n v="225"/>
    <x v="1"/>
    <s v="ModelYCampaign"/>
    <n v="4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4.9800000000000004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2.37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8.11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9.1199999999999992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4.4800000000000004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1.91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6.44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7.86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7.73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6.11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6.01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8.84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9.0399999999999991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6.41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1.76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9.1999999999999993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7.36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1.77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1.75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3.88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3.16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4.46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3.32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8.6999999999999993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2.68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6.2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4.79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7.47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8.11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2.02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3.09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8.1999999999999993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5.61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4.51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6.37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8.6999999999999993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8.0299999999999994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3.85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7.8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4.55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9.39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4.9400000000000004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8.52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9.4600000000000009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2.4900000000000002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4.83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2.6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3.86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5.59"/>
  </r>
  <r>
    <s v="P024"/>
    <s v="Facebook"/>
    <d v="2025-01-23T00:00:00"/>
    <x v="4"/>
    <s v="Check out our latest video on facebook!"/>
    <n v="3961"/>
    <n v="761"/>
    <n v="131"/>
    <n v="67337"/>
    <n v="66615"/>
    <n v="161"/>
    <x v="0"/>
    <s v="FSDUpdate"/>
    <n v="4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4.9800000000000004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2.37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8.11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9.1199999999999992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4.4800000000000004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1.91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6.44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7.86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7.73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6.11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6.01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8.84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9.0399999999999991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6.41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1.76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9.1999999999999993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7.36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1.77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1.75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3.88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3.16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4.46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3.32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8.6999999999999993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2.68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6.2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4.79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7.47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8.11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2.02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3.09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8.1999999999999993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5.61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4.51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6.37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8.6999999999999993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8.0299999999999994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3.85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7.8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4.55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9.39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4.9400000000000004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8.52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9.4600000000000009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2.4900000000000002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4.83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2.6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3.86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5.59"/>
  </r>
  <r>
    <s v="P033"/>
    <s v="Facebook"/>
    <d v="2024-08-21T00:00:00"/>
    <x v="3"/>
    <s v="Check out our latest image on facebook!"/>
    <n v="1407"/>
    <n v="400"/>
    <n v="351"/>
    <n v="16884"/>
    <n v="15954"/>
    <n v="113"/>
    <x v="2"/>
    <s v="CybertruckLaunch"/>
    <n v="4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4.9800000000000004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2.37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8.11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9.1199999999999992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4.4800000000000004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1.91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6.44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7.86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7.73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6.11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6.01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8.84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9.0399999999999991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6.41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1.76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9.1999999999999993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7.36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1.77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1.75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3.88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3.16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4.46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3.32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8.6999999999999993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2.68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6.2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4.79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7.47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8.11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2.02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3.09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8.1999999999999993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5.61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4.51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6.37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8.6999999999999993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8.0299999999999994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3.85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7.8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4.55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9.39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4.9400000000000004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8.52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9.4600000000000009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2.4900000000000002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4.83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2.6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3.86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5.59"/>
  </r>
  <r>
    <s v="P034"/>
    <s v="Facebook"/>
    <d v="2025-03-26T00:00:00"/>
    <x v="1"/>
    <s v="Check out our latest text on facebook!"/>
    <n v="1652"/>
    <n v="89"/>
    <n v="357"/>
    <n v="29736"/>
    <n v="28771"/>
    <n v="215"/>
    <x v="2"/>
    <s v="FSDUpdate"/>
    <n v="4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4.9800000000000004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2.37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8.11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9.1199999999999992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4.4800000000000004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1.91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6.44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7.86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7.73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6.11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6.01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8.84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9.0399999999999991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6.41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1.76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9.1999999999999993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7.36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1.77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1.75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3.88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3.16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4.46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3.32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8.6999999999999993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2.68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6.2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4.79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7.47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8.11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2.02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3.09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8.1999999999999993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5.61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4.51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6.37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8.6999999999999993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8.0299999999999994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3.85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7.8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4.55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9.39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4.9400000000000004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8.52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9.4600000000000009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2.4900000000000002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4.83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2.6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3.86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5.59"/>
  </r>
  <r>
    <s v="P037"/>
    <s v="Facebook"/>
    <d v="2025-01-06T00:00:00"/>
    <x v="2"/>
    <s v="Check out our latest carousel on facebook!"/>
    <n v="3024"/>
    <n v="925"/>
    <n v="350"/>
    <n v="24192"/>
    <n v="23518"/>
    <n v="36"/>
    <x v="4"/>
    <s v="ModelYCampaign"/>
    <n v="4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4.9800000000000004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2.37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8.11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9.1199999999999992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4.4800000000000004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1.91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6.44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7.86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7.73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6.11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6.01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8.84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9.0399999999999991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6.41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1.76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9.1999999999999993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7.36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1.77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1.75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3.88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3.16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4.46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3.32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8.6999999999999993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2.68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6.2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4.79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7.47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8.11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2.02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3.09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8.1999999999999993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5.61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4.51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6.37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8.6999999999999993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8.0299999999999994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3.85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7.8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4.55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9.39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4.9400000000000004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8.52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9.4600000000000009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2.4900000000000002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4.83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2.6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3.86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5.59"/>
  </r>
  <r>
    <s v="P039"/>
    <s v="Facebook"/>
    <d v="2024-11-25T00:00:00"/>
    <x v="3"/>
    <s v="Check out our latest image on facebook!"/>
    <n v="3564"/>
    <n v="629"/>
    <n v="177"/>
    <n v="60588"/>
    <n v="59627"/>
    <n v="92"/>
    <x v="2"/>
    <m/>
    <n v="4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4.9800000000000004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2.37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8.11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9.1199999999999992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4.4800000000000004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1.91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6.44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7.86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7.73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6.11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6.01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8.84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9.0399999999999991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6.41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1.76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9.1999999999999993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7.36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1.77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1.75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3.88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3.16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4.46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3.32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8.6999999999999993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2.68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6.2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4.79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7.47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8.11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2.02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3.09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8.1999999999999993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5.61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4.51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6.37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8.6999999999999993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8.0299999999999994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3.85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7.8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4.55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9.39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4.9400000000000004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8.52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9.4600000000000009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2.4900000000000002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4.83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2.6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3.86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5.59"/>
  </r>
  <r>
    <s v="P045"/>
    <s v="Facebook"/>
    <d v="2024-11-01T00:00:00"/>
    <x v="4"/>
    <s v="Check out our latest video on facebook!"/>
    <n v="3371"/>
    <n v="106"/>
    <n v="327"/>
    <n v="50565"/>
    <n v="49816"/>
    <n v="176"/>
    <x v="0"/>
    <s v="CybertruckLaunch"/>
    <n v="4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4.9800000000000004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2.37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8.11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9.1199999999999992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4.4800000000000004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1.91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6.44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7.86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7.73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6.11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6.01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8.84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9.0399999999999991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6.41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1.76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9.1999999999999993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7.36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1.77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1.75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3.88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3.16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4.46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3.32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8.6999999999999993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2.68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6.2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4.79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7.47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8.11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2.02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3.09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8.1999999999999993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5.61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4.51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6.37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8.6999999999999993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8.0299999999999994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3.85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7.8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4.55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9.39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4.9400000000000004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8.52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9.4600000000000009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2.4900000000000002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4.83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2.6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3.86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5.59"/>
  </r>
  <r>
    <s v="P051"/>
    <s v="Facebook"/>
    <d v="2024-06-13T00:00:00"/>
    <x v="2"/>
    <s v="Check out our latest carousel on facebook!"/>
    <n v="2200"/>
    <n v="504"/>
    <n v="239"/>
    <n v="37400"/>
    <n v="36938"/>
    <n v="225"/>
    <x v="0"/>
    <s v="ModelYCampaign"/>
    <n v="4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4.9800000000000004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2.37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8.11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9.1199999999999992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4.4800000000000004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1.91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6.44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7.86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7.73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6.11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6.01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8.84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9.0399999999999991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6.41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1.76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9.1999999999999993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7.36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1.77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1.75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3.88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3.16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4.46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3.32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8.6999999999999993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2.68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6.2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4.79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7.47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8.11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2.02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3.09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8.1999999999999993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5.61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4.51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6.37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8.6999999999999993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8.0299999999999994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3.85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7.8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4.55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9.39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4.9400000000000004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8.52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9.4600000000000009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2.4900000000000002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4.83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2.6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3.86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5.59"/>
  </r>
  <r>
    <s v="P052"/>
    <s v="Facebook"/>
    <d v="2025-01-03T00:00:00"/>
    <x v="3"/>
    <s v="Check out our latest image on facebook!"/>
    <n v="947"/>
    <n v="338"/>
    <n v="350"/>
    <n v="10417"/>
    <n v="9730"/>
    <n v="34"/>
    <x v="2"/>
    <s v="SustainabilityDrive"/>
    <n v="4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4.9800000000000004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2.37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8.11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9.1199999999999992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4.4800000000000004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1.91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6.44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7.86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7.73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6.11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6.01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8.84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9.0399999999999991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6.41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1.76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9.1999999999999993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7.36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1.77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1.75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3.88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3.16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4.46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3.32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8.6999999999999993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2.68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6.2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4.79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7.47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8.11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2.02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3.09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8.1999999999999993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5.61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4.51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6.37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8.6999999999999993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8.0299999999999994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3.85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7.8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4.55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9.39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4.9400000000000004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8.52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9.4600000000000009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2.4900000000000002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4.83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2.6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3.86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5.59"/>
  </r>
  <r>
    <s v="P055"/>
    <s v="Facebook"/>
    <d v="2024-06-17T00:00:00"/>
    <x v="3"/>
    <s v="Check out our latest image on facebook!"/>
    <n v="1226"/>
    <n v="119"/>
    <n v="7"/>
    <n v="14712"/>
    <n v="14049"/>
    <n v="123"/>
    <x v="4"/>
    <s v="SustainabilityDrive"/>
    <n v="4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4.9800000000000004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2.37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8.11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9.1199999999999992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4.4800000000000004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1.91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6.44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7.86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7.73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6.11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6.01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8.84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9.0399999999999991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6.41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1.76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9.1999999999999993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7.36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1.77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1.75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3.88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3.16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4.46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3.32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8.6999999999999993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2.68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6.2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4.79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7.47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8.11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2.02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3.09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8.1999999999999993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5.61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4.51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6.37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8.6999999999999993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8.0299999999999994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3.85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7.8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4.55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9.39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4.9400000000000004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8.52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9.4600000000000009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2.4900000000000002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4.83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2.6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3.86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5.59"/>
  </r>
  <r>
    <s v="P056"/>
    <s v="Facebook"/>
    <d v="2024-12-18T00:00:00"/>
    <x v="2"/>
    <s v="Check out our latest carousel on facebook!"/>
    <n v="2946"/>
    <n v="498"/>
    <n v="367"/>
    <n v="29460"/>
    <n v="28527"/>
    <n v="60"/>
    <x v="0"/>
    <s v="FSDUpdate"/>
    <n v="4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4.9800000000000004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2.37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8.11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9.1199999999999992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4.4800000000000004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1.91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6.44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7.86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7.73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6.11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6.01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8.84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9.0399999999999991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6.41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1.76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9.1999999999999993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7.36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1.77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1.75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3.88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3.16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4.46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3.32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8.6999999999999993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2.68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6.2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4.79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7.47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8.11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2.02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3.09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8.1999999999999993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5.61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4.51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6.37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8.6999999999999993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8.0299999999999994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3.85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7.8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4.55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9.39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4.9400000000000004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8.52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9.4600000000000009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2.4900000000000002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4.83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2.6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3.86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5.59"/>
  </r>
  <r>
    <s v="P064"/>
    <s v="Facebook"/>
    <d v="2024-08-17T00:00:00"/>
    <x v="3"/>
    <s v="Check out our latest image on facebook!"/>
    <n v="2878"/>
    <n v="248"/>
    <n v="416"/>
    <n v="43170"/>
    <n v="42667"/>
    <n v="75"/>
    <x v="0"/>
    <s v="FSDUpdate"/>
    <n v="4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4.9800000000000004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2.37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8.11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9.1199999999999992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4.4800000000000004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1.91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6.44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7.86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7.73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6.11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6.01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8.84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9.0399999999999991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6.41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1.76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9.1999999999999993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7.36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1.77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1.75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3.88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3.16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4.46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3.32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8.6999999999999993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2.68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6.2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4.79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7.47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8.11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2.02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3.09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8.1999999999999993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5.61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4.51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6.37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8.6999999999999993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8.0299999999999994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3.85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7.8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4.55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9.39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4.9400000000000004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8.52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9.4600000000000009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2.4900000000000002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4.83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2.6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3.86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5.59"/>
  </r>
  <r>
    <s v="P067"/>
    <s v="Facebook"/>
    <d v="2025-03-29T00:00:00"/>
    <x v="2"/>
    <s v="Check out our latest carousel on facebook!"/>
    <n v="4712"/>
    <n v="568"/>
    <n v="127"/>
    <n v="84816"/>
    <n v="84691"/>
    <n v="100"/>
    <x v="4"/>
    <s v="FSDUpdate"/>
    <n v="4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4.9800000000000004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2.37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8.11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9.1199999999999992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4.4800000000000004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1.91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6.44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7.86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7.73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6.11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6.01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8.84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9.0399999999999991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6.41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1.76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9.1999999999999993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7.36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1.77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1.75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3.88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3.16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4.46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3.32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8.6999999999999993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2.68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6.2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4.79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7.47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8.11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2.02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3.09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8.1999999999999993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5.61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4.51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6.37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8.6999999999999993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8.0299999999999994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3.85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7.8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4.55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9.39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4.9400000000000004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8.52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9.4600000000000009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2.4900000000000002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4.83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2.6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3.86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5.59"/>
  </r>
  <r>
    <s v="P070"/>
    <s v="Facebook"/>
    <d v="2025-04-02T00:00:00"/>
    <x v="4"/>
    <s v="Check out our latest video on facebook!"/>
    <n v="199"/>
    <n v="772"/>
    <n v="400"/>
    <n v="3582"/>
    <n v="2988"/>
    <n v="43"/>
    <x v="2"/>
    <m/>
    <n v="4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4.9800000000000004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2.37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8.11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9.1199999999999992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4.4800000000000004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1.91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6.44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7.86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7.73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6.11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6.01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8.84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9.0399999999999991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6.41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1.76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9.1999999999999993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7.36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1.77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1.75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3.88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3.16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4.46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3.32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8.6999999999999993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2.68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6.2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4.79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7.47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8.11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2.02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3.09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8.1999999999999993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5.61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4.51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6.37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8.6999999999999993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8.0299999999999994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3.85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7.8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4.55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9.39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4.9400000000000004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8.52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9.4600000000000009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2.4900000000000002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4.83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2.6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3.86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5.59"/>
  </r>
  <r>
    <s v="P073"/>
    <s v="Facebook"/>
    <d v="2024-10-18T00:00:00"/>
    <x v="5"/>
    <s v="Check out our latest story on facebook!"/>
    <n v="4126"/>
    <n v="426"/>
    <n v="486"/>
    <n v="78394"/>
    <n v="77798"/>
    <n v="88"/>
    <x v="0"/>
    <s v="SustainabilityDrive"/>
    <n v="4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4.9800000000000004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2.37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8.11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9.1199999999999992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4.4800000000000004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1.91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6.44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7.86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7.73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6.11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6.01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8.84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9.0399999999999991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6.41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1.76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9.1999999999999993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7.36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1.77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1.75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3.88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3.16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4.46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3.32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8.6999999999999993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2.68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6.2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4.79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7.47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8.11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2.02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3.09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8.1999999999999993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5.61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4.51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6.37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8.6999999999999993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8.0299999999999994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3.85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7.8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4.55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9.39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4.9400000000000004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8.52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9.4600000000000009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2.4900000000000002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4.83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2.6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3.86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5.59"/>
  </r>
  <r>
    <s v="P077"/>
    <s v="Facebook"/>
    <d v="2025-03-04T00:00:00"/>
    <x v="5"/>
    <s v="Check out our latest story on facebook!"/>
    <n v="1249"/>
    <n v="116"/>
    <n v="420"/>
    <n v="8743"/>
    <n v="8538"/>
    <n v="63"/>
    <x v="2"/>
    <m/>
    <n v="4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4.9800000000000004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2.37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8.11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9.1199999999999992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4.4800000000000004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1.91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6.44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7.86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7.73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6.11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6.01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8.84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9.0399999999999991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6.41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1.76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9.1999999999999993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7.36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1.77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1.75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3.88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3.16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4.46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3.32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8.6999999999999993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2.68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6.2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4.79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7.47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8.11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2.02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3.09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8.1999999999999993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5.61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4.51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6.37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8.6999999999999993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8.0299999999999994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3.85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7.8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4.55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9.39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4.9400000000000004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8.52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9.4600000000000009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2.4900000000000002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4.83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2.6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3.86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5.59"/>
  </r>
  <r>
    <s v="P084"/>
    <s v="Facebook"/>
    <d v="2024-12-09T00:00:00"/>
    <x v="3"/>
    <s v="Check out our latest image on facebook!"/>
    <n v="1841"/>
    <n v="851"/>
    <n v="342"/>
    <n v="34979"/>
    <n v="34154"/>
    <n v="255"/>
    <x v="0"/>
    <s v="SustainabilityDrive"/>
    <n v="4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4.9800000000000004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2.37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8.11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9.1199999999999992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4.4800000000000004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1.91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6.44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7.86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7.73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6.11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6.01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8.84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9.0399999999999991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6.41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1.76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9.1999999999999993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7.36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1.77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1.75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3.88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3.16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4.46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3.32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8.6999999999999993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2.68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6.2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4.79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7.47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8.11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2.02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3.09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8.1999999999999993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5.61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4.51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6.37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8.6999999999999993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8.0299999999999994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3.85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7.8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4.55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9.39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4.9400000000000004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8.52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9.4600000000000009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2.4900000000000002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4.83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2.6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3.86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5.59"/>
  </r>
  <r>
    <s v="P088"/>
    <s v="Facebook"/>
    <d v="2024-07-07T00:00:00"/>
    <x v="5"/>
    <s v="Check out our latest story on facebook!"/>
    <n v="302"/>
    <n v="47"/>
    <n v="430"/>
    <n v="5738"/>
    <n v="4890"/>
    <n v="25"/>
    <x v="2"/>
    <s v="SustainabilityDrive"/>
    <n v="4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4.9800000000000004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2.37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8.11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9.1199999999999992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4.4800000000000004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1.91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6.44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7.86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7.73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6.11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6.01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8.84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9.0399999999999991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6.41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1.76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9.1999999999999993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7.36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1.77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1.75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3.88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3.16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4.46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3.32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8.6999999999999993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2.68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6.2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4.79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7.47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8.11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2.02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3.09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8.1999999999999993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5.61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4.51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6.37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8.6999999999999993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8.0299999999999994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3.85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7.8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4.55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9.39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4.9400000000000004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8.52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9.4600000000000009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2.4900000000000002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4.83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2.6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3.86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5.59"/>
  </r>
  <r>
    <s v="P091"/>
    <s v="Facebook"/>
    <d v="2025-03-24T00:00:00"/>
    <x v="3"/>
    <s v="Check out our latest image on facebook!"/>
    <n v="1263"/>
    <n v="397"/>
    <n v="357"/>
    <n v="25260"/>
    <n v="24615"/>
    <n v="137"/>
    <x v="4"/>
    <s v="SustainabilityDrive"/>
    <n v="4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4.9800000000000004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2.37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8.11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9.1199999999999992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4.4800000000000004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1.91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6.44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7.86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7.73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6.11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6.01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8.84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9.0399999999999991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6.41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1.76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9.1999999999999993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7.36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1.77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1.75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3.88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3.16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4.46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3.32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8.6999999999999993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2.68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6.2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4.79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7.47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8.11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2.02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3.09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8.1999999999999993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5.61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4.51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6.37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8.6999999999999993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8.0299999999999994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3.85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7.8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4.55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9.39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4.9400000000000004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8.52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9.4600000000000009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2.4900000000000002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4.83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2.6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3.86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5.59"/>
  </r>
  <r>
    <s v="P103"/>
    <s v="Facebook"/>
    <d v="2024-06-11T00:00:00"/>
    <x v="3"/>
    <s v="Check out our latest image on facebook!"/>
    <n v="3689"/>
    <n v="48"/>
    <n v="306"/>
    <n v="40579"/>
    <n v="39588"/>
    <n v="212"/>
    <x v="4"/>
    <s v="ModelYCampaign"/>
    <n v="4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4.9800000000000004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2.37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8.11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9.1199999999999992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4.4800000000000004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1.91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6.44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7.86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7.73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6.11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6.01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8.84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9.0399999999999991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6.41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1.76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9.1999999999999993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7.36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1.77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1.75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3.88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3.16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4.46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3.32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8.6999999999999993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2.68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6.2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4.79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7.47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8.11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2.02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3.09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8.1999999999999993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5.61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4.51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6.37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8.6999999999999993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8.0299999999999994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3.85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7.8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4.55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9.39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4.9400000000000004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8.52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9.4600000000000009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2.4900000000000002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4.83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2.6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3.86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5.59"/>
  </r>
  <r>
    <s v="P118"/>
    <s v="Facebook"/>
    <d v="2024-11-04T00:00:00"/>
    <x v="3"/>
    <s v="Check out our latest image on facebook!"/>
    <n v="4551"/>
    <n v="714"/>
    <n v="207"/>
    <n v="68265"/>
    <n v="67754"/>
    <n v="57"/>
    <x v="0"/>
    <s v="FSDUpdate"/>
    <n v="4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4.9800000000000004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2.37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8.11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9.1199999999999992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4.4800000000000004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1.91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6.44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7.86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7.73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6.11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6.01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8.84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9.0399999999999991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6.41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1.76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9.1999999999999993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7.36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1.77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1.75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3.88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3.16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4.46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3.32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8.6999999999999993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2.68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6.2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4.79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7.47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8.11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2.02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3.09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8.1999999999999993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5.61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4.51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6.37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8.6999999999999993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8.0299999999999994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3.85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7.8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4.55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9.39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4.9400000000000004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8.52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9.4600000000000009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2.4900000000000002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4.83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2.6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3.86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5.59"/>
  </r>
  <r>
    <s v="P120"/>
    <s v="Facebook"/>
    <d v="2024-10-21T00:00:00"/>
    <x v="5"/>
    <s v="Check out our latest story on facebook!"/>
    <n v="780"/>
    <n v="928"/>
    <n v="301"/>
    <n v="8580"/>
    <n v="8081"/>
    <n v="91"/>
    <x v="4"/>
    <s v="FSDUpdate"/>
    <n v="4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4.9800000000000004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2.37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8.11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9.1199999999999992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4.4800000000000004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1.91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6.44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7.86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7.73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6.11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6.01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8.84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9.0399999999999991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6.41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1.76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9.1999999999999993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7.36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1.77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1.75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3.88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3.16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4.46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3.32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8.6999999999999993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2.68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6.2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4.79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7.47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8.11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2.02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3.09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8.1999999999999993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5.61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4.51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6.37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8.6999999999999993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8.0299999999999994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3.85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7.8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4.55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9.39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4.9400000000000004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8.52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9.4600000000000009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2.4900000000000002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4.83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2.6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3.86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5.59"/>
  </r>
  <r>
    <s v="P127"/>
    <s v="Facebook"/>
    <d v="2025-01-27T00:00:00"/>
    <x v="0"/>
    <s v="Check out our latest reel on facebook!"/>
    <n v="3452"/>
    <n v="652"/>
    <n v="442"/>
    <n v="65588"/>
    <n v="65049"/>
    <n v="158"/>
    <x v="0"/>
    <s v="FSDUpdate"/>
    <n v="4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4.9800000000000004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2.37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8.11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9.1199999999999992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4.4800000000000004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1.91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6.44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7.86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7.73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6.11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6.01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8.84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9.0399999999999991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6.41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1.76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9.1999999999999993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7.36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1.77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1.75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3.88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3.16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4.46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3.32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8.6999999999999993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2.68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6.2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4.79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7.47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8.11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2.02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3.09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8.1999999999999993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5.61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4.51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6.37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8.6999999999999993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8.0299999999999994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3.85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7.8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4.55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9.39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4.9400000000000004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8.52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9.4600000000000009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2.4900000000000002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4.83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2.6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3.86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5.59"/>
  </r>
  <r>
    <s v="P133"/>
    <s v="Facebook"/>
    <d v="2025-02-06T00:00:00"/>
    <x v="3"/>
    <s v="Check out our latest image on facebook!"/>
    <n v="2072"/>
    <n v="532"/>
    <n v="71"/>
    <n v="37296"/>
    <n v="36467"/>
    <n v="25"/>
    <x v="2"/>
    <s v="SustainabilityDrive"/>
    <n v="4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4.9800000000000004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2.37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8.11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9.1199999999999992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4.4800000000000004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1.91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6.44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7.86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7.73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6.11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6.01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8.84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9.0399999999999991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6.41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1.76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9.1999999999999993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7.36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1.77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1.75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3.88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3.16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4.46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3.32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8.6999999999999993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2.68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6.2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4.79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7.47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8.11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2.02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3.09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8.1999999999999993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5.61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4.51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6.37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8.6999999999999993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8.0299999999999994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3.85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7.8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4.55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9.39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4.9400000000000004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8.52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9.4600000000000009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2.4900000000000002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4.83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2.6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3.86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5.59"/>
  </r>
  <r>
    <s v="P135"/>
    <s v="Facebook"/>
    <d v="2024-11-28T00:00:00"/>
    <x v="1"/>
    <s v="Check out our latest text on facebook!"/>
    <n v="4213"/>
    <n v="253"/>
    <n v="434"/>
    <n v="75834"/>
    <n v="75437"/>
    <n v="272"/>
    <x v="0"/>
    <s v="SustainabilityDrive"/>
    <n v="4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4.9800000000000004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2.37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8.11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9.1199999999999992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4.4800000000000004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1.91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6.44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7.86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7.73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6.11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6.01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8.84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9.0399999999999991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6.41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1.76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9.1999999999999993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7.36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1.77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1.75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3.88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3.16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4.46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3.32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8.6999999999999993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2.68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6.2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4.79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7.47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8.11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2.02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3.09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8.1999999999999993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5.61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4.51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6.37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8.6999999999999993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8.0299999999999994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3.85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7.8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4.55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9.39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4.9400000000000004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8.52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9.4600000000000009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2.4900000000000002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4.83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2.6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3.86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5.59"/>
  </r>
  <r>
    <s v="P137"/>
    <s v="Facebook"/>
    <d v="2024-07-31T00:00:00"/>
    <x v="4"/>
    <s v="Check out our latest video on facebook!"/>
    <n v="3008"/>
    <n v="94"/>
    <n v="37"/>
    <n v="15040"/>
    <n v="14639"/>
    <n v="277"/>
    <x v="0"/>
    <m/>
    <n v="4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4.9800000000000004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2.37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8.11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9.1199999999999992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4.4800000000000004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1.91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6.44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7.86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7.73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6.11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6.01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8.84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9.0399999999999991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6.41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1.76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9.1999999999999993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7.36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1.77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1.75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3.88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3.16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4.46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3.32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8.6999999999999993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2.68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6.2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4.79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7.47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8.11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2.02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3.09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8.1999999999999993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5.61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4.51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6.37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8.6999999999999993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8.0299999999999994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3.85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7.8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4.55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9.39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4.9400000000000004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8.52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9.4600000000000009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2.4900000000000002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4.83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2.6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3.86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5.59"/>
  </r>
  <r>
    <s v="P140"/>
    <s v="Facebook"/>
    <d v="2024-07-15T00:00:00"/>
    <x v="3"/>
    <s v="Check out our latest image on facebook!"/>
    <n v="2291"/>
    <n v="78"/>
    <n v="485"/>
    <n v="18328"/>
    <n v="18101"/>
    <n v="10"/>
    <x v="4"/>
    <s v="ModelYCampaign"/>
    <n v="4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4.9800000000000004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2.37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8.11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9.1199999999999992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4.4800000000000004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1.91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6.44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7.86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7.73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6.11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6.01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8.84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9.0399999999999991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6.41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1.76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9.1999999999999993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7.36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1.77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1.75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3.88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3.16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4.46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3.32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8.6999999999999993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2.68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6.2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4.79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7.47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8.11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2.02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3.09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8.1999999999999993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5.61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4.51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6.37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8.6999999999999993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8.0299999999999994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3.85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7.8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4.55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9.39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4.9400000000000004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8.52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9.4600000000000009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2.4900000000000002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4.83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2.6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3.86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5.59"/>
  </r>
  <r>
    <s v="P140"/>
    <s v="Facebook"/>
    <d v="2024-07-15T00:00:00"/>
    <x v="3"/>
    <s v="Check out our latest image on facebook!"/>
    <n v="2291"/>
    <n v="78"/>
    <n v="485"/>
    <n v="18328"/>
    <n v="18101"/>
    <n v="10"/>
    <x v="5"/>
    <s v="ModelYCampaign"/>
    <n v="4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4.9800000000000004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2.37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8.11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9.1199999999999992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4.4800000000000004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1.91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6.44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7.86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7.73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6.11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6.01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8.84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9.0399999999999991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6.41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1.76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9.1999999999999993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7.36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1.77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1.75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3.88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3.16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4.46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3.32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8.6999999999999993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2.68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6.2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4.79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7.47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8.11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2.02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3.09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8.1999999999999993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5.61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4.51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6.37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8.6999999999999993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8.0299999999999994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3.85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7.8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4.55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9.39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4.9400000000000004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8.52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9.4600000000000009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2.4900000000000002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4.83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2.6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3.86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5.59"/>
  </r>
  <r>
    <s v="P152"/>
    <s v="Facebook"/>
    <d v="2025-04-22T00:00:00"/>
    <x v="3"/>
    <s v="Check out our latest image on facebook!"/>
    <n v="4804"/>
    <n v="550"/>
    <n v="270"/>
    <n v="28824"/>
    <n v="28370"/>
    <n v="47"/>
    <x v="4"/>
    <s v="SustainabilityDrive"/>
    <n v="4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4.9800000000000004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2.37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8.11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9.1199999999999992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4.4800000000000004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1.91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6.44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7.86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7.73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6.11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6.01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8.84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9.0399999999999991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6.41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1.76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9.1999999999999993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7.36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1.77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1.75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3.88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3.16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4.46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3.32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8.6999999999999993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2.68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6.2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4.79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7.47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8.11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2.02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3.09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8.1999999999999993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5.61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4.51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6.37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8.6999999999999993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8.0299999999999994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3.85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7.8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4.55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9.39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4.9400000000000004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8.52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9.4600000000000009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2.4900000000000002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4.83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2.6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3.86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5.59"/>
  </r>
  <r>
    <s v="P156"/>
    <s v="Facebook"/>
    <d v="2024-10-22T00:00:00"/>
    <x v="2"/>
    <s v="Check out our latest carousel on facebook!"/>
    <n v="3352"/>
    <n v="941"/>
    <n v="482"/>
    <n v="43576"/>
    <n v="43338"/>
    <n v="240"/>
    <x v="0"/>
    <s v="ModelYCampaign"/>
    <n v="4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4.9800000000000004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2.37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8.11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9.1199999999999992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4.4800000000000004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1.91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6.44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7.86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7.73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6.11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6.01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8.84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9.0399999999999991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6.41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1.76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9.1999999999999993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7.36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1.77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1.75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3.88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3.16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4.46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3.32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8.6999999999999993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2.68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6.2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4.79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7.47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8.11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2.02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3.09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8.1999999999999993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5.61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4.51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6.37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8.6999999999999993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8.0299999999999994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3.85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7.8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4.55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9.39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4.9400000000000004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8.52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9.4600000000000009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2.4900000000000002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4.83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2.6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3.86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5.59"/>
  </r>
  <r>
    <s v="P159"/>
    <s v="Facebook"/>
    <d v="2024-11-25T00:00:00"/>
    <x v="5"/>
    <s v="Check out our latest story on facebook!"/>
    <n v="2120"/>
    <n v="158"/>
    <n v="488"/>
    <n v="12720"/>
    <n v="12085"/>
    <n v="17"/>
    <x v="0"/>
    <s v="ModelYCampaign"/>
    <n v="4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4.9800000000000004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2.37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8.11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9.1199999999999992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4.4800000000000004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1.91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6.44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7.86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7.73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6.11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6.01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8.84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9.0399999999999991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6.41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1.76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9.1999999999999993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7.36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1.77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1.75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3.88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3.16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4.46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3.32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8.6999999999999993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2.68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6.2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4.79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7.47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8.11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2.02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3.09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8.1999999999999993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5.61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4.51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6.37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8.6999999999999993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8.0299999999999994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3.85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7.8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4.55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9.39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4.9400000000000004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8.52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9.4600000000000009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2.4900000000000002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4.83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2.6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3.86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5.59"/>
  </r>
  <r>
    <s v="P162"/>
    <s v="Facebook"/>
    <d v="2025-04-01T00:00:00"/>
    <x v="5"/>
    <s v="Check out our latest story on facebook!"/>
    <n v="3430"/>
    <n v="566"/>
    <n v="164"/>
    <n v="48020"/>
    <n v="47305"/>
    <n v="120"/>
    <x v="0"/>
    <m/>
    <n v="4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4.9800000000000004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2.37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8.11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9.1199999999999992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4.4800000000000004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1.91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6.44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7.86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7.73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6.11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6.01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8.84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9.0399999999999991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6.41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1.76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9.1999999999999993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7.36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1.77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1.75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3.88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3.16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4.46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3.32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8.6999999999999993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2.68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6.2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4.79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7.47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8.11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2.02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3.09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8.1999999999999993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5.61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4.51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6.37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8.6999999999999993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8.0299999999999994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3.85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7.8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4.55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9.39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4.9400000000000004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8.52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9.4600000000000009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2.4900000000000002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4.83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2.6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3.86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5.59"/>
  </r>
  <r>
    <s v="P168"/>
    <s v="Facebook"/>
    <d v="2024-11-12T00:00:00"/>
    <x v="1"/>
    <s v="Check out our latest text on facebook!"/>
    <n v="2418"/>
    <n v="754"/>
    <n v="54"/>
    <n v="43524"/>
    <n v="42743"/>
    <n v="182"/>
    <x v="4"/>
    <s v="CybertruckLaunch"/>
    <n v="4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4.9800000000000004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2.37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8.11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9.1199999999999992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4.4800000000000004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1.91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6.44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7.86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7.73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6.11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6.01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8.84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9.0399999999999991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6.41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1.76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9.1999999999999993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7.36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1.77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1.75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3.88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3.16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4.46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3.32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8.6999999999999993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2.68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6.2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4.79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7.47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8.11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2.02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3.09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8.1999999999999993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5.61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4.51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6.37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8.6999999999999993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8.0299999999999994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3.85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7.8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4.55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9.39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4.9400000000000004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8.52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9.4600000000000009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2.4900000000000002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4.83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2.6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3.86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5.59"/>
  </r>
  <r>
    <s v="P172"/>
    <s v="Facebook"/>
    <d v="2024-08-14T00:00:00"/>
    <x v="2"/>
    <s v="Check out our latest carousel on facebook!"/>
    <n v="3073"/>
    <n v="553"/>
    <n v="174"/>
    <n v="52241"/>
    <n v="51605"/>
    <n v="246"/>
    <x v="4"/>
    <s v="FSDUpdate"/>
    <n v="4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4.9800000000000004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2.37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8.11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9.1199999999999992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4.4800000000000004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1.91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6.44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7.86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7.73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6.11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6.01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8.84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9.0399999999999991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6.41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1.76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9.1999999999999993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7.36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1.77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1.75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3.88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3.16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4.46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3.32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8.6999999999999993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2.68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6.2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4.79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7.47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8.11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2.02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3.09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8.1999999999999993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5.61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4.51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6.37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8.6999999999999993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8.0299999999999994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3.85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7.8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4.55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9.39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4.9400000000000004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8.52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9.4600000000000009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2.4900000000000002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4.83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2.6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3.86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5.59"/>
  </r>
  <r>
    <s v="P174"/>
    <s v="Facebook"/>
    <d v="2024-06-22T00:00:00"/>
    <x v="1"/>
    <s v="Check out our latest text on facebook!"/>
    <n v="3828"/>
    <n v="148"/>
    <n v="253"/>
    <n v="30624"/>
    <n v="30229"/>
    <n v="235"/>
    <x v="4"/>
    <m/>
    <n v="4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4.9800000000000004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2.37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8.11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9.1199999999999992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4.4800000000000004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1.91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6.44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7.86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7.73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6.11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6.01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8.84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9.0399999999999991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6.41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1.76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9.1999999999999993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7.36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1.77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1.75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3.88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3.16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4.46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3.32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8.6999999999999993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2.68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6.2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4.79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7.47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8.11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2.02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3.09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8.1999999999999993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5.61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4.51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6.37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8.6999999999999993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8.0299999999999994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3.85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7.8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4.55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9.39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4.9400000000000004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8.52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9.4600000000000009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2.4900000000000002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4.83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2.6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3.86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5.59"/>
  </r>
  <r>
    <s v="P176"/>
    <s v="Facebook"/>
    <d v="2024-06-20T00:00:00"/>
    <x v="4"/>
    <s v="Check out our latest video on facebook!"/>
    <n v="3798"/>
    <n v="31"/>
    <n v="279"/>
    <n v="75960"/>
    <n v="75813"/>
    <n v="266"/>
    <x v="2"/>
    <s v="CybertruckLaunch"/>
    <n v="4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4.9800000000000004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2.37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8.11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9.1199999999999992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4.4800000000000004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1.91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6.44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7.86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7.73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6.11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6.01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8.84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9.0399999999999991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6.41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1.76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9.1999999999999993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7.36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1.77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1.75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3.88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3.16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4.46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3.32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8.6999999999999993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2.68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6.2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4.79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7.47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8.11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2.02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3.09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8.1999999999999993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5.61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4.51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6.37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8.6999999999999993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8.0299999999999994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3.85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7.8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4.55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9.39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4.9400000000000004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8.52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9.4600000000000009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2.4900000000000002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4.83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2.6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3.86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5.59"/>
  </r>
  <r>
    <s v="P179"/>
    <s v="Facebook"/>
    <d v="2024-07-15T00:00:00"/>
    <x v="2"/>
    <s v="Check out our latest carousel on facebook!"/>
    <n v="3796"/>
    <n v="667"/>
    <n v="395"/>
    <n v="64532"/>
    <n v="63550"/>
    <n v="292"/>
    <x v="2"/>
    <m/>
    <n v="4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4.9800000000000004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2.37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8.11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9.1199999999999992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4.4800000000000004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1.91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6.44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7.86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7.73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6.11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6.01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8.84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9.0399999999999991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6.41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1.76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9.1999999999999993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7.36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1.77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1.75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3.88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3.16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4.46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3.32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8.6999999999999993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2.68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6.2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4.79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7.47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8.11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2.02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3.09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8.1999999999999993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5.61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4.51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6.37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8.6999999999999993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8.0299999999999994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3.85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7.8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4.55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9.39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4.9400000000000004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8.52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9.4600000000000009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2.4900000000000002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4.83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2.6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3.86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5.59"/>
  </r>
  <r>
    <s v="P182"/>
    <s v="Facebook"/>
    <d v="2024-07-31T00:00:00"/>
    <x v="3"/>
    <s v="Check out our latest image on facebook!"/>
    <n v="4689"/>
    <n v="134"/>
    <n v="403"/>
    <n v="51579"/>
    <n v="50924"/>
    <n v="173"/>
    <x v="2"/>
    <s v="SustainabilityDrive"/>
    <n v="4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4.9800000000000004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2.37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8.11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9.1199999999999992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4.4800000000000004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1.91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6.44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7.86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7.73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6.11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6.01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8.84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9.0399999999999991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6.41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1.76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9.1999999999999993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7.36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1.77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1.75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3.88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3.16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4.46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3.32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8.6999999999999993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2.68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6.2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4.79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7.47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8.11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2.02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3.09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8.1999999999999993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5.61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4.51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6.37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8.6999999999999993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8.0299999999999994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3.85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7.8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4.55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9.39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4.9400000000000004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8.52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9.4600000000000009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2.4900000000000002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4.83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2.6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3.86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5.59"/>
  </r>
  <r>
    <s v="P186"/>
    <s v="Facebook"/>
    <d v="2024-08-24T00:00:00"/>
    <x v="2"/>
    <s v="Check out our latest carousel on facebook!"/>
    <n v="4292"/>
    <n v="51"/>
    <n v="392"/>
    <n v="55796"/>
    <n v="54826"/>
    <n v="264"/>
    <x v="4"/>
    <s v="FSDUpdate"/>
    <n v="4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4.1100000000000003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3.16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3.4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2.62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8.7200000000000006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2.88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4.5599999999999996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5.52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3.48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4.04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5.42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6.1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7.83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3.86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8.9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3.5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8.1300000000000008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7.36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9.3000000000000007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1.53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5.41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1.9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6.08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7.97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4.68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8.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2.65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5.43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8.0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2.8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4.4800000000000004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8.33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3.2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4.68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3.72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9.48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9.0299999999999994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9.08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6.58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9.4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6.11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8.64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1.87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4.7300000000000004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6.4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6.54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3.09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1.6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5.21"/>
  </r>
  <r>
    <s v="P003"/>
    <s v="YouTube"/>
    <d v="2025-05-12T00:00:00"/>
    <x v="0"/>
    <s v="Check out our latest reel on youtube!"/>
    <n v="2795"/>
    <n v="105"/>
    <n v="49"/>
    <n v="53105"/>
    <n v="52307"/>
    <n v="204"/>
    <x v="2"/>
    <s v="FSDUpdate"/>
    <n v="6.81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4.1100000000000003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3.16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3.4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2.62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8.7200000000000006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2.88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4.5599999999999996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5.52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3.48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4.04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5.42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6.1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7.83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3.86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8.9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3.5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8.1300000000000008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7.36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9.3000000000000007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1.53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5.41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1.9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6.08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7.97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4.68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8.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2.65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5.43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8.0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2.8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4.4800000000000004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8.33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3.2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4.68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3.72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9.48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9.0299999999999994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9.08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6.58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9.4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6.11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8.64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1.87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4.7300000000000004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6.4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6.54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3.09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1.6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5.21"/>
  </r>
  <r>
    <s v="P005"/>
    <s v="YouTube"/>
    <d v="2024-06-26T00:00:00"/>
    <x v="0"/>
    <s v="Check out our latest reel on youtube!"/>
    <n v="3557"/>
    <n v="687"/>
    <n v="424"/>
    <n v="71140"/>
    <n v="70701"/>
    <n v="224"/>
    <x v="4"/>
    <s v="CybertruckLaunch"/>
    <n v="6.81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4.1100000000000003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3.16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3.4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2.62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8.7200000000000006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2.88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4.5599999999999996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5.52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3.48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4.04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5.42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6.1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7.83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3.86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8.9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3.5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8.1300000000000008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7.36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9.3000000000000007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1.53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5.41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1.9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6.08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7.97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4.68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8.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2.65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5.43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8.0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2.8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4.4800000000000004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8.33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3.2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4.68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3.72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9.48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9.0299999999999994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9.08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6.58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9.4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6.11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8.64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1.87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4.7300000000000004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6.4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6.54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3.09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1.6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5.21"/>
  </r>
  <r>
    <s v="P005"/>
    <s v="YouTube"/>
    <d v="2024-06-26T00:00:00"/>
    <x v="0"/>
    <s v="Check out our latest reel on youtube!"/>
    <n v="3557"/>
    <n v="687"/>
    <n v="424"/>
    <n v="71140"/>
    <n v="70701"/>
    <n v="224"/>
    <x v="2"/>
    <s v="CybertruckLaunch"/>
    <n v="6.81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4.1100000000000003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3.16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3.4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2.62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8.7200000000000006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2.88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4.5599999999999996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5.52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3.48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4.04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5.42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6.1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7.83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3.86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8.9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3.5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8.1300000000000008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7.36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9.3000000000000007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1.53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5.41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1.9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6.08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7.97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4.68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8.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2.65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5.43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8.0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2.8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4.4800000000000004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8.33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3.2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4.68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3.72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9.48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9.0299999999999994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9.08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6.58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9.4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6.11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8.64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1.87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4.7300000000000004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6.4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6.54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3.09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1.6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5.21"/>
  </r>
  <r>
    <s v="P008"/>
    <s v="YouTube"/>
    <d v="2024-07-13T00:00:00"/>
    <x v="3"/>
    <s v="Check out our latest image on youtube!"/>
    <n v="3929"/>
    <n v="262"/>
    <n v="278"/>
    <n v="43219"/>
    <n v="42841"/>
    <n v="39"/>
    <x v="4"/>
    <s v="SustainabilityDrive"/>
    <n v="6.81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4.1100000000000003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3.16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3.4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2.62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8.7200000000000006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2.88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4.5599999999999996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5.52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3.48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4.04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5.42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6.1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7.83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3.86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8.9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3.5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8.1300000000000008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7.36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9.3000000000000007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1.53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5.41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1.9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6.08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7.97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4.68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8.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2.65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5.43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8.0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2.8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4.4800000000000004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8.33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3.2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4.68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3.72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9.48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9.0299999999999994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9.08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6.58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9.4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6.11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8.64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1.87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4.7300000000000004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6.4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6.54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3.09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1.6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5.21"/>
  </r>
  <r>
    <s v="P013"/>
    <s v="YouTube"/>
    <d v="2024-11-18T00:00:00"/>
    <x v="2"/>
    <s v="Check out our latest carousel on youtube!"/>
    <n v="1171"/>
    <n v="286"/>
    <n v="231"/>
    <n v="22249"/>
    <n v="21282"/>
    <n v="114"/>
    <x v="4"/>
    <s v="CybertruckLaunch"/>
    <n v="6.81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4.1100000000000003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3.16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3.4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2.62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8.7200000000000006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2.88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4.5599999999999996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5.52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3.48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4.04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5.42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6.1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7.83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3.86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8.9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3.5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8.1300000000000008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7.36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9.3000000000000007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1.53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5.41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1.9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6.08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7.97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4.68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8.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2.65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5.43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8.0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2.8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4.4800000000000004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8.33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3.2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4.68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3.72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9.48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9.0299999999999994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9.08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6.58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9.4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6.11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8.64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1.87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4.7300000000000004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6.4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6.54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3.09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1.6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5.21"/>
  </r>
  <r>
    <s v="P026"/>
    <s v="YouTube"/>
    <d v="2025-04-05T00:00:00"/>
    <x v="0"/>
    <s v="Check out our latest reel on youtube!"/>
    <n v="3009"/>
    <n v="413"/>
    <n v="358"/>
    <n v="42126"/>
    <n v="41309"/>
    <n v="211"/>
    <x v="0"/>
    <s v="ModelYCampaign"/>
    <n v="6.81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4.1100000000000003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3.16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3.4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2.62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8.7200000000000006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2.88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4.5599999999999996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5.52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3.48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4.04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5.42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6.1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7.83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3.86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8.9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3.5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8.1300000000000008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7.36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9.3000000000000007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1.53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5.41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1.9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6.08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7.97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4.68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8.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2.65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5.43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8.0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2.8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4.4800000000000004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8.33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3.2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4.68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3.72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9.48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9.0299999999999994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9.08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6.58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9.4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6.11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8.64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1.87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4.7300000000000004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6.4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6.54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3.09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1.6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5.21"/>
  </r>
  <r>
    <s v="P027"/>
    <s v="YouTube"/>
    <d v="2024-09-17T00:00:00"/>
    <x v="1"/>
    <s v="Check out our latest text on youtube!"/>
    <n v="2076"/>
    <n v="195"/>
    <n v="104"/>
    <n v="33216"/>
    <n v="32244"/>
    <n v="51"/>
    <x v="0"/>
    <s v="SustainabilityDrive"/>
    <n v="6.81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4.1100000000000003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3.16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3.4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2.62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8.7200000000000006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2.88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4.5599999999999996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5.52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3.48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4.04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5.42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6.1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7.83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3.86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8.9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3.5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8.1300000000000008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7.36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9.3000000000000007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1.53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5.41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1.9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6.08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7.97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4.68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8.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2.65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5.43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8.0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2.8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4.4800000000000004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8.33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3.2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4.68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3.72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9.48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9.0299999999999994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9.08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6.58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9.4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6.11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8.64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1.87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4.7300000000000004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6.4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6.54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3.09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1.6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5.21"/>
  </r>
  <r>
    <s v="P038"/>
    <s v="YouTube"/>
    <d v="2025-02-17T00:00:00"/>
    <x v="0"/>
    <s v="Check out our latest reel on youtube!"/>
    <n v="3138"/>
    <n v="123"/>
    <n v="291"/>
    <n v="28242"/>
    <n v="27550"/>
    <n v="87"/>
    <x v="2"/>
    <s v="SustainabilityDrive"/>
    <n v="6.81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4.1100000000000003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3.16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3.4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2.62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8.7200000000000006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2.88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4.5599999999999996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5.52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3.48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4.04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5.42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6.1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7.83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3.86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8.9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3.5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8.1300000000000008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7.36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9.3000000000000007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1.53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5.41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1.9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6.08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7.97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4.68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8.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2.65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5.43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8.0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2.8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4.4800000000000004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8.33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3.2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4.68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3.72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9.48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9.0299999999999994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9.08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6.58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9.4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6.11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8.64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1.87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4.7300000000000004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6.4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6.54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3.09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1.6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5.21"/>
  </r>
  <r>
    <s v="P042"/>
    <s v="YouTube"/>
    <d v="2025-03-05T00:00:00"/>
    <x v="0"/>
    <s v="Check out our latest reel on youtube!"/>
    <n v="1543"/>
    <n v="820"/>
    <n v="333"/>
    <n v="12344"/>
    <n v="11496"/>
    <n v="241"/>
    <x v="4"/>
    <m/>
    <n v="6.81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4.1100000000000003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3.16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3.4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2.62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8.7200000000000006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2.88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4.5599999999999996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5.52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3.48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4.04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5.42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6.1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7.83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3.86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8.9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3.5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8.1300000000000008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7.36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9.3000000000000007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1.53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5.41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1.9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6.08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7.97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4.68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8.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2.65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5.43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8.0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2.8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4.4800000000000004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8.33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3.2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4.68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3.72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9.48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9.0299999999999994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9.08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6.58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9.4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6.11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8.64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1.87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4.7300000000000004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6.4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6.54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3.09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1.6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5.21"/>
  </r>
  <r>
    <s v="P050"/>
    <s v="YouTube"/>
    <d v="2024-07-03T00:00:00"/>
    <x v="5"/>
    <s v="Check out our latest story on youtube!"/>
    <n v="2754"/>
    <n v="130"/>
    <n v="90"/>
    <n v="22032"/>
    <n v="21288"/>
    <n v="112"/>
    <x v="2"/>
    <s v="FSDUpdate"/>
    <n v="6.81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4.1100000000000003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3.16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3.4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2.62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8.7200000000000006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2.88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4.5599999999999996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5.52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3.48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4.04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5.42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6.1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7.83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3.86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8.9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3.5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8.1300000000000008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7.36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9.3000000000000007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1.53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5.41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1.9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6.08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7.97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4.68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8.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2.65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5.43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8.0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2.8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4.4800000000000004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8.33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3.2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4.68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3.72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9.48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9.0299999999999994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9.08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6.58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9.4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6.11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8.64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1.87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4.7300000000000004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6.4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6.54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3.09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1.6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5.21"/>
  </r>
  <r>
    <s v="P053"/>
    <s v="YouTube"/>
    <d v="2025-02-24T00:00:00"/>
    <x v="2"/>
    <s v="Check out our latest carousel on youtube!"/>
    <n v="804"/>
    <n v="639"/>
    <n v="43"/>
    <n v="4020"/>
    <n v="3144"/>
    <n v="11"/>
    <x v="4"/>
    <m/>
    <n v="6.81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4.1100000000000003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3.16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3.4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2.62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8.7200000000000006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2.88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4.5599999999999996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5.52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3.48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4.04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5.42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6.1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7.83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3.86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8.9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3.5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8.1300000000000008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7.36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9.3000000000000007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1.53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5.41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1.9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6.08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7.97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4.68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8.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2.65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5.43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8.0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2.8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4.4800000000000004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8.33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3.2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4.68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3.72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9.48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9.0299999999999994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9.08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6.58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9.4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6.11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8.64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1.87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4.7300000000000004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6.4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6.54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3.09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1.6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5.21"/>
  </r>
  <r>
    <s v="P053"/>
    <s v="YouTube"/>
    <d v="2025-02-24T00:00:00"/>
    <x v="2"/>
    <s v="Check out our latest carousel on youtube!"/>
    <n v="804"/>
    <n v="639"/>
    <n v="43"/>
    <n v="4020"/>
    <n v="3144"/>
    <n v="11"/>
    <x v="3"/>
    <m/>
    <n v="6.81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4.1100000000000003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3.16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3.4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2.62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8.7200000000000006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2.88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4.5599999999999996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5.52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3.48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4.04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5.42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6.1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7.83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3.86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8.9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3.5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8.1300000000000008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7.36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9.3000000000000007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1.53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5.41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1.9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6.08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7.97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4.68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8.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2.65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5.43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8.0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2.8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4.4800000000000004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8.33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3.2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4.68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3.72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9.48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9.0299999999999994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9.08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6.58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9.4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6.11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8.64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1.87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4.7300000000000004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6.4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6.54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3.09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1.6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5.21"/>
  </r>
  <r>
    <s v="P054"/>
    <s v="YouTube"/>
    <d v="2025-03-13T00:00:00"/>
    <x v="2"/>
    <s v="Check out our latest carousel on youtube!"/>
    <n v="1686"/>
    <n v="904"/>
    <n v="472"/>
    <n v="18546"/>
    <n v="18171"/>
    <n v="52"/>
    <x v="0"/>
    <s v="ModelYCampaign"/>
    <n v="6.81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4.1100000000000003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3.16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3.4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2.62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8.7200000000000006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2.88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4.5599999999999996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5.52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3.48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4.04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5.42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6.1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7.83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3.86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8.9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3.5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8.1300000000000008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7.36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9.3000000000000007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1.53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5.41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1.9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6.08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7.97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4.68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8.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2.65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5.43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8.0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2.8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4.4800000000000004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8.33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3.2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4.68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3.72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9.48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9.0299999999999994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9.08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6.58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9.4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6.11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8.64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1.87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4.7300000000000004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6.4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6.54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3.09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1.6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5.21"/>
  </r>
  <r>
    <s v="P071"/>
    <s v="YouTube"/>
    <d v="2024-09-02T00:00:00"/>
    <x v="2"/>
    <s v="Check out our latest carousel on youtube!"/>
    <n v="2551"/>
    <n v="915"/>
    <n v="205"/>
    <n v="30612"/>
    <n v="30360"/>
    <n v="227"/>
    <x v="2"/>
    <s v="ModelYCampaign"/>
    <n v="6.81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4.1100000000000003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3.16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3.4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2.62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8.7200000000000006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2.88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4.5599999999999996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5.52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3.48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4.04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5.42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6.1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7.83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3.86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8.9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3.5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8.1300000000000008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7.36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9.3000000000000007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1.53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5.41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1.9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6.08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7.97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4.68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8.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2.65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5.43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8.0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2.8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4.4800000000000004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8.33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3.2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4.68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3.72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9.48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9.0299999999999994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9.08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6.58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9.4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6.11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8.64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1.87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4.7300000000000004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6.4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6.54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3.09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1.6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5.21"/>
  </r>
  <r>
    <s v="P072"/>
    <s v="YouTube"/>
    <d v="2025-03-03T00:00:00"/>
    <x v="0"/>
    <s v="Check out our latest reel on youtube!"/>
    <n v="296"/>
    <n v="60"/>
    <n v="141"/>
    <n v="5624"/>
    <n v="5239"/>
    <n v="88"/>
    <x v="4"/>
    <s v="ModelYCampaign"/>
    <n v="6.81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4.1100000000000003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3.16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3.4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2.62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8.7200000000000006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2.88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4.5599999999999996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5.52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3.48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4.04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5.42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6.1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7.83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3.86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8.9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3.5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8.1300000000000008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7.36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9.3000000000000007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1.53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5.41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1.9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6.08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7.97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4.68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8.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2.65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5.43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8.0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2.8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4.4800000000000004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8.33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3.2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4.68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3.72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9.48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9.0299999999999994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9.08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6.58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9.4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6.11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8.64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1.87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4.7300000000000004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6.4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6.54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3.09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1.6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5.21"/>
  </r>
  <r>
    <s v="P074"/>
    <s v="YouTube"/>
    <d v="2024-10-28T00:00:00"/>
    <x v="0"/>
    <s v="Check out our latest reel on youtube!"/>
    <n v="1855"/>
    <n v="200"/>
    <n v="174"/>
    <n v="16695"/>
    <n v="16330"/>
    <n v="123"/>
    <x v="2"/>
    <s v="FSDUpdate"/>
    <n v="6.81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4.1100000000000003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3.16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3.4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2.62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8.7200000000000006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2.88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4.5599999999999996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5.52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3.48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4.04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5.42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6.1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7.83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3.86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8.9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3.5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8.1300000000000008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7.36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9.3000000000000007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1.53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5.41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1.9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6.08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7.97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4.68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8.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2.65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5.43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8.0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2.8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4.4800000000000004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8.33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3.2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4.68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3.72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9.48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9.0299999999999994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9.08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6.58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9.4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6.11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8.64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1.87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4.7300000000000004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6.4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6.54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3.09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1.6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5.21"/>
  </r>
  <r>
    <s v="P083"/>
    <s v="YouTube"/>
    <d v="2024-10-15T00:00:00"/>
    <x v="4"/>
    <s v="Check out our latest video on youtube!"/>
    <n v="1094"/>
    <n v="472"/>
    <n v="21"/>
    <n v="9846"/>
    <n v="9609"/>
    <n v="112"/>
    <x v="4"/>
    <m/>
    <n v="6.81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4.1100000000000003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3.16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3.4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2.62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8.7200000000000006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2.88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4.5599999999999996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5.52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3.48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4.04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5.42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6.1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7.83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3.86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8.9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3.5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8.1300000000000008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7.36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9.3000000000000007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1.53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5.41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1.9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6.08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7.97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4.68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8.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2.65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5.43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8.0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2.8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4.4800000000000004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8.33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3.2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4.68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3.72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9.48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9.0299999999999994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9.08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6.58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9.4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6.11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8.64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1.87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4.7300000000000004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6.4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6.54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3.09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1.6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5.21"/>
  </r>
  <r>
    <s v="P086"/>
    <s v="YouTube"/>
    <d v="2025-01-27T00:00:00"/>
    <x v="1"/>
    <s v="Check out our latest text on youtube!"/>
    <n v="3428"/>
    <n v="305"/>
    <n v="85"/>
    <n v="58276"/>
    <n v="58052"/>
    <n v="242"/>
    <x v="4"/>
    <s v="SustainabilityDrive"/>
    <n v="6.81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4.1100000000000003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3.16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3.4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2.62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8.7200000000000006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2.88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4.5599999999999996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5.52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3.48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4.04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5.42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6.1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7.83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3.86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8.9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3.5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8.1300000000000008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7.36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9.3000000000000007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1.53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5.41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1.9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6.08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7.97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4.68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8.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2.65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5.43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8.0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2.8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4.4800000000000004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8.33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3.2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4.68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3.72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9.48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9.0299999999999994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9.08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6.58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9.4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6.11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8.64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1.87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4.7300000000000004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6.4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6.54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3.09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1.6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5.21"/>
  </r>
  <r>
    <s v="P086"/>
    <s v="YouTube"/>
    <d v="2025-01-27T00:00:00"/>
    <x v="1"/>
    <s v="Check out our latest text on youtube!"/>
    <n v="3428"/>
    <n v="305"/>
    <n v="85"/>
    <n v="58276"/>
    <n v="58052"/>
    <n v="242"/>
    <x v="3"/>
    <s v="SustainabilityDrive"/>
    <n v="6.81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4.1100000000000003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3.16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3.4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2.62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8.7200000000000006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2.88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4.5599999999999996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5.52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3.48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4.04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5.42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6.1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7.83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3.86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8.9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3.5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8.1300000000000008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7.36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9.3000000000000007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1.53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5.41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1.9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6.08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7.97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4.68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8.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2.65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5.43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8.0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2.8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4.4800000000000004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8.33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3.2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4.68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3.72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9.48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9.0299999999999994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9.08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6.58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9.4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6.11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8.64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1.87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4.7300000000000004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6.4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6.54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3.09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1.6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5.21"/>
  </r>
  <r>
    <s v="P099"/>
    <s v="YouTube"/>
    <d v="2024-07-02T00:00:00"/>
    <x v="2"/>
    <s v="Check out our latest carousel on youtube!"/>
    <n v="4171"/>
    <n v="548"/>
    <n v="86"/>
    <n v="66736"/>
    <n v="66634"/>
    <n v="173"/>
    <x v="0"/>
    <s v="FSDUpdate"/>
    <n v="6.81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4.1100000000000003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3.16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3.4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2.62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8.7200000000000006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2.88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4.5599999999999996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5.52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3.48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4.04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5.42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6.1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7.83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3.86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8.9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3.5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8.1300000000000008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7.36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9.3000000000000007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1.53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5.41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1.9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6.08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7.97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4.68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8.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2.65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5.43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8.0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2.8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4.4800000000000004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8.33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3.2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4.68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3.72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9.48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9.0299999999999994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9.08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6.58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9.4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6.11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8.64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1.87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4.7300000000000004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6.4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6.54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3.09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1.6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5.21"/>
  </r>
  <r>
    <s v="P100"/>
    <s v="YouTube"/>
    <d v="2025-02-10T00:00:00"/>
    <x v="4"/>
    <s v="Check out our latest video on youtube!"/>
    <n v="1766"/>
    <n v="92"/>
    <n v="424"/>
    <n v="24724"/>
    <n v="24333"/>
    <n v="52"/>
    <x v="4"/>
    <m/>
    <n v="6.81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4.1100000000000003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3.16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3.4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2.62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8.7200000000000006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2.88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4.5599999999999996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5.52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3.48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4.04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5.42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6.1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7.83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3.86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8.9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3.5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8.1300000000000008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7.36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9.3000000000000007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1.53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5.41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1.9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6.08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7.97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4.68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8.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2.65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5.43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8.0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2.8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4.4800000000000004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8.33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3.2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4.68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3.72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9.48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9.0299999999999994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9.08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6.58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9.4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6.11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8.64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1.87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4.7300000000000004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6.4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6.54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3.09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1.6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5.21"/>
  </r>
  <r>
    <s v="P101"/>
    <s v="YouTube"/>
    <d v="2024-10-18T00:00:00"/>
    <x v="4"/>
    <s v="Check out our latest video on youtube!"/>
    <n v="4450"/>
    <n v="983"/>
    <n v="143"/>
    <n v="75650"/>
    <n v="75008"/>
    <n v="12"/>
    <x v="0"/>
    <s v="FSDUpdate"/>
    <n v="6.81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4.1100000000000003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3.16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3.4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2.62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8.7200000000000006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2.88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4.5599999999999996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5.52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3.48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4.04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5.42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6.1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7.83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3.86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8.9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3.5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8.1300000000000008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7.36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9.3000000000000007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1.53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5.41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1.9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6.08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7.97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4.68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8.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2.65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5.43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8.0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2.8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4.4800000000000004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8.33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3.2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4.68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3.72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9.48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9.0299999999999994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9.08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6.58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9.4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6.11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8.64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1.87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4.7300000000000004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6.4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6.54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3.09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1.6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5.21"/>
  </r>
  <r>
    <s v="P104"/>
    <s v="YouTube"/>
    <d v="2025-03-23T00:00:00"/>
    <x v="5"/>
    <s v="Check out our latest story on youtube!"/>
    <n v="3655"/>
    <n v="568"/>
    <n v="286"/>
    <n v="32895"/>
    <n v="32015"/>
    <n v="199"/>
    <x v="2"/>
    <s v="FSDUpdate"/>
    <n v="6.81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4.1100000000000003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3.16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3.4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2.62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8.7200000000000006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2.88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4.5599999999999996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5.52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3.48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4.04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5.42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6.1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7.83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3.86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8.9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3.5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8.1300000000000008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7.36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9.3000000000000007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1.53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5.41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1.9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6.08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7.97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4.68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8.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2.65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5.43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8.0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2.8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4.4800000000000004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8.33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3.2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4.68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3.72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9.48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9.0299999999999994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9.08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6.58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9.4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6.11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8.64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1.87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4.7300000000000004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6.4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6.54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3.09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1.6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5.21"/>
  </r>
  <r>
    <s v="P107"/>
    <s v="YouTube"/>
    <d v="2024-06-21T00:00:00"/>
    <x v="3"/>
    <s v="Check out our latest image on youtube!"/>
    <n v="4832"/>
    <n v="893"/>
    <n v="10"/>
    <n v="91808"/>
    <n v="91296"/>
    <n v="182"/>
    <x v="2"/>
    <m/>
    <n v="6.81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4.1100000000000003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3.16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3.4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2.62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8.7200000000000006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2.88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4.5599999999999996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5.52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3.48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4.04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5.42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6.1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7.83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3.86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8.9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3.5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8.1300000000000008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7.36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9.3000000000000007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1.53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5.41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1.9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6.08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7.97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4.68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8.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2.65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5.43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8.0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2.8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4.4800000000000004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8.33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3.2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4.68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3.72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9.48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9.0299999999999994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9.08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6.58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9.4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6.11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8.64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1.87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4.7300000000000004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6.4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6.54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3.09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1.6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5.21"/>
  </r>
  <r>
    <s v="P111"/>
    <s v="YouTube"/>
    <d v="2024-11-23T00:00:00"/>
    <x v="3"/>
    <s v="Check out our latest image on youtube!"/>
    <n v="2719"/>
    <n v="17"/>
    <n v="285"/>
    <n v="40785"/>
    <n v="40281"/>
    <n v="40"/>
    <x v="2"/>
    <s v="ModelYCampaign"/>
    <n v="6.81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4.1100000000000003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3.16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3.4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2.62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8.7200000000000006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2.88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4.5599999999999996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5.52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3.48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4.04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5.42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6.1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7.83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3.86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8.9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3.5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8.1300000000000008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7.36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9.3000000000000007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1.53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5.41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1.9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6.08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7.97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4.68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8.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2.65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5.43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8.0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2.8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4.4800000000000004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8.33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3.2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4.68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3.72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9.48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9.0299999999999994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9.08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6.58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9.4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6.11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8.64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1.87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4.7300000000000004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6.4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6.54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3.09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1.6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5.21"/>
  </r>
  <r>
    <s v="P116"/>
    <s v="YouTube"/>
    <d v="2025-03-18T00:00:00"/>
    <x v="0"/>
    <s v="Check out our latest reel on youtube!"/>
    <n v="3704"/>
    <n v="186"/>
    <n v="458"/>
    <n v="25928"/>
    <n v="25081"/>
    <n v="131"/>
    <x v="2"/>
    <m/>
    <n v="6.81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4.1100000000000003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3.16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3.4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2.62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8.7200000000000006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2.88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4.5599999999999996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5.52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3.48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4.04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5.42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6.1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7.83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3.86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8.9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3.5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8.1300000000000008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7.36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9.3000000000000007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1.53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5.41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1.9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6.08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7.97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4.68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8.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2.65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5.43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8.0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2.8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4.4800000000000004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8.33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3.2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4.68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3.72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9.48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9.0299999999999994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9.08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6.58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9.4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6.11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8.64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1.87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4.7300000000000004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6.4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6.54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3.09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1.6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5.21"/>
  </r>
  <r>
    <s v="P124"/>
    <s v="YouTube"/>
    <d v="2025-04-06T00:00:00"/>
    <x v="2"/>
    <s v="Check out our latest carousel on youtube!"/>
    <n v="736"/>
    <n v="771"/>
    <n v="225"/>
    <n v="5152"/>
    <n v="4706"/>
    <n v="19"/>
    <x v="4"/>
    <s v="CybertruckLaunch"/>
    <n v="6.81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4.1100000000000003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3.16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3.4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2.62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8.7200000000000006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2.88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4.5599999999999996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5.52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3.48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4.04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5.42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6.1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7.83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3.86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8.9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3.5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8.1300000000000008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7.36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9.3000000000000007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1.53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5.41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1.9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6.08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7.97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4.68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8.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2.65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5.43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8.0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2.8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4.4800000000000004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8.33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3.2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4.68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3.72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9.48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9.0299999999999994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9.08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6.58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9.4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6.11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8.64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1.87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4.7300000000000004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6.4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6.54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3.09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1.6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5.21"/>
  </r>
  <r>
    <s v="P130"/>
    <s v="YouTube"/>
    <d v="2024-09-29T00:00:00"/>
    <x v="0"/>
    <s v="Check out our latest reel on youtube!"/>
    <n v="2936"/>
    <n v="439"/>
    <n v="44"/>
    <n v="38168"/>
    <n v="37571"/>
    <n v="22"/>
    <x v="4"/>
    <s v="SustainabilityDrive"/>
    <n v="6.81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4.1100000000000003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3.16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3.4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2.62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8.7200000000000006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2.88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4.5599999999999996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5.52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3.48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4.04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5.42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6.1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7.83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3.86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8.9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3.5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8.1300000000000008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7.36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9.3000000000000007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1.53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5.41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1.9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6.08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7.97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4.68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8.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2.65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5.43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8.0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2.8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4.4800000000000004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8.33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3.2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4.68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3.72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9.48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9.0299999999999994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9.08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6.58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9.4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6.11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8.64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1.87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4.7300000000000004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6.4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6.54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3.09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1.6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5.21"/>
  </r>
  <r>
    <s v="P139"/>
    <s v="YouTube"/>
    <d v="2024-10-29T00:00:00"/>
    <x v="1"/>
    <s v="Check out our latest text on youtube!"/>
    <n v="2746"/>
    <n v="156"/>
    <n v="203"/>
    <n v="32952"/>
    <n v="32147"/>
    <n v="147"/>
    <x v="4"/>
    <s v="CybertruckLaunch"/>
    <n v="6.81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4.1100000000000003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3.16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3.4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2.62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8.7200000000000006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2.88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4.5599999999999996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5.52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3.48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4.04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5.42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6.1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7.83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3.86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8.9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3.5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8.1300000000000008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7.36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9.3000000000000007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1.53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5.41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1.9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6.08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7.97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4.68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8.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2.65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5.43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8.0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2.8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4.4800000000000004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8.33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3.2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4.68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3.72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9.48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9.0299999999999994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9.08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6.58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9.4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6.11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8.64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1.87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4.7300000000000004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6.4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6.54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3.09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1.6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5.21"/>
  </r>
  <r>
    <s v="P142"/>
    <s v="YouTube"/>
    <d v="2025-03-25T00:00:00"/>
    <x v="5"/>
    <s v="Check out our latest story on youtube!"/>
    <n v="2070"/>
    <n v="275"/>
    <n v="386"/>
    <n v="39330"/>
    <n v="38627"/>
    <n v="114"/>
    <x v="0"/>
    <s v="SustainabilityDrive"/>
    <n v="6.81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4.1100000000000003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3.16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3.4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2.62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8.7200000000000006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2.88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4.5599999999999996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5.52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3.48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4.04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5.42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6.1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7.83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3.86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8.9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3.5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8.1300000000000008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7.36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9.3000000000000007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1.53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5.41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1.9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6.08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7.97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4.68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8.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2.65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5.43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8.0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2.8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4.4800000000000004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8.33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3.2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4.68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3.72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9.48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9.0299999999999994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9.08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6.58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9.4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6.11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8.64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1.87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4.7300000000000004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6.4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6.54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3.09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1.6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5.21"/>
  </r>
  <r>
    <s v="P143"/>
    <s v="YouTube"/>
    <d v="2024-10-02T00:00:00"/>
    <x v="2"/>
    <s v="Check out our latest carousel on youtube!"/>
    <n v="80"/>
    <n v="362"/>
    <n v="80"/>
    <n v="1040"/>
    <n v="349"/>
    <n v="117"/>
    <x v="2"/>
    <s v="FSDUpdate"/>
    <n v="6.81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4.1100000000000003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3.16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3.4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2.62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8.7200000000000006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2.88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4.5599999999999996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5.52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3.48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4.04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5.42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6.1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7.83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3.86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8.9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3.5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8.1300000000000008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7.36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9.3000000000000007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1.53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5.41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1.9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6.08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7.97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4.68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8.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2.65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5.43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8.0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2.8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4.4800000000000004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8.33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3.2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4.68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3.72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9.48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9.0299999999999994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9.08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6.58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9.4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6.11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8.64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1.87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4.7300000000000004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6.4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6.54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3.09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1.6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5.21"/>
  </r>
  <r>
    <s v="P144"/>
    <s v="YouTube"/>
    <d v="2024-10-28T00:00:00"/>
    <x v="5"/>
    <s v="Check out our latest story on youtube!"/>
    <n v="4929"/>
    <n v="749"/>
    <n v="452"/>
    <n v="93651"/>
    <n v="92810"/>
    <n v="66"/>
    <x v="4"/>
    <s v="SustainabilityDrive"/>
    <n v="6.81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4.1100000000000003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3.16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3.4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2.62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8.7200000000000006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2.88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4.5599999999999996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5.52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3.48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4.04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5.42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6.1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7.83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3.86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8.9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3.5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8.1300000000000008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7.36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9.3000000000000007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1.53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5.41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1.9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6.08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7.97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4.68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8.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2.65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5.43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8.0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2.8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4.4800000000000004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8.33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3.2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4.68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3.72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9.48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9.0299999999999994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9.08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6.58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9.4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6.11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8.64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1.87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4.7300000000000004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6.4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6.54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3.09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1.6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5.21"/>
  </r>
  <r>
    <s v="P146"/>
    <s v="YouTube"/>
    <d v="2024-06-05T00:00:00"/>
    <x v="0"/>
    <s v="Check out our latest reel on youtube!"/>
    <n v="3065"/>
    <n v="772"/>
    <n v="142"/>
    <n v="18390"/>
    <n v="17875"/>
    <n v="200"/>
    <x v="4"/>
    <m/>
    <n v="6.81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4.1100000000000003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3.16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3.4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2.62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8.7200000000000006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2.88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4.5599999999999996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5.52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3.48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4.04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5.42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6.1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7.83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3.86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8.9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3.5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8.1300000000000008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7.36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9.3000000000000007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1.53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5.41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1.9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6.08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7.97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4.68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8.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2.65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5.43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8.0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2.8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4.4800000000000004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8.33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3.2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4.68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3.72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9.48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9.0299999999999994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9.08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6.58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9.4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6.11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8.64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1.87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4.7300000000000004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6.4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6.54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3.09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1.6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5.21"/>
  </r>
  <r>
    <s v="P146"/>
    <s v="YouTube"/>
    <d v="2024-06-05T00:00:00"/>
    <x v="0"/>
    <s v="Check out our latest reel on youtube!"/>
    <n v="3065"/>
    <n v="772"/>
    <n v="142"/>
    <n v="18390"/>
    <n v="17875"/>
    <n v="200"/>
    <x v="1"/>
    <m/>
    <n v="6.81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4.1100000000000003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3.16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3.4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2.62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8.7200000000000006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2.88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4.5599999999999996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5.52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3.48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4.04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5.42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6.1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7.83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3.86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8.9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3.5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8.1300000000000008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7.36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9.3000000000000007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1.53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5.41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1.9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6.08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7.97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4.68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8.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2.65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5.43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8.0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2.8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4.4800000000000004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8.33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3.2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4.68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3.72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9.48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9.0299999999999994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9.08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6.58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9.4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6.11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8.64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1.87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4.7300000000000004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6.4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6.54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3.09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1.6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5.21"/>
  </r>
  <r>
    <s v="P150"/>
    <s v="YouTube"/>
    <d v="2024-08-22T00:00:00"/>
    <x v="2"/>
    <s v="Check out our latest carousel on youtube!"/>
    <n v="4295"/>
    <n v="853"/>
    <n v="325"/>
    <n v="85900"/>
    <n v="85788"/>
    <n v="290"/>
    <x v="2"/>
    <s v="SustainabilityDrive"/>
    <n v="6.81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4.1100000000000003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3.16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3.4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2.62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8.7200000000000006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2.88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4.5599999999999996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5.52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3.48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4.04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5.42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6.1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7.83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3.86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8.9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3.5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8.1300000000000008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7.36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9.3000000000000007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1.53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5.41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1.9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6.08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7.97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4.68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8.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2.65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5.43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8.0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2.8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4.4800000000000004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8.33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3.2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4.68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3.72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9.48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9.0299999999999994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9.08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6.58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9.4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6.11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8.64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1.87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4.7300000000000004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6.4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6.54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3.09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1.6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5.21"/>
  </r>
  <r>
    <s v="P155"/>
    <s v="YouTube"/>
    <d v="2024-12-21T00:00:00"/>
    <x v="3"/>
    <s v="Check out our latest image on youtube!"/>
    <n v="2283"/>
    <n v="210"/>
    <n v="130"/>
    <n v="22830"/>
    <n v="22617"/>
    <n v="143"/>
    <x v="0"/>
    <s v="ModelYCampaign"/>
    <n v="6.81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4.1100000000000003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3.16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3.4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2.62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8.7200000000000006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2.88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4.5599999999999996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5.52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3.48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4.04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5.42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6.1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7.83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3.86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8.9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3.5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8.1300000000000008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7.36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9.3000000000000007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1.53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5.41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1.9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6.08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7.97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4.68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8.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2.65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5.43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8.0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2.8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4.4800000000000004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8.33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3.2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4.68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3.72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9.48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9.0299999999999994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9.08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6.58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9.4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6.11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8.64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1.87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4.7300000000000004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6.4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6.54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3.09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1.6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5.21"/>
  </r>
  <r>
    <s v="P157"/>
    <s v="YouTube"/>
    <d v="2024-07-23T00:00:00"/>
    <x v="5"/>
    <s v="Check out our latest story on youtube!"/>
    <n v="4775"/>
    <n v="173"/>
    <n v="206"/>
    <n v="47750"/>
    <n v="47544"/>
    <n v="187"/>
    <x v="0"/>
    <s v="ModelYCampaign"/>
    <n v="6.81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4.1100000000000003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3.16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3.4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2.62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8.7200000000000006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2.88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4.5599999999999996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5.52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3.48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4.04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5.42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6.1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7.83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3.86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8.9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3.5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8.1300000000000008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7.36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9.3000000000000007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1.53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5.41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1.9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6.08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7.97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4.68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8.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2.65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5.43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8.0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2.8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4.4800000000000004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8.33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3.2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4.68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3.72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9.48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9.0299999999999994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9.08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6.58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9.4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6.11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8.64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1.87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4.7300000000000004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6.4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6.54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3.09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1.6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5.21"/>
  </r>
  <r>
    <s v="P164"/>
    <s v="YouTube"/>
    <d v="2025-02-27T00:00:00"/>
    <x v="1"/>
    <s v="Check out our latest text on youtube!"/>
    <n v="4934"/>
    <n v="971"/>
    <n v="156"/>
    <n v="39472"/>
    <n v="39025"/>
    <n v="169"/>
    <x v="2"/>
    <s v="SustainabilityDrive"/>
    <n v="6.81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4.1100000000000003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3.16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3.4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2.62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8.7200000000000006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2.88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4.5599999999999996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5.52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3.48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4.04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5.42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6.1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7.83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3.86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8.9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3.5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8.1300000000000008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7.36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9.3000000000000007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1.53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5.41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1.9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6.08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7.97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4.68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8.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2.65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5.43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8.0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2.8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4.4800000000000004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8.33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3.2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4.68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3.72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9.48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9.0299999999999994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9.08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6.58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9.4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6.11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8.64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1.87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4.7300000000000004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6.4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6.54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3.09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1.6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5.21"/>
  </r>
  <r>
    <s v="P164"/>
    <s v="YouTube"/>
    <d v="2025-02-27T00:00:00"/>
    <x v="1"/>
    <s v="Check out our latest text on youtube!"/>
    <n v="4934"/>
    <n v="971"/>
    <n v="156"/>
    <n v="39472"/>
    <n v="39025"/>
    <n v="169"/>
    <x v="1"/>
    <s v="SustainabilityDrive"/>
    <n v="6.81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4.1100000000000003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3.16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3.4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2.62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8.7200000000000006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2.88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4.5599999999999996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5.52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3.48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4.04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5.42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6.1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7.83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3.86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8.9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3.5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8.1300000000000008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7.36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9.3000000000000007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1.53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5.41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1.9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6.08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7.97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4.68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8.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2.65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5.43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8.0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2.8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4.4800000000000004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8.33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3.2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4.68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3.72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9.48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9.0299999999999994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9.08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6.58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9.4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6.11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8.64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1.87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4.7300000000000004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6.4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6.54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3.09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1.6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5.21"/>
  </r>
  <r>
    <s v="P169"/>
    <s v="YouTube"/>
    <d v="2024-12-03T00:00:00"/>
    <x v="4"/>
    <s v="Check out our latest video on youtube!"/>
    <n v="3809"/>
    <n v="273"/>
    <n v="200"/>
    <n v="34281"/>
    <n v="33534"/>
    <n v="83"/>
    <x v="4"/>
    <s v="CybertruckLaunch"/>
    <n v="6.81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4.1100000000000003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3.16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3.4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2.62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8.7200000000000006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2.88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4.5599999999999996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5.52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3.48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4.04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5.42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6.1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7.83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3.86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8.9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3.5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8.1300000000000008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7.36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9.3000000000000007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1.53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5.41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1.9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6.08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7.97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4.68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8.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2.65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5.43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8.0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2.8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4.4800000000000004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8.33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3.2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4.68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3.72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9.48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9.0299999999999994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9.08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6.58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9.4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6.11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8.64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1.87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4.7300000000000004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6.4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6.54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3.09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1.6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5.21"/>
  </r>
  <r>
    <s v="P171"/>
    <s v="YouTube"/>
    <d v="2024-12-31T00:00:00"/>
    <x v="4"/>
    <s v="Check out our latest video on youtube!"/>
    <n v="1018"/>
    <n v="447"/>
    <n v="332"/>
    <n v="18324"/>
    <n v="18164"/>
    <n v="38"/>
    <x v="0"/>
    <s v="ModelYCampaign"/>
    <n v="6.81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4.1100000000000003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3.16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3.4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2.62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8.7200000000000006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2.88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4.5599999999999996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5.52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3.48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4.04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5.42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6.1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7.83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3.86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8.9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3.5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8.1300000000000008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7.36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9.3000000000000007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1.53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5.41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1.9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6.08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7.97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4.68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8.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2.65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5.43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8.0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2.8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4.4800000000000004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8.33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3.2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4.68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3.72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9.48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9.0299999999999994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9.08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6.58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9.4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6.11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8.64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1.87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4.7300000000000004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6.4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6.54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3.09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1.6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5.21"/>
  </r>
  <r>
    <s v="P180"/>
    <s v="YouTube"/>
    <d v="2024-12-03T00:00:00"/>
    <x v="1"/>
    <s v="Check out our latest text on youtube!"/>
    <n v="3711"/>
    <n v="352"/>
    <n v="290"/>
    <n v="48243"/>
    <n v="47579"/>
    <n v="11"/>
    <x v="2"/>
    <s v="CybertruckLaunch"/>
    <n v="6.81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4.1100000000000003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3.16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3.4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2.62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8.7200000000000006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2.88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4.5599999999999996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5.52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3.48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4.04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5.42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6.1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7.83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3.86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8.9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3.5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8.1300000000000008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7.36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9.3000000000000007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1.53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5.41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1.9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6.08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7.97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4.68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8.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2.65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5.43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8.0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2.8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4.4800000000000004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8.33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3.2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4.68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3.72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9.48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9.0299999999999994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9.08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6.58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9.4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6.11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8.64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1.87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4.7300000000000004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6.4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6.54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3.09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1.6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5.21"/>
  </r>
  <r>
    <s v="P181"/>
    <s v="YouTube"/>
    <d v="2025-03-21T00:00:00"/>
    <x v="3"/>
    <s v="Check out our latest image on youtube!"/>
    <n v="606"/>
    <n v="789"/>
    <n v="470"/>
    <n v="7878"/>
    <n v="7389"/>
    <n v="239"/>
    <x v="4"/>
    <s v="FSDUpdate"/>
    <n v="6.81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8.31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4.01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8.19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3.5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6.19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4.66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8.56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5.34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4.3600000000000003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9.43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8.5500000000000007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7.24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3.91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8.02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9.24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8.59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8.5500000000000007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2.09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4.97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5.9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8.25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5.22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5.68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2.46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7.32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2.69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6.37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4.2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6.66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7.74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4.68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2.2200000000000002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2.56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5.23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2.0099999999999998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6.95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6.99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7.3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3.85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8.33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5.12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1.8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5.53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7.5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4.5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5.3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2.44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3.16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3.55"/>
  </r>
  <r>
    <s v="P187"/>
    <s v="Twitter"/>
    <d v="2024-12-22T00:00:00"/>
    <x v="0"/>
    <s v="Check out our latest reel on twitter!"/>
    <n v="1644"/>
    <n v="546"/>
    <n v="150"/>
    <n v="27948"/>
    <n v="27184"/>
    <n v="300"/>
    <x v="4"/>
    <s v="FSDUpdate"/>
    <n v="7.57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4.1100000000000003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3.16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3.4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2.62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8.7200000000000006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2.88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4.5599999999999996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5.52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3.48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4.04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5.42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6.1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7.83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3.86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8.9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3.5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8.1300000000000008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7.36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9.3000000000000007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1.53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5.41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1.9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6.08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7.97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4.68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8.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2.65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5.43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8.0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2.8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4.4800000000000004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8.33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3.2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4.68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3.72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9.48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9.0299999999999994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9.08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6.58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9.4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6.11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8.64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1.87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4.7300000000000004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6.4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6.54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3.09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1.6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5.21"/>
  </r>
  <r>
    <s v="P188"/>
    <s v="YouTube"/>
    <d v="2024-06-06T00:00:00"/>
    <x v="0"/>
    <s v="Check out our latest reel on youtube!"/>
    <n v="2728"/>
    <n v="533"/>
    <n v="215"/>
    <n v="40920"/>
    <n v="40816"/>
    <n v="137"/>
    <x v="0"/>
    <s v="ModelYCampaign"/>
    <n v="6.8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4.9800000000000004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2.37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8.1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9.1199999999999992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4.4800000000000004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1.9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6.44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7.86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7.73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6.1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6.0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8.84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9.039999999999999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6.4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1.76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9.1999999999999993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7.36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1.77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1.75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3.88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3.16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4.46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3.32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8.6999999999999993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2.68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6.2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4.79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7.47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8.1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2.02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3.09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8.1999999999999993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5.6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4.51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6.37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8.6999999999999993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8.0299999999999994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3.85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7.8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4.55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9.39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4.9400000000000004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8.52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9.4600000000000009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2.4900000000000002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4.83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2.6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3.86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5.59"/>
  </r>
  <r>
    <s v="P189"/>
    <s v="Facebook"/>
    <d v="2025-03-24T00:00:00"/>
    <x v="0"/>
    <s v="Check out our latest reel on facebook!"/>
    <n v="3360"/>
    <n v="525"/>
    <n v="500"/>
    <n v="60480"/>
    <n v="59610"/>
    <n v="192"/>
    <x v="2"/>
    <s v="CybertruckLaunch"/>
    <n v="4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4.1100000000000003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3.16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3.4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2.62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8.7200000000000006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2.88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4.5599999999999996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5.52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3.48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4.04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5.42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6.1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7.83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3.86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8.9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3.5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8.1300000000000008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7.36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9.3000000000000007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1.53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5.41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1.9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6.08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7.97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4.68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8.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2.65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5.43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8.0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2.8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4.4800000000000004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8.33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3.2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4.68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3.72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9.48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9.0299999999999994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9.08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6.58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9.4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6.11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8.64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1.87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4.7300000000000004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6.4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6.54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3.09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1.6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5.21"/>
  </r>
  <r>
    <s v="P190"/>
    <s v="YouTube"/>
    <d v="2024-10-04T00:00:00"/>
    <x v="1"/>
    <s v="Check out our latest text on youtube!"/>
    <n v="1963"/>
    <n v="213"/>
    <n v="19"/>
    <n v="39260"/>
    <n v="38771"/>
    <n v="145"/>
    <x v="0"/>
    <m/>
    <n v="6.81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4.1100000000000003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3.16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3.4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2.62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8.7200000000000006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2.88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4.5599999999999996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5.52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3.48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4.04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5.42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6.1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7.83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3.86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8.9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3.5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8.1300000000000008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7.36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9.3000000000000007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1.53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5.41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1.9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6.08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7.97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4.68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8.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2.65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5.43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8.0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2.8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4.4800000000000004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8.33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3.2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4.68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3.72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9.48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9.0299999999999994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9.08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6.58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9.4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6.11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8.64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1.87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4.7300000000000004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6.4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6.54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3.09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1.6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5.21"/>
  </r>
  <r>
    <s v="P191"/>
    <s v="YouTube"/>
    <d v="2024-12-03T00:00:00"/>
    <x v="5"/>
    <s v="Check out our latest story on youtube!"/>
    <n v="4285"/>
    <n v="886"/>
    <n v="376"/>
    <n v="55705"/>
    <n v="55556"/>
    <n v="51"/>
    <x v="0"/>
    <s v="FSDUpdate"/>
    <n v="6.81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8.06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9.0500000000000007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2.46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6.92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9.36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8.74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3.74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7.88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4.05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7.8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6.2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3.25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5.71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7.16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9.09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3.4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2.36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3.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6.25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8.9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6.5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5.85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6.85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4.66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9.41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5.17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3.79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1.81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3.32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8.44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1.76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5.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3.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9.24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9.2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3.89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4.610000000000000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2.86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4.34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8.6199999999999992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7.2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7.74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1.5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6.27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3.19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6.73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6.8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5.69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6.09"/>
  </r>
  <r>
    <s v="P192"/>
    <s v="Instagram"/>
    <d v="2024-11-29T00:00:00"/>
    <x v="4"/>
    <s v="Check out our latest video on instagram!"/>
    <n v="1176"/>
    <n v="464"/>
    <n v="394"/>
    <n v="14112"/>
    <n v="13588"/>
    <n v="272"/>
    <x v="4"/>
    <m/>
    <n v="1.82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8.31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4.01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8.19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3.5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6.19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4.66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8.56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5.34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4.3600000000000003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9.43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8.5500000000000007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7.24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3.91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8.02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9.24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8.59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8.5500000000000007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2.09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4.97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5.9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8.25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5.22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5.68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2.46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7.32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2.69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6.37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4.2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6.66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7.74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4.68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2.2200000000000002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2.56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5.23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2.0099999999999998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6.95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6.99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7.3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3.85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8.33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5.12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1.8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5.53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7.5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4.5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5.3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2.44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3.16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3.55"/>
  </r>
  <r>
    <s v="P193"/>
    <s v="Twitter"/>
    <d v="2024-09-11T00:00:00"/>
    <x v="3"/>
    <s v="Check out our latest image on twitter!"/>
    <n v="4858"/>
    <n v="317"/>
    <n v="129"/>
    <n v="53438"/>
    <n v="52687"/>
    <n v="223"/>
    <x v="4"/>
    <s v="FSDUpdate"/>
    <n v="7.57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4.1100000000000003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3.16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3.4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2.62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8.7200000000000006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2.88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4.5599999999999996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5.52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3.48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4.04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5.42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6.1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7.83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3.86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8.9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3.5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8.1300000000000008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7.36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9.3000000000000007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1.53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5.41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1.9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6.08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7.97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4.68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8.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2.65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5.43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8.0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2.8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4.4800000000000004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8.33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3.2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4.68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3.72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9.48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9.0299999999999994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9.08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6.58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9.4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6.11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8.64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1.87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4.7300000000000004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6.4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6.54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3.09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1.6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5.21"/>
  </r>
  <r>
    <s v="P194"/>
    <s v="YouTube"/>
    <d v="2024-10-02T00:00:00"/>
    <x v="5"/>
    <s v="Check out our latest story on youtube!"/>
    <n v="4350"/>
    <n v="771"/>
    <n v="7"/>
    <n v="60900"/>
    <n v="60592"/>
    <n v="195"/>
    <x v="4"/>
    <s v="CybertruckLaunch"/>
    <n v="6.8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8.0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9.0500000000000007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2.4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6.9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9.3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8.7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3.7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7.88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4.0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7.8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6.2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3.2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5.7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7.1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9.0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3.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2.3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3.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6.2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8.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6.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5.8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6.8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4.6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9.4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5.17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3.7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1.8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3.3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8.4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1.7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5.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3.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9.2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9.2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3.8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4.610000000000000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2.8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4.3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8.619999999999999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7.2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7.7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1.5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6.27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3.1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6.7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6.8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5.6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6.0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0"/>
    <s v="SustainabilityDrive"/>
    <n v="1.8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8.0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9.0500000000000007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2.4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6.9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9.3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8.7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3.7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7.88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4.0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7.8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6.2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3.2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5.7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7.1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9.0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3.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2.3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3.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6.2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8.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6.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5.8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6.8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4.6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9.4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5.17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3.7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1.8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3.3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8.4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1.7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5.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3.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9.2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9.2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3.8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4.610000000000000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2.8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4.3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8.619999999999999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7.2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7.7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1.5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6.27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3.1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6.7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6.8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5.6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6.0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2"/>
    <s v="SustainabilityDrive"/>
    <n v="1.8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8.0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9.0500000000000007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2.4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6.9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9.3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8.7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3.7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7.88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4.0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7.8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6.2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3.2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5.7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7.1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9.0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3.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2.3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3.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6.2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8.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6.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5.8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6.85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4.6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9.4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5.17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3.7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1.81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3.3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8.4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1.7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5.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3.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9.2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9.2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3.8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4.610000000000000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2.86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4.3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8.6199999999999992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7.2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7.74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1.5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6.27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3.1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6.73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6.8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5.6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6.09"/>
  </r>
  <r>
    <s v="P195"/>
    <s v="Instagram"/>
    <d v="2024-08-15T00:00:00"/>
    <x v="2"/>
    <s v="Check out our latest carousel on instagram!"/>
    <n v="914"/>
    <n v="464"/>
    <n v="246"/>
    <n v="11882"/>
    <n v="11500"/>
    <n v="282"/>
    <x v="1"/>
    <s v="SustainabilityDrive"/>
    <n v="1.82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8.06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9.0500000000000007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2.46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6.92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9.36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8.74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3.74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7.88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4.05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7.8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6.2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3.25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5.71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7.16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9.09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3.4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2.36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3.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6.25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8.9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6.5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5.85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6.85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4.66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9.41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5.17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3.79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1.81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3.32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8.44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1.76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5.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3.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9.24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9.2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3.89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4.610000000000000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2.86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4.34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8.6199999999999992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7.2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7.74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1.5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6.27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3.19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6.73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6.8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5.69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6.09"/>
  </r>
  <r>
    <s v="P196"/>
    <s v="Instagram"/>
    <d v="2024-12-19T00:00:00"/>
    <x v="1"/>
    <s v="Check out our latest text on instagram!"/>
    <n v="1813"/>
    <n v="623"/>
    <n v="72"/>
    <n v="19943"/>
    <n v="18959"/>
    <n v="85"/>
    <x v="4"/>
    <s v="FSDUpdate"/>
    <n v="1.82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8.31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4.01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8.19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3.5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6.19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4.66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8.56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5.34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4.3600000000000003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9.43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8.5500000000000007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7.24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3.91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8.02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9.24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8.59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8.5500000000000007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2.09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4.97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5.9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8.25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5.22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5.68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2.46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7.32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2.69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6.37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4.2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6.66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7.74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4.68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2.2200000000000002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2.56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5.23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2.0099999999999998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6.95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6.99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7.3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3.85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8.33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5.12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1.8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5.53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7.5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4.5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5.3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2.44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3.16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3.55"/>
  </r>
  <r>
    <s v="P197"/>
    <s v="Twitter"/>
    <d v="2024-10-22T00:00:00"/>
    <x v="0"/>
    <s v="Check out our latest reel on twitter!"/>
    <n v="4782"/>
    <n v="721"/>
    <n v="82"/>
    <n v="86076"/>
    <n v="85339"/>
    <n v="19"/>
    <x v="4"/>
    <s v="CybertruckLaunch"/>
    <n v="7.57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8.31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4.01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8.19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3.5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6.19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4.66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8.56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5.34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4.3600000000000003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9.43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8.5500000000000007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7.24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3.91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8.02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9.24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8.59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8.5500000000000007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2.09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4.97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5.9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8.25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5.22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5.68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2.46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7.32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2.69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6.37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4.2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6.66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7.74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4.68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2.2200000000000002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2.56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5.23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2.0099999999999998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6.95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6.99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7.3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3.85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8.33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5.12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1.8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5.53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7.5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4.5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5.3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2.44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3.16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3.55"/>
  </r>
  <r>
    <s v="P198"/>
    <s v="Twitter"/>
    <d v="2024-09-14T00:00:00"/>
    <x v="3"/>
    <s v="Check out our latest image on twitter!"/>
    <n v="1048"/>
    <n v="374"/>
    <n v="450"/>
    <n v="9432"/>
    <n v="8882"/>
    <n v="158"/>
    <x v="2"/>
    <s v="FSDUpdate"/>
    <n v="7.57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4.1100000000000003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3.16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3.4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2.62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8.7200000000000006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2.88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4.5599999999999996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5.52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3.48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4.04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5.42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6.1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7.83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3.86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8.9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3.5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8.1300000000000008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7.36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9.3000000000000007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1.53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5.41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1.9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6.08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7.97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4.68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8.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2.65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5.43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8.0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2.8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4.4800000000000004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8.33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3.2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4.68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3.72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9.48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9.0299999999999994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9.08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6.58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9.4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6.11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8.64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1.87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4.7300000000000004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6.4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6.54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3.09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1.6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5.21"/>
  </r>
  <r>
    <s v="P199"/>
    <s v="YouTube"/>
    <d v="2024-11-30T00:00:00"/>
    <x v="2"/>
    <s v="Check out our latest carousel on youtube!"/>
    <n v="2509"/>
    <n v="324"/>
    <n v="171"/>
    <n v="35126"/>
    <n v="34685"/>
    <n v="277"/>
    <x v="2"/>
    <s v="ModelYCampaign"/>
    <n v="6.8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4.9800000000000004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2.37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8.1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9.1199999999999992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4.4800000000000004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1.9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6.44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7.86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7.73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6.1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6.0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8.84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9.039999999999999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6.4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1.76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9.1999999999999993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7.36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1.77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1.75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3.88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3.16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4.46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3.32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8.6999999999999993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2.68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6.2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4.79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7.47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8.1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2.02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3.09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8.1999999999999993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5.6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4.51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6.37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8.6999999999999993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8.0299999999999994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3.85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7.8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4.55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9.39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4.9400000000000004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8.52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9.4600000000000009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2.4900000000000002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4.83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2.6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3.86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5.59"/>
  </r>
  <r>
    <s v="P200"/>
    <s v="Facebook"/>
    <d v="2025-04-07T00:00:00"/>
    <x v="0"/>
    <s v="Check out our latest reel on facebook!"/>
    <n v="3718"/>
    <n v="385"/>
    <n v="310"/>
    <n v="70642"/>
    <n v="69749"/>
    <n v="233"/>
    <x v="2"/>
    <s v="ModelYCampaign"/>
    <n v="4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8.31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4.01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8.19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3.5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6.19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4.66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8.56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5.34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4.3600000000000003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9.43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8.5500000000000007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7.24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3.91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8.02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9.24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8.59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8.5500000000000007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2.09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4.97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5.9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8.25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5.22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5.68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2.46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7.32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2.69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6.37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4.2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6.66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7.74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4.68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2.2200000000000002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2.56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5.23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2.0099999999999998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6.95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6.99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7.3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3.85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8.33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5.12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1.8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5.53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7.5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4.5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5.3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2.44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3.16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3.55"/>
  </r>
  <r>
    <s v="P201"/>
    <s v="Twitter"/>
    <d v="2025-01-15T00:00:00"/>
    <x v="0"/>
    <s v="Check out our latest reel on twitter!"/>
    <n v="802"/>
    <n v="262"/>
    <n v="244"/>
    <n v="14436"/>
    <n v="14280"/>
    <n v="49"/>
    <x v="4"/>
    <s v="CybertruckLaunch"/>
    <n v="7.57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4.9800000000000004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2.37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8.11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9.1199999999999992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4.4800000000000004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1.91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6.44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7.86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7.73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6.11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6.01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8.84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9.0399999999999991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6.41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1.76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9.1999999999999993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7.36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1.77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1.75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3.88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3.16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4.46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3.32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8.6999999999999993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2.68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6.2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4.79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7.47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8.11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2.02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3.09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8.1999999999999993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5.61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4.51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6.37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8.6999999999999993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8.0299999999999994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3.85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7.8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4.55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9.39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4.9400000000000004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8.52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9.4600000000000009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2.4900000000000002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4.83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2.6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3.86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5.59"/>
  </r>
  <r>
    <s v="P202"/>
    <s v="Facebook"/>
    <d v="2024-06-02T00:00:00"/>
    <x v="3"/>
    <s v="Check out our latest image on facebook!"/>
    <n v="1871"/>
    <n v="252"/>
    <n v="335"/>
    <n v="29936"/>
    <n v="29576"/>
    <n v="288"/>
    <x v="4"/>
    <s v="FSDUpdate"/>
    <n v="4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8.06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9.0500000000000007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2.46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6.92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9.36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8.74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3.74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7.88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4.05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7.8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6.2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3.25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5.71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7.16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9.09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3.4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2.36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3.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6.25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8.9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6.5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5.85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6.85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4.66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9.41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5.17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3.79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1.81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3.32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8.44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1.76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5.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3.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9.24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9.2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3.89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4.610000000000000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2.86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4.34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8.6199999999999992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7.2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7.74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1.5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6.27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3.19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6.73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6.8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5.69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6.09"/>
  </r>
  <r>
    <s v="P203"/>
    <s v="Instagram"/>
    <d v="2024-11-21T00:00:00"/>
    <x v="2"/>
    <s v="Check out our latest carousel on instagram!"/>
    <n v="3773"/>
    <n v="299"/>
    <n v="38"/>
    <n v="71687"/>
    <n v="71447"/>
    <n v="286"/>
    <x v="0"/>
    <s v="CybertruckLaunch"/>
    <n v="1.82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8.06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9.0500000000000007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2.46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6.92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9.36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8.74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3.74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7.88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4.05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7.8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6.2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3.25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5.71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7.16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9.09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3.4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2.36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3.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6.25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8.9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6.5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5.85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6.85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4.66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9.41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5.17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3.79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1.81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3.32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8.44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1.76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5.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3.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9.24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9.2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3.89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4.610000000000000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2.86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4.34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8.6199999999999992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7.2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7.74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1.5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6.27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3.19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6.73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6.8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5.69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6.09"/>
  </r>
  <r>
    <s v="P204"/>
    <s v="Instagram"/>
    <d v="2025-01-01T00:00:00"/>
    <x v="2"/>
    <s v="Check out our latest carousel on instagram!"/>
    <n v="2234"/>
    <n v="653"/>
    <n v="432"/>
    <n v="11170"/>
    <n v="10569"/>
    <n v="198"/>
    <x v="0"/>
    <s v="FSDUpdate"/>
    <n v="1.82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8.31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4.01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8.19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3.5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6.19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4.66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8.56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5.34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4.3600000000000003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9.43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8.5500000000000007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7.24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3.91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8.02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9.24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8.59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8.5500000000000007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2.09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4.97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5.9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8.25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5.22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5.68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2.46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7.32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2.69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6.37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4.2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6.66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7.74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4.68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2.2200000000000002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2.56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5.23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2.0099999999999998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6.95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6.99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7.3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3.85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8.33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5.12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1.8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5.53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7.5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4.5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5.3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2.44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3.16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3.55"/>
  </r>
  <r>
    <s v="P205"/>
    <s v="Twitter"/>
    <d v="2025-04-24T00:00:00"/>
    <x v="4"/>
    <s v="Check out our latest video on twitter!"/>
    <n v="3820"/>
    <n v="697"/>
    <n v="268"/>
    <n v="45840"/>
    <n v="45631"/>
    <n v="171"/>
    <x v="2"/>
    <s v="SustainabilityDrive"/>
    <n v="7.57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8.31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4.01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8.19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3.5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6.19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4.66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8.56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5.34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4.3600000000000003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9.43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8.5500000000000007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7.24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3.91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8.02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9.24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8.59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8.5500000000000007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2.09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4.97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5.9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8.25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5.22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5.68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2.46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7.32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2.69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6.37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4.2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6.66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7.74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4.68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2.2200000000000002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2.56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5.23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2.0099999999999998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6.95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6.99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7.3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3.85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8.33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5.12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1.8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5.53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7.5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4.5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5.3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2.44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3.16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3.55"/>
  </r>
  <r>
    <s v="P205"/>
    <s v="Twitter"/>
    <d v="2025-04-24T00:00:00"/>
    <x v="4"/>
    <s v="Check out our latest video on twitter!"/>
    <n v="3820"/>
    <n v="697"/>
    <n v="268"/>
    <n v="45840"/>
    <n v="45631"/>
    <n v="171"/>
    <x v="5"/>
    <s v="SustainabilityDrive"/>
    <n v="7.57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8.31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4.01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8.19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3.5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6.19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4.66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8.56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5.34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4.3600000000000003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9.43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8.5500000000000007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7.24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3.91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8.02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9.24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8.59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8.5500000000000007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2.09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4.97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5.9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8.25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5.22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5.68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2.46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7.32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2.69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6.37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4.2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6.66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7.74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4.68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2.2200000000000002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2.56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5.23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2.0099999999999998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6.95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6.99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7.3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3.85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8.33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5.12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1.8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5.53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7.5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4.5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5.3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2.44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3.16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3.55"/>
  </r>
  <r>
    <s v="P206"/>
    <s v="Twitter"/>
    <d v="2024-06-24T00:00:00"/>
    <x v="1"/>
    <s v="Check out our latest text on twitter!"/>
    <n v="941"/>
    <n v="121"/>
    <n v="458"/>
    <n v="14115"/>
    <n v="13838"/>
    <n v="87"/>
    <x v="4"/>
    <s v="CybertruckLaunch"/>
    <n v="7.57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8.31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4.01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8.19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3.5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6.19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4.66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8.56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5.34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4.3600000000000003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9.43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8.5500000000000007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7.24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3.91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8.02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9.24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8.59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8.5500000000000007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2.09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4.97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5.9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8.25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5.22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5.68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2.46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7.32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2.69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6.37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4.2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6.66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7.74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4.68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2.2200000000000002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2.56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5.23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2.0099999999999998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6.95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6.99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7.3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3.85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8.33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5.12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1.8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5.53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7.5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4.5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5.3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2.44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3.16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3.55"/>
  </r>
  <r>
    <s v="P207"/>
    <s v="Twitter"/>
    <d v="2024-12-29T00:00:00"/>
    <x v="2"/>
    <s v="Check out our latest carousel on twitter!"/>
    <n v="4274"/>
    <n v="340"/>
    <n v="281"/>
    <n v="34192"/>
    <n v="33446"/>
    <n v="129"/>
    <x v="2"/>
    <s v="FSDUpdate"/>
    <n v="7.57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8.31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4.01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8.19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3.5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6.19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4.66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8.56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5.34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4.3600000000000003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9.43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8.5500000000000007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7.24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3.91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8.02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9.24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8.59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8.5500000000000007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2.09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4.97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5.9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8.25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5.22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5.68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2.46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7.32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2.69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6.37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4.2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6.66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7.74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4.68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2.2200000000000002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2.56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5.23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2.0099999999999998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6.95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6.99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7.3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3.85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8.33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5.12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1.8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5.53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7.5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4.5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5.3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2.44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3.16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3.55"/>
  </r>
  <r>
    <s v="P207"/>
    <s v="Twitter"/>
    <d v="2024-12-29T00:00:00"/>
    <x v="2"/>
    <s v="Check out our latest carousel on twitter!"/>
    <n v="4274"/>
    <n v="340"/>
    <n v="281"/>
    <n v="34192"/>
    <n v="33446"/>
    <n v="129"/>
    <x v="5"/>
    <s v="FSDUpdate"/>
    <n v="7.57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4.1100000000000003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3.16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3.4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2.62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8.7200000000000006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2.88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4.5599999999999996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5.52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3.48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4.04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5.42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6.1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7.83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3.86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8.9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3.5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8.1300000000000008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7.36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9.3000000000000007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1.53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5.41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1.9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6.08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7.97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4.68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8.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2.65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5.43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8.0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2.8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4.4800000000000004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8.33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3.2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4.68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3.72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9.48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9.0299999999999994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9.08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6.58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9.4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6.11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8.64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1.87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4.7300000000000004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6.4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6.54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3.09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1.6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5.21"/>
  </r>
  <r>
    <s v="P208"/>
    <s v="YouTube"/>
    <d v="2024-06-24T00:00:00"/>
    <x v="4"/>
    <s v="Check out our latest video on youtube!"/>
    <n v="2949"/>
    <n v="476"/>
    <n v="403"/>
    <n v="44235"/>
    <n v="43705"/>
    <n v="135"/>
    <x v="2"/>
    <s v="ModelYCampaign"/>
    <n v="6.81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8.31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4.01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8.19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3.5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6.19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4.66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8.56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5.34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4.3600000000000003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9.43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8.5500000000000007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7.24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3.91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8.02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9.24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8.59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8.5500000000000007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2.09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4.97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5.9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8.25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5.22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5.68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2.46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7.32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2.69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6.37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4.2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6.66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7.74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4.68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2.2200000000000002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2.56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5.23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2.0099999999999998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6.95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6.99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7.3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3.85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8.33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5.12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1.8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5.53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7.5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4.5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5.3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2.44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3.16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3.55"/>
  </r>
  <r>
    <s v="P209"/>
    <s v="Twitter"/>
    <d v="2025-03-19T00:00:00"/>
    <x v="4"/>
    <s v="Check out our latest video on twitter!"/>
    <n v="3160"/>
    <n v="204"/>
    <n v="297"/>
    <n v="44240"/>
    <n v="43666"/>
    <n v="49"/>
    <x v="0"/>
    <s v="SustainabilityDrive"/>
    <n v="7.57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8.31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4.01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8.19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3.5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6.19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4.66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8.56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5.34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4.3600000000000003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9.43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8.5500000000000007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7.24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3.91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8.02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9.24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8.59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8.5500000000000007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2.09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4.97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5.9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8.25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5.22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5.68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2.46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7.32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2.69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6.37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4.2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6.66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7.74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4.68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2.2200000000000002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2.56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5.23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2.0099999999999998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6.95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6.99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7.3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3.85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8.33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5.12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1.8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5.53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7.5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4.5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5.3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2.44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3.16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3.55"/>
  </r>
  <r>
    <s v="P209"/>
    <s v="Twitter"/>
    <d v="2025-03-19T00:00:00"/>
    <x v="4"/>
    <s v="Check out our latest video on twitter!"/>
    <n v="3160"/>
    <n v="204"/>
    <n v="297"/>
    <n v="44240"/>
    <n v="43666"/>
    <n v="49"/>
    <x v="1"/>
    <s v="SustainabilityDrive"/>
    <n v="7.57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4.1100000000000003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3.16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3.4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2.62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8.7200000000000006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2.88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4.5599999999999996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5.52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3.48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4.04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5.42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6.1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7.83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3.86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8.9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3.5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8.1300000000000008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7.36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9.3000000000000007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1.53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5.41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1.9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6.08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7.97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4.68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8.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2.65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5.43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8.0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2.8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4.4800000000000004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8.33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3.2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4.68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3.72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9.48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9.0299999999999994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9.08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6.58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9.4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6.11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8.64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1.87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4.7300000000000004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6.4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6.54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3.09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1.6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5.21"/>
  </r>
  <r>
    <s v="P210"/>
    <s v="YouTube"/>
    <d v="2025-02-19T00:00:00"/>
    <x v="3"/>
    <s v="Check out our latest image on youtube!"/>
    <n v="257"/>
    <n v="966"/>
    <n v="398"/>
    <n v="3341"/>
    <n v="2753"/>
    <n v="287"/>
    <x v="0"/>
    <s v="CybertruckLaunch"/>
    <n v="6.81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8.31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4.01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8.19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3.5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6.19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4.66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8.56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5.34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4.3600000000000003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9.43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8.5500000000000007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7.24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3.91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8.02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9.24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8.59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8.5500000000000007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2.09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4.97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5.9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8.25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5.22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5.68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2.46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7.32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2.69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6.37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4.2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6.66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7.74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4.68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2.2200000000000002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2.56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5.23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2.0099999999999998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6.95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6.99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7.3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3.85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8.33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5.12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1.8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5.53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7.5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4.5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5.3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2.44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3.16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3.55"/>
  </r>
  <r>
    <s v="P211"/>
    <s v="Twitter"/>
    <d v="2024-07-18T00:00:00"/>
    <x v="2"/>
    <s v="Check out our latest carousel on twitter!"/>
    <n v="2120"/>
    <n v="38"/>
    <n v="212"/>
    <n v="12720"/>
    <n v="12564"/>
    <n v="21"/>
    <x v="0"/>
    <s v="SustainabilityDrive"/>
    <n v="7.57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4.1100000000000003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3.16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3.4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2.62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8.7200000000000006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2.88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4.5599999999999996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5.52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3.48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4.04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5.42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6.1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7.83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3.86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8.9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3.5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8.1300000000000008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7.36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9.3000000000000007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1.53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5.41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1.9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6.08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7.97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4.68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8.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2.65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5.43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8.0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2.8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4.4800000000000004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8.33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3.2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4.68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3.72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9.48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9.0299999999999994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9.08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6.58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9.4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6.11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8.64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1.87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4.7300000000000004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6.4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6.54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3.09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1.6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5.21"/>
  </r>
  <r>
    <s v="P212"/>
    <s v="YouTube"/>
    <d v="2025-03-03T00:00:00"/>
    <x v="4"/>
    <s v="Check out our latest video on youtube!"/>
    <n v="3874"/>
    <n v="884"/>
    <n v="19"/>
    <n v="38740"/>
    <n v="38552"/>
    <n v="219"/>
    <x v="2"/>
    <s v="ModelYCampaign"/>
    <n v="6.8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4.9800000000000004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2.37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8.1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9.1199999999999992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4.4800000000000004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1.9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6.44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7.86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7.73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6.1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6.0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8.84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9.039999999999999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6.4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1.76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9.1999999999999993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7.36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1.77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1.75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3.88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3.16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4.46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3.32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8.6999999999999993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2.68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6.2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4.79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7.47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8.1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2.02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3.09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8.1999999999999993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5.6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4.51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6.37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8.6999999999999993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8.0299999999999994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3.85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7.8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4.55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9.39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4.9400000000000004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8.52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9.4600000000000009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2.4900000000000002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4.83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2.6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3.86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5.59"/>
  </r>
  <r>
    <s v="P213"/>
    <s v="Facebook"/>
    <d v="2025-05-01T00:00:00"/>
    <x v="2"/>
    <s v="Check out our latest carousel on facebook!"/>
    <n v="2696"/>
    <n v="628"/>
    <n v="443"/>
    <n v="45832"/>
    <n v="45632"/>
    <n v="248"/>
    <x v="4"/>
    <s v="SustainabilityDrive"/>
    <n v="4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8.06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9.0500000000000007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2.46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6.92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9.36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8.74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3.74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7.88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4.05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7.8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6.2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3.25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5.71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7.16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9.09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3.4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2.36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3.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6.25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8.9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6.5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5.85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6.85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4.66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9.41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5.17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3.79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1.81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3.32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8.44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1.76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5.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3.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9.24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9.2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3.89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4.610000000000000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2.86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4.34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8.6199999999999992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7.2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7.74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1.5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6.27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3.19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6.73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6.8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5.69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6.09"/>
  </r>
  <r>
    <s v="P214"/>
    <s v="Instagram"/>
    <d v="2024-12-23T00:00:00"/>
    <x v="3"/>
    <s v="Check out our latest image on instagram!"/>
    <n v="521"/>
    <n v="746"/>
    <n v="315"/>
    <n v="4168"/>
    <n v="3399"/>
    <n v="282"/>
    <x v="0"/>
    <s v="ModelYCampaign"/>
    <n v="1.82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4.9800000000000004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2.37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8.11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9.1199999999999992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4.4800000000000004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1.91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6.44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7.86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7.73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6.11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6.01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8.84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9.0399999999999991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6.41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1.76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9.1999999999999993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7.36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1.77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1.75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3.88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3.16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4.46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3.32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8.6999999999999993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2.68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6.2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4.79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7.47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8.11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2.02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3.09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8.1999999999999993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5.61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4.51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6.37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8.6999999999999993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8.0299999999999994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3.85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7.8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4.55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9.39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4.9400000000000004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8.52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9.4600000000000009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2.4900000000000002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4.83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2.6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3.86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5.59"/>
  </r>
  <r>
    <s v="P215"/>
    <s v="Facebook"/>
    <d v="2025-05-06T00:00:00"/>
    <x v="3"/>
    <s v="Check out our latest image on facebook!"/>
    <n v="4872"/>
    <n v="925"/>
    <n v="176"/>
    <n v="82824"/>
    <n v="82543"/>
    <n v="89"/>
    <x v="4"/>
    <s v="ModelYCampaign"/>
    <n v="4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4.1100000000000003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3.16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3.4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2.62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8.7200000000000006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2.88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4.5599999999999996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5.52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3.48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4.04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5.42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6.1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7.83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3.86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8.9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3.5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8.1300000000000008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7.36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9.3000000000000007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1.53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5.41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1.9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6.08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7.97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4.68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8.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2.65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5.43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8.0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2.8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4.4800000000000004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8.33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3.2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4.68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3.72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9.48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9.0299999999999994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9.08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6.58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9.4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6.11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8.64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1.87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4.7300000000000004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6.4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6.54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3.09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1.6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5.21"/>
  </r>
  <r>
    <s v="P216"/>
    <s v="YouTube"/>
    <d v="2024-07-29T00:00:00"/>
    <x v="5"/>
    <s v="Check out our latest story on youtube!"/>
    <n v="1509"/>
    <n v="88"/>
    <n v="163"/>
    <n v="30180"/>
    <n v="29689"/>
    <n v="119"/>
    <x v="4"/>
    <s v="ModelYCampaign"/>
    <n v="6.8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4.9800000000000004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2.37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8.1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9.1199999999999992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4.4800000000000004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1.9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6.44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7.86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7.73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6.1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6.0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8.84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9.039999999999999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6.4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1.76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9.1999999999999993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7.36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1.77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1.75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3.88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3.16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4.46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3.32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8.6999999999999993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2.68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6.2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4.79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7.47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8.1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2.02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3.09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8.1999999999999993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5.6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4.51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6.37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8.6999999999999993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8.0299999999999994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3.85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7.8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4.55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9.39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4.9400000000000004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8.52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9.4600000000000009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2.4900000000000002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4.83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2.6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3.86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5.59"/>
  </r>
  <r>
    <s v="P217"/>
    <s v="Facebook"/>
    <d v="2024-12-03T00:00:00"/>
    <x v="3"/>
    <s v="Check out our latest image on facebook!"/>
    <n v="4606"/>
    <n v="931"/>
    <n v="230"/>
    <n v="92120"/>
    <n v="91440"/>
    <n v="56"/>
    <x v="2"/>
    <m/>
    <n v="4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4.9800000000000004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2.37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8.11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9.1199999999999992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4.4800000000000004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1.91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6.44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7.86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7.73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6.11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6.01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8.84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9.0399999999999991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6.41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1.76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9.1999999999999993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7.36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1.77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1.75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3.88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3.16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4.46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3.32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8.6999999999999993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2.68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6.2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4.79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7.47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8.11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2.02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3.09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8.1999999999999993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5.61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4.51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6.37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8.6999999999999993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8.0299999999999994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3.85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7.8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4.55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9.39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4.9400000000000004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8.52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9.4600000000000009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2.4900000000000002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4.83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2.6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3.86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5.59"/>
  </r>
  <r>
    <s v="P218"/>
    <s v="Facebook"/>
    <d v="2024-06-11T00:00:00"/>
    <x v="2"/>
    <s v="Check out our latest carousel on facebook!"/>
    <n v="1869"/>
    <n v="453"/>
    <n v="490"/>
    <n v="14952"/>
    <n v="14309"/>
    <n v="275"/>
    <x v="2"/>
    <s v="SustainabilityDrive"/>
    <n v="4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8.31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4.01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8.19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3.5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6.19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4.66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8.56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5.34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4.3600000000000003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9.43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8.5500000000000007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7.24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3.91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8.02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9.24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8.59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8.5500000000000007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2.09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4.97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5.9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8.25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5.22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5.68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2.46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7.32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2.69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6.37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4.2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6.66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7.74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4.68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2.2200000000000002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2.56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5.23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2.0099999999999998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6.95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6.99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7.3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3.85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8.33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5.12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1.8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5.53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7.5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4.5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5.3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2.44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3.16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3.55"/>
  </r>
  <r>
    <s v="P219"/>
    <s v="Twitter"/>
    <d v="2025-01-28T00:00:00"/>
    <x v="0"/>
    <s v="Check out our latest reel on twitter!"/>
    <n v="1188"/>
    <n v="470"/>
    <n v="174"/>
    <n v="7128"/>
    <n v="6145"/>
    <n v="270"/>
    <x v="2"/>
    <s v="SustainabilityDrive"/>
    <n v="7.57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8.06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9.0500000000000007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2.46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6.92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9.36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8.74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3.74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7.88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4.05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7.8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6.2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3.25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5.71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7.16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9.09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3.4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2.36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3.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6.25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8.9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6.5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5.85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6.85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4.66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9.41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5.17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3.79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1.81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3.32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8.44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1.76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5.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3.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9.24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9.2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3.89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4.610000000000000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2.86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4.34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8.6199999999999992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7.2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7.74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1.5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6.27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3.19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6.73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6.8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5.69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6.09"/>
  </r>
  <r>
    <s v="P220"/>
    <s v="Instagram"/>
    <d v="2024-06-02T00:00:00"/>
    <x v="5"/>
    <s v="Check out our latest story on instagram!"/>
    <n v="84"/>
    <n v="897"/>
    <n v="85"/>
    <n v="588"/>
    <n v="8"/>
    <n v="12"/>
    <x v="4"/>
    <m/>
    <n v="1.82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4.9800000000000004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2.37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8.11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9.1199999999999992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4.4800000000000004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1.91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6.44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7.86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7.73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6.11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6.01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8.84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9.0399999999999991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6.41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1.76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9.1999999999999993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7.36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1.77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1.75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3.88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3.16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4.46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3.32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8.6999999999999993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2.68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6.2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4.79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7.47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8.11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2.02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3.09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8.1999999999999993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5.61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4.51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6.37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8.6999999999999993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8.0299999999999994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3.85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7.8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4.55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9.39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4.9400000000000004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8.52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9.4600000000000009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2.4900000000000002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4.83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2.6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3.86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5.59"/>
  </r>
  <r>
    <s v="P221"/>
    <s v="Facebook"/>
    <d v="2025-03-23T00:00:00"/>
    <x v="4"/>
    <s v="Check out our latest video on facebook!"/>
    <n v="4453"/>
    <n v="111"/>
    <n v="420"/>
    <n v="31171"/>
    <n v="30565"/>
    <n v="23"/>
    <x v="2"/>
    <m/>
    <n v="4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4.9800000000000004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2.37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8.11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9.1199999999999992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4.4800000000000004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1.91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6.44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7.86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7.73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6.11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6.01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8.84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9.0399999999999991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6.41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1.76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9.1999999999999993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7.36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1.77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1.75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3.88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3.16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4.46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3.32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8.6999999999999993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2.68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6.2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4.79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7.47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8.11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2.02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3.09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8.1999999999999993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5.61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4.51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6.37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8.6999999999999993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8.0299999999999994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3.85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7.8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4.55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9.39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4.9400000000000004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8.52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9.4600000000000009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2.4900000000000002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4.83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2.6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3.86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5.59"/>
  </r>
  <r>
    <s v="P222"/>
    <s v="Facebook"/>
    <d v="2024-10-08T00:00:00"/>
    <x v="0"/>
    <s v="Check out our latest reel on facebook!"/>
    <n v="1814"/>
    <n v="653"/>
    <n v="363"/>
    <n v="25396"/>
    <n v="25286"/>
    <n v="39"/>
    <x v="0"/>
    <s v="CybertruckLaunch"/>
    <n v="4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4.9800000000000004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2.37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8.11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9.1199999999999992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4.4800000000000004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1.91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6.44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7.86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7.73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6.11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6.01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8.84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9.0399999999999991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6.41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1.76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9.1999999999999993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7.36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1.77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1.75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3.88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3.16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4.46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3.32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8.6999999999999993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2.68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6.2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4.79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7.47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8.11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2.02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3.09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8.1999999999999993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5.61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4.51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6.37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8.6999999999999993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8.0299999999999994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3.85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7.8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4.55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9.39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4.9400000000000004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8.52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9.4600000000000009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2.4900000000000002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4.83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2.6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3.86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5.59"/>
  </r>
  <r>
    <s v="P222"/>
    <s v="Facebook"/>
    <d v="2024-10-08T00:00:00"/>
    <x v="0"/>
    <s v="Check out our latest reel on facebook!"/>
    <n v="1814"/>
    <n v="653"/>
    <n v="363"/>
    <n v="25396"/>
    <n v="25286"/>
    <n v="39"/>
    <x v="5"/>
    <s v="CybertruckLaunch"/>
    <n v="4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8.31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4.01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8.19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3.5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6.19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4.66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8.56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5.34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4.3600000000000003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9.43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8.5500000000000007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7.24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3.91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8.02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9.24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8.59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8.5500000000000007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2.09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4.97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5.9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8.25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5.22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5.68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2.46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7.32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2.69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6.37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4.2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6.66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7.74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4.68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2.2200000000000002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2.56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5.23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2.0099999999999998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6.95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6.99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7.3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3.85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8.33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5.12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1.8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5.53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7.5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4.5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5.3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2.44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3.16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3.55"/>
  </r>
  <r>
    <s v="P223"/>
    <s v="Twitter"/>
    <d v="2024-11-12T00:00:00"/>
    <x v="3"/>
    <s v="Check out our latest image on twitter!"/>
    <n v="3338"/>
    <n v="277"/>
    <n v="118"/>
    <n v="60084"/>
    <n v="59842"/>
    <n v="252"/>
    <x v="2"/>
    <m/>
    <n v="7.57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4.9800000000000004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2.37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8.11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9.1199999999999992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4.4800000000000004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1.91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6.44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7.86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7.73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6.11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6.01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8.84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9.0399999999999991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6.41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1.76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9.1999999999999993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7.36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1.77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1.75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3.88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3.16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4.46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3.32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8.6999999999999993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2.68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6.2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4.79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7.47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8.11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2.02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3.09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8.1999999999999993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5.61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4.51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6.37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8.6999999999999993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8.0299999999999994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3.85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7.8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4.55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9.39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4.9400000000000004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8.52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9.4600000000000009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2.4900000000000002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4.83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2.6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3.86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5.59"/>
  </r>
  <r>
    <s v="P224"/>
    <s v="Facebook"/>
    <d v="2025-05-13T00:00:00"/>
    <x v="3"/>
    <s v="Check out our latest image on facebook!"/>
    <n v="602"/>
    <n v="594"/>
    <n v="156"/>
    <n v="4214"/>
    <n v="3363"/>
    <n v="164"/>
    <x v="2"/>
    <s v="FSDUpdate"/>
    <n v="4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8.31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4.01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8.19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3.5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6.19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4.66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8.56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5.34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4.3600000000000003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9.43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8.5500000000000007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7.24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3.91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8.02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9.24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8.59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8.5500000000000007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2.09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4.97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5.9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8.25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5.22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5.68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2.46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7.32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2.69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6.37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4.2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6.66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7.74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4.68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2.2200000000000002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2.56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5.23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2.0099999999999998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6.95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6.99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7.3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3.85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8.33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5.12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1.8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5.53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7.5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4.5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5.3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2.44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3.16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3.55"/>
  </r>
  <r>
    <s v="P225"/>
    <s v="Twitter"/>
    <d v="2024-06-20T00:00:00"/>
    <x v="2"/>
    <s v="Check out our latest carousel on twitter!"/>
    <n v="4672"/>
    <n v="325"/>
    <n v="32"/>
    <n v="88768"/>
    <n v="87833"/>
    <n v="118"/>
    <x v="4"/>
    <m/>
    <n v="7.57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8.06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9.0500000000000007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2.46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6.92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9.36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8.74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3.74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7.88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4.05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7.8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6.2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3.25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5.71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7.16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9.09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3.4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2.36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3.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6.25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8.9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6.5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5.85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6.85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4.66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9.41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5.17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3.79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1.81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3.32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8.44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1.76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5.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3.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9.24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9.2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3.89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4.610000000000000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2.86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4.34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8.6199999999999992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7.2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7.74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1.5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6.27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3.19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6.73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6.8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5.69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6.09"/>
  </r>
  <r>
    <s v="P226"/>
    <s v="Instagram"/>
    <d v="2024-08-07T00:00:00"/>
    <x v="2"/>
    <s v="Check out our latest carousel on instagram!"/>
    <n v="1741"/>
    <n v="164"/>
    <n v="318"/>
    <n v="8705"/>
    <n v="8272"/>
    <n v="121"/>
    <x v="2"/>
    <m/>
    <n v="1.82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8.06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9.0500000000000007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2.46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6.92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9.36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8.74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3.74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7.88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4.05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7.8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6.2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3.25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5.71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7.16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9.09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3.4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2.36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3.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6.25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8.9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6.5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5.85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6.85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4.66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9.41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5.17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3.79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1.81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3.32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8.44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1.76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5.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3.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9.24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9.2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3.89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4.610000000000000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2.86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4.34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8.6199999999999992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7.2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7.74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1.5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6.27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3.19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6.73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6.8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5.69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6.09"/>
  </r>
  <r>
    <s v="P227"/>
    <s v="Instagram"/>
    <d v="2024-06-12T00:00:00"/>
    <x v="1"/>
    <s v="Check out our latest text on instagram!"/>
    <n v="246"/>
    <n v="149"/>
    <n v="130"/>
    <n v="4674"/>
    <n v="4390"/>
    <n v="217"/>
    <x v="0"/>
    <s v="FSDUpdate"/>
    <n v="1.82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8.06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9.0500000000000007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2.46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6.92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9.36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8.74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3.74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7.88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4.05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7.8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6.2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3.25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5.71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7.16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9.09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3.4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2.36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3.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6.25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8.9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6.5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5.85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6.85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4.66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9.41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5.17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3.79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1.81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3.32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8.44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1.76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5.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3.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9.24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9.2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3.89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4.610000000000000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2.86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4.34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8.6199999999999992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7.2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7.74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1.5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6.27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3.19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6.73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6.8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5.69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6.09"/>
  </r>
  <r>
    <s v="P228"/>
    <s v="Instagram"/>
    <d v="2024-07-01T00:00:00"/>
    <x v="5"/>
    <s v="Check out our latest story on instagram!"/>
    <n v="4808"/>
    <n v="772"/>
    <n v="320"/>
    <n v="72120"/>
    <n v="71696"/>
    <n v="195"/>
    <x v="4"/>
    <s v="CybertruckLaunch"/>
    <n v="1.82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8.06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9.0500000000000007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2.46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6.92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9.36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8.74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3.74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7.88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4.05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7.8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6.2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3.25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5.71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7.16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9.09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3.4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2.36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3.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6.25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8.9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6.5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5.85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6.85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4.66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9.41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5.17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3.79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1.81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3.32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8.44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1.76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5.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3.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9.24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9.2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3.89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4.610000000000000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2.86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4.34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8.6199999999999992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7.2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7.74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1.5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6.27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3.19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6.73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6.8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5.69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6.09"/>
  </r>
  <r>
    <s v="P229"/>
    <s v="Instagram"/>
    <d v="2024-07-03T00:00:00"/>
    <x v="2"/>
    <s v="Check out our latest carousel on instagram!"/>
    <n v="4799"/>
    <n v="694"/>
    <n v="289"/>
    <n v="43191"/>
    <n v="42228"/>
    <n v="118"/>
    <x v="2"/>
    <m/>
    <n v="1.82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4.9800000000000004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2.37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8.11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9.1199999999999992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4.4800000000000004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1.91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6.44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7.86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7.73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6.11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6.01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8.84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9.0399999999999991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6.41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1.76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9.1999999999999993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7.36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1.77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1.75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3.88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3.16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4.46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3.32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8.6999999999999993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2.68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6.2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4.79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7.47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8.11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2.02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3.09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8.1999999999999993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5.61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4.51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6.37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8.6999999999999993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8.0299999999999994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3.85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7.8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4.55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9.39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4.9400000000000004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8.52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9.4600000000000009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2.4900000000000002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4.83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2.6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3.86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5.59"/>
  </r>
  <r>
    <s v="P230"/>
    <s v="Facebook"/>
    <d v="2024-07-15T00:00:00"/>
    <x v="0"/>
    <s v="Check out our latest reel on facebook!"/>
    <n v="3663"/>
    <n v="17"/>
    <n v="295"/>
    <n v="51282"/>
    <n v="50567"/>
    <n v="84"/>
    <x v="4"/>
    <s v="FSDUpdate"/>
    <n v="4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8.06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9.0500000000000007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2.46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6.92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9.36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8.74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3.74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7.88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4.05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7.8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6.2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3.25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5.71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7.16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9.09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3.4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2.36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3.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6.25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8.9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6.5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5.85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6.85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4.66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9.41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5.17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3.79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1.81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3.32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8.44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1.76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5.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3.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9.24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9.2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3.89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4.610000000000000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2.86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4.34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8.6199999999999992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7.2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7.74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1.5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6.27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3.19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6.73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6.8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5.69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6.09"/>
  </r>
  <r>
    <s v="P231"/>
    <s v="Instagram"/>
    <d v="2025-05-01T00:00:00"/>
    <x v="1"/>
    <s v="Check out our latest text on instagram!"/>
    <n v="1430"/>
    <n v="376"/>
    <n v="33"/>
    <n v="21450"/>
    <n v="20509"/>
    <n v="251"/>
    <x v="0"/>
    <s v="CybertruckLaunch"/>
    <n v="1.82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8.31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4.01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8.19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3.5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6.19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4.66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8.56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5.34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4.3600000000000003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9.43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8.5500000000000007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7.24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3.91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8.02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9.24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8.59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8.5500000000000007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2.09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4.97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5.9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8.25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5.22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5.68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2.46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7.32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2.69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6.37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4.2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6.66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7.74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4.68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2.2200000000000002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2.56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5.23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2.0099999999999998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6.95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6.99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7.3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3.85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8.33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5.12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1.8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5.53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7.5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4.5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5.3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2.44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3.16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3.55"/>
  </r>
  <r>
    <s v="P232"/>
    <s v="Twitter"/>
    <d v="2025-04-29T00:00:00"/>
    <x v="5"/>
    <s v="Check out our latest story on twitter!"/>
    <n v="249"/>
    <n v="592"/>
    <n v="230"/>
    <n v="1494"/>
    <n v="1044"/>
    <n v="201"/>
    <x v="4"/>
    <s v="SustainabilityDrive"/>
    <n v="7.57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4.9800000000000004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2.37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8.11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9.1199999999999992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4.4800000000000004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1.91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6.44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7.86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7.73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6.11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6.01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8.84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9.0399999999999991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6.41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1.76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9.1999999999999993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7.36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1.77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1.75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3.88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3.16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4.46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3.32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8.6999999999999993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2.68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6.2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4.79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7.47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8.11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2.02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3.09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8.1999999999999993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5.61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4.51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6.37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8.6999999999999993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8.0299999999999994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3.85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7.8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4.55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9.39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4.9400000000000004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8.52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9.4600000000000009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2.4900000000000002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4.83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2.6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3.86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5.59"/>
  </r>
  <r>
    <s v="P233"/>
    <s v="Facebook"/>
    <d v="2025-03-08T00:00:00"/>
    <x v="3"/>
    <s v="Check out our latest image on facebook!"/>
    <n v="2382"/>
    <n v="265"/>
    <n v="134"/>
    <n v="38112"/>
    <n v="37437"/>
    <n v="249"/>
    <x v="0"/>
    <s v="SustainabilityDrive"/>
    <n v="4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4.9800000000000004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2.37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8.11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9.1199999999999992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4.4800000000000004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1.91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6.44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7.86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7.73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6.11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6.01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8.84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9.0399999999999991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6.41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1.76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9.1999999999999993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7.36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1.77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1.75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3.88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3.16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4.46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3.32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8.6999999999999993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2.68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6.2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4.79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7.47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8.11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2.02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3.09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8.1999999999999993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5.61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4.51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6.37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8.6999999999999993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8.0299999999999994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3.85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7.8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4.55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9.39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4.9400000000000004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8.52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9.4600000000000009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2.4900000000000002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4.83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2.6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3.86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5.59"/>
  </r>
  <r>
    <s v="P234"/>
    <s v="Facebook"/>
    <d v="2024-06-01T00:00:00"/>
    <x v="1"/>
    <s v="Check out our latest text on facebook!"/>
    <n v="1272"/>
    <n v="465"/>
    <n v="99"/>
    <n v="24168"/>
    <n v="23719"/>
    <n v="42"/>
    <x v="2"/>
    <m/>
    <n v="4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4.9800000000000004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2.37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8.11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9.1199999999999992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4.4800000000000004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1.91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6.44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7.86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7.73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6.11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6.01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8.84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9.0399999999999991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6.41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1.76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9.1999999999999993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7.36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1.77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1.75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3.88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3.16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4.46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3.32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8.6999999999999993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2.68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6.2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4.79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7.47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8.11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2.02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3.09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8.1999999999999993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5.61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4.51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6.37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8.6999999999999993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8.0299999999999994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3.85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7.8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4.55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9.39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4.9400000000000004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8.52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9.4600000000000009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2.4900000000000002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4.83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2.6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3.86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5.59"/>
  </r>
  <r>
    <s v="P235"/>
    <s v="Facebook"/>
    <d v="2024-12-22T00:00:00"/>
    <x v="3"/>
    <s v="Check out our latest image on facebook!"/>
    <n v="3196"/>
    <n v="941"/>
    <n v="376"/>
    <n v="35156"/>
    <n v="34444"/>
    <n v="241"/>
    <x v="2"/>
    <s v="FSDUpdate"/>
    <n v="4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4.9800000000000004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2.37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8.11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9.1199999999999992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4.4800000000000004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1.91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6.44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7.86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7.73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6.11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6.01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8.84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9.0399999999999991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6.41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1.76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9.1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7.36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1.77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1.75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3.88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3.16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4.46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3.32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8.6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2.68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6.2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4.79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7.47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8.11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2.02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3.09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8.1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5.61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4.51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6.37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8.6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8.0299999999999994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3.85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7.8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4.55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9.39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4.9400000000000004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8.52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9.4600000000000009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2.4900000000000002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4.83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2.6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3.86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5.59"/>
  </r>
  <r>
    <s v="P236"/>
    <s v="Facebook"/>
    <d v="2024-08-19T00:00:00"/>
    <x v="1"/>
    <s v="Check out our latest text on facebook!"/>
    <n v="1257"/>
    <n v="19"/>
    <n v="351"/>
    <n v="12570"/>
    <n v="11660"/>
    <n v="194"/>
    <x v="0"/>
    <s v="ModelYCampaign"/>
    <n v="4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4.9800000000000004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2.37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8.11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9.1199999999999992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4.4800000000000004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1.91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6.44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7.86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7.73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6.11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6.01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8.84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9.0399999999999991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6.41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1.76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9.1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7.36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1.77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1.75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3.88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3.16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4.46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3.32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8.6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2.68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6.2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4.79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7.47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8.11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2.02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3.09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8.1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5.61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4.51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6.37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8.6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8.0299999999999994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3.85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7.8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4.55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9.39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4.9400000000000004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8.52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9.4600000000000009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2.4900000000000002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4.83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2.6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3.86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5.59"/>
  </r>
  <r>
    <s v="P236"/>
    <s v="Facebook"/>
    <d v="2024-08-19T00:00:00"/>
    <x v="1"/>
    <s v="Check out our latest text on facebook!"/>
    <n v="1257"/>
    <n v="19"/>
    <n v="351"/>
    <n v="12570"/>
    <n v="11660"/>
    <n v="194"/>
    <x v="1"/>
    <s v="ModelYCampaign"/>
    <n v="4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4.9800000000000004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2.37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8.11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9.1199999999999992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4.4800000000000004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1.91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6.44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7.86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7.73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6.11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6.01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8.84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9.0399999999999991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6.41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1.76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9.1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7.36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1.77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1.75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3.88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3.16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4.46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3.32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8.6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2.68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6.2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4.79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7.47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8.11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2.02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3.09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8.1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5.61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4.51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6.37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8.6999999999999993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8.0299999999999994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3.85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7.8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4.55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9.39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4.9400000000000004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8.52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9.4600000000000009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2.4900000000000002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4.83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2.6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3.86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5.59"/>
  </r>
  <r>
    <s v="P236"/>
    <s v="Facebook"/>
    <d v="2024-08-19T00:00:00"/>
    <x v="1"/>
    <s v="Check out our latest text on facebook!"/>
    <n v="1257"/>
    <n v="19"/>
    <n v="351"/>
    <n v="12570"/>
    <n v="11660"/>
    <n v="194"/>
    <x v="4"/>
    <s v="ModelYCampaign"/>
    <n v="4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8.06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9.0500000000000007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2.46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6.92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9.36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8.74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3.74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7.88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4.05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7.8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6.2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3.25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5.71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7.16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9.09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3.4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2.36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3.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6.25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8.9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6.5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5.85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6.85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4.66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9.41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5.17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3.79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1.81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3.32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8.44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1.76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5.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3.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9.24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9.2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3.89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4.610000000000000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2.86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4.34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8.6199999999999992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7.2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7.74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1.5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6.27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3.19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6.73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6.8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5.69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6.09"/>
  </r>
  <r>
    <s v="P237"/>
    <s v="Instagram"/>
    <d v="2024-10-22T00:00:00"/>
    <x v="5"/>
    <s v="Check out our latest story on instagram!"/>
    <n v="3770"/>
    <n v="917"/>
    <n v="129"/>
    <n v="71630"/>
    <n v="71322"/>
    <n v="76"/>
    <x v="0"/>
    <s v="CybertruckLaunch"/>
    <n v="1.82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8.31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4.01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8.19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3.5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6.19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4.66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8.56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5.34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4.3600000000000003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9.43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8.5500000000000007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7.24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3.91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8.02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9.24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8.59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8.5500000000000007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2.09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4.97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5.9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8.25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5.22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5.68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2.46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7.32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2.69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6.37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4.2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6.66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7.74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4.68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2.2200000000000002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2.56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5.23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2.0099999999999998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6.95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6.99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7.3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3.85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8.33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5.12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1.8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5.53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7.5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4.5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5.3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2.44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3.16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3.55"/>
  </r>
  <r>
    <s v="P238"/>
    <s v="Twitter"/>
    <d v="2024-07-16T00:00:00"/>
    <x v="1"/>
    <s v="Check out our latest text on twitter!"/>
    <n v="4725"/>
    <n v="400"/>
    <n v="362"/>
    <n v="75600"/>
    <n v="74927"/>
    <n v="43"/>
    <x v="0"/>
    <s v="SustainabilityDrive"/>
    <n v="7.57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4.1100000000000003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3.16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3.4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2.62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8.7200000000000006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2.88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4.5599999999999996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5.52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3.48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4.04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5.42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6.1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7.83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3.86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8.9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3.5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8.1300000000000008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7.36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9.3000000000000007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1.53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5.41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1.9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6.08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7.97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4.68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8.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2.65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5.43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8.0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2.8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4.4800000000000004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8.33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3.2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4.68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3.72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9.48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9.0299999999999994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9.08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6.58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9.4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6.11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8.64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1.87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4.7300000000000004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6.4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6.54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3.09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1.6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5.21"/>
  </r>
  <r>
    <s v="P239"/>
    <s v="YouTube"/>
    <d v="2025-02-24T00:00:00"/>
    <x v="1"/>
    <s v="Check out our latest text on youtube!"/>
    <n v="4188"/>
    <n v="942"/>
    <n v="118"/>
    <n v="20940"/>
    <n v="20471"/>
    <n v="102"/>
    <x v="0"/>
    <m/>
    <n v="6.81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8.31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4.01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8.19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3.5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6.19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4.66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8.56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5.34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4.3600000000000003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9.43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8.5500000000000007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7.24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3.91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8.02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9.24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8.59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8.5500000000000007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2.09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4.97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5.9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8.25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5.22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5.68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2.46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7.32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2.69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6.37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4.2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6.66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7.74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4.68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2.2200000000000002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2.56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5.23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2.0099999999999998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6.95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6.99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7.3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3.85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8.33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5.12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1.8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5.53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7.5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4.5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5.3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2.44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3.16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3.55"/>
  </r>
  <r>
    <s v="P240"/>
    <s v="Twitter"/>
    <d v="2024-08-26T00:00:00"/>
    <x v="2"/>
    <s v="Check out our latest carousel on twitter!"/>
    <n v="929"/>
    <n v="192"/>
    <n v="322"/>
    <n v="16722"/>
    <n v="15996"/>
    <n v="145"/>
    <x v="4"/>
    <s v="FSDUpdate"/>
    <n v="7.57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8.31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4.01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8.19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3.5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6.19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4.66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8.56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5.34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4.3600000000000003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9.43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8.5500000000000007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7.24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3.91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8.02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9.24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8.59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8.5500000000000007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2.09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4.97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5.9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8.25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5.22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5.68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2.46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7.32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2.69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6.37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4.2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6.66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7.74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4.68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2.2200000000000002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2.56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5.23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2.0099999999999998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6.95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6.99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7.3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3.85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8.33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5.12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1.8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5.53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7.5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4.5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5.3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2.44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3.16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3.55"/>
  </r>
  <r>
    <s v="P240"/>
    <s v="Twitter"/>
    <d v="2024-08-26T00:00:00"/>
    <x v="2"/>
    <s v="Check out our latest carousel on twitter!"/>
    <n v="929"/>
    <n v="192"/>
    <n v="322"/>
    <n v="16722"/>
    <n v="15996"/>
    <n v="145"/>
    <x v="2"/>
    <s v="FSDUpdate"/>
    <n v="7.57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8.31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4.01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8.19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3.5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6.19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4.66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8.56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5.34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4.3600000000000003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9.43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8.5500000000000007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7.24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3.91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8.02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9.24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8.59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8.5500000000000007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2.09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4.97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5.9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8.25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5.22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5.68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2.46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7.32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2.69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6.37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4.2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6.66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7.74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4.68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2.2200000000000002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2.56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5.23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2.0099999999999998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6.95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6.99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7.3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3.85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8.33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5.12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1.8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5.53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7.5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4.5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5.3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2.44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3.16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3.55"/>
  </r>
  <r>
    <s v="P240"/>
    <s v="Twitter"/>
    <d v="2024-08-26T00:00:00"/>
    <x v="2"/>
    <s v="Check out our latest carousel on twitter!"/>
    <n v="929"/>
    <n v="192"/>
    <n v="322"/>
    <n v="16722"/>
    <n v="15996"/>
    <n v="145"/>
    <x v="1"/>
    <s v="FSDUpdate"/>
    <n v="7.57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4.9800000000000004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2.37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8.11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9.1199999999999992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4.4800000000000004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1.91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6.44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7.86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7.73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6.11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6.01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8.84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9.0399999999999991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6.41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1.76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9.1999999999999993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7.36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1.77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1.75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3.88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3.16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4.46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3.32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8.6999999999999993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2.68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6.2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4.79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7.47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8.11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2.02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3.09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8.1999999999999993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5.61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4.51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6.37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8.6999999999999993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8.0299999999999994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3.85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7.8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4.55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9.39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4.9400000000000004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8.52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9.4600000000000009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2.4900000000000002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4.83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2.6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3.86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5.59"/>
  </r>
  <r>
    <s v="P241"/>
    <s v="Facebook"/>
    <d v="2025-01-18T00:00:00"/>
    <x v="5"/>
    <s v="Check out our latest story on facebook!"/>
    <n v="4321"/>
    <n v="874"/>
    <n v="172"/>
    <n v="30247"/>
    <n v="29254"/>
    <n v="122"/>
    <x v="2"/>
    <s v="SustainabilityDrive"/>
    <n v="4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4.9800000000000004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2.37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8.11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9.1199999999999992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4.4800000000000004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1.91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6.44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7.86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7.73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6.11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6.01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8.84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9.0399999999999991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6.41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1.76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9.1999999999999993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7.36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1.77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1.75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3.88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3.16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4.46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3.32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8.6999999999999993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2.68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6.2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4.79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7.47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8.11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2.02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3.09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8.1999999999999993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5.61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4.51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6.37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8.6999999999999993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8.0299999999999994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3.85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7.8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4.55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9.39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4.9400000000000004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8.52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9.4600000000000009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2.4900000000000002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4.83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2.6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3.86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5.59"/>
  </r>
  <r>
    <s v="P242"/>
    <s v="Facebook"/>
    <d v="2024-07-07T00:00:00"/>
    <x v="0"/>
    <s v="Check out our latest reel on facebook!"/>
    <n v="4767"/>
    <n v="190"/>
    <n v="340"/>
    <n v="28602"/>
    <n v="28044"/>
    <n v="210"/>
    <x v="4"/>
    <s v="FSDUpdate"/>
    <n v="4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8.31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4.01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8.19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3.5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6.19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4.66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8.56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5.34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4.3600000000000003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9.43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8.5500000000000007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7.24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3.91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8.02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9.24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8.59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8.5500000000000007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2.09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4.97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5.9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8.25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5.22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5.68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2.46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7.32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2.69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6.37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4.2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6.66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7.74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4.68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2.2200000000000002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2.56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5.23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2.0099999999999998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6.95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6.99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7.3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3.85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8.33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5.12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1.8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5.53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7.5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4.5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5.3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2.44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3.16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3.55"/>
  </r>
  <r>
    <s v="P243"/>
    <s v="Twitter"/>
    <d v="2025-03-06T00:00:00"/>
    <x v="3"/>
    <s v="Check out our latest image on twitter!"/>
    <n v="3592"/>
    <n v="911"/>
    <n v="375"/>
    <n v="50288"/>
    <n v="49490"/>
    <n v="32"/>
    <x v="0"/>
    <s v="SustainabilityDrive"/>
    <n v="7.57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4.1100000000000003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3.16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3.4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2.62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8.7200000000000006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2.88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4.5599999999999996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5.52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3.48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4.04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5.42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6.1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7.83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3.86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8.9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3.5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8.1300000000000008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7.36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9.3000000000000007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1.53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5.41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1.9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6.08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7.97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4.68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8.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2.65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5.43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8.0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2.8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4.4800000000000004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8.33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3.2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4.68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3.72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9.48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9.0299999999999994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9.08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6.58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9.4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6.11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8.64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1.87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4.7300000000000004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6.4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6.54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3.09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1.6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5.21"/>
  </r>
  <r>
    <s v="P244"/>
    <s v="YouTube"/>
    <d v="2024-10-25T00:00:00"/>
    <x v="4"/>
    <s v="Check out our latest video on youtube!"/>
    <n v="4661"/>
    <n v="935"/>
    <n v="433"/>
    <n v="23305"/>
    <n v="22583"/>
    <n v="63"/>
    <x v="0"/>
    <s v="FSDUpdate"/>
    <n v="6.8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4.9800000000000004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2.37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8.1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9.1199999999999992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4.4800000000000004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1.9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6.44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7.86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7.73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6.1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6.0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8.84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9.039999999999999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6.4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1.76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9.1999999999999993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7.36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1.77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1.75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3.88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3.16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4.46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3.32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8.6999999999999993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2.68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6.2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4.79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7.47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8.1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2.02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3.09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8.1999999999999993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5.6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4.51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6.37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8.6999999999999993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8.0299999999999994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3.85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7.8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4.55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9.39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4.9400000000000004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8.52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9.4600000000000009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2.4900000000000002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4.83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2.6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3.86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5.59"/>
  </r>
  <r>
    <s v="P245"/>
    <s v="Facebook"/>
    <d v="2025-01-12T00:00:00"/>
    <x v="0"/>
    <s v="Check out our latest reel on facebook!"/>
    <n v="4134"/>
    <n v="824"/>
    <n v="99"/>
    <n v="41340"/>
    <n v="41050"/>
    <n v="177"/>
    <x v="4"/>
    <s v="CybertruckLaunch"/>
    <n v="4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4.9800000000000004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2.37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8.11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9.1199999999999992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4.4800000000000004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1.91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6.44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7.86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7.73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6.11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6.01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8.84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9.0399999999999991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6.41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1.76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9.1999999999999993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7.36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1.77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1.75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3.88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3.16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4.46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3.32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8.6999999999999993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2.68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6.2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4.79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7.47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8.11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2.02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3.09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8.1999999999999993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5.61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4.51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6.37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8.6999999999999993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8.0299999999999994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3.85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7.8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4.55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9.39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4.9400000000000004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8.52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9.4600000000000009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2.4900000000000002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4.83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2.6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3.86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5.59"/>
  </r>
  <r>
    <s v="P246"/>
    <s v="Facebook"/>
    <d v="2024-10-11T00:00:00"/>
    <x v="3"/>
    <s v="Check out our latest image on facebook!"/>
    <n v="400"/>
    <n v="680"/>
    <n v="434"/>
    <n v="6400"/>
    <n v="5472"/>
    <n v="160"/>
    <x v="0"/>
    <s v="ModelYCampaign"/>
    <n v="4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4.9800000000000004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2.37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8.11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9.1199999999999992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4.4800000000000004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1.91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6.44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7.86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7.73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6.11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6.01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8.84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9.0399999999999991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6.41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1.76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9.1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7.36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1.77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1.75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3.88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3.16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4.46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3.32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8.6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2.68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6.2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4.79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7.47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8.11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2.02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3.09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8.1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5.61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4.51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6.37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8.6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8.0299999999999994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3.85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7.8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4.55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9.39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4.9400000000000004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8.52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9.4600000000000009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2.4900000000000002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4.83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2.6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3.86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5.59"/>
  </r>
  <r>
    <s v="P247"/>
    <s v="Facebook"/>
    <d v="2024-08-27T00:00:00"/>
    <x v="0"/>
    <s v="Check out our latest reel on facebook!"/>
    <n v="3960"/>
    <n v="266"/>
    <n v="8"/>
    <n v="35640"/>
    <n v="34850"/>
    <n v="208"/>
    <x v="0"/>
    <m/>
    <n v="4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4.9800000000000004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2.37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8.11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9.1199999999999992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4.4800000000000004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1.91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6.44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7.86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7.73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6.11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6.01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8.84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9.0399999999999991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6.41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1.76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9.1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7.36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1.77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1.75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3.88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3.16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4.46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3.32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8.6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2.68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6.2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4.79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7.47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8.11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2.02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3.09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8.1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5.61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4.51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6.37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8.6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8.0299999999999994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3.85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7.8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4.55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9.39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4.9400000000000004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8.52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9.4600000000000009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2.4900000000000002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4.83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2.6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3.86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5.59"/>
  </r>
  <r>
    <s v="P247"/>
    <s v="Facebook"/>
    <d v="2024-08-27T00:00:00"/>
    <x v="0"/>
    <s v="Check out our latest reel on facebook!"/>
    <n v="3960"/>
    <n v="266"/>
    <n v="8"/>
    <n v="35640"/>
    <n v="34850"/>
    <n v="208"/>
    <x v="4"/>
    <m/>
    <n v="4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4.9800000000000004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2.37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8.11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9.1199999999999992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4.4800000000000004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1.91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6.44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7.86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7.73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6.11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6.01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8.84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9.0399999999999991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6.41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1.76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9.1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7.36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1.77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1.75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3.88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3.16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4.46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3.32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8.6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2.68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6.2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4.79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7.47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8.11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2.02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3.09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8.1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5.61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4.51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6.37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8.6999999999999993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8.0299999999999994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3.85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7.8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4.55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9.39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4.9400000000000004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8.52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9.4600000000000009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2.4900000000000002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4.83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2.6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3.86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5.59"/>
  </r>
  <r>
    <s v="P247"/>
    <s v="Facebook"/>
    <d v="2024-08-27T00:00:00"/>
    <x v="0"/>
    <s v="Check out our latest reel on facebook!"/>
    <n v="3960"/>
    <n v="266"/>
    <n v="8"/>
    <n v="35640"/>
    <n v="34850"/>
    <n v="208"/>
    <x v="3"/>
    <m/>
    <n v="4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4.9800000000000004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2.37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8.11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9.1199999999999992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4.4800000000000004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1.91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6.44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7.86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7.73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6.11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6.01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8.84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9.0399999999999991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6.41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1.76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9.1999999999999993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7.36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1.77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1.75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3.88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3.16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4.46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3.32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8.6999999999999993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2.68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6.2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4.79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7.47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8.11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2.02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3.09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8.1999999999999993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5.61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4.51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6.37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8.6999999999999993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8.0299999999999994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3.85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7.8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4.55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9.39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4.9400000000000004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8.52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9.4600000000000009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2.4900000000000002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4.83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2.6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3.86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5.59"/>
  </r>
  <r>
    <s v="P248"/>
    <s v="Facebook"/>
    <d v="2025-02-02T00:00:00"/>
    <x v="5"/>
    <s v="Check out our latest story on facebook!"/>
    <n v="886"/>
    <n v="126"/>
    <n v="153"/>
    <n v="4430"/>
    <n v="4037"/>
    <n v="212"/>
    <x v="4"/>
    <m/>
    <n v="4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8.31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4.01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8.19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3.5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6.19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4.66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8.56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5.34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4.3600000000000003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9.43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8.5500000000000007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7.24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3.91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8.02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9.24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8.59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8.5500000000000007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2.09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4.97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5.9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8.25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5.22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5.68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2.46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7.32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2.69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6.37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4.2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6.66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7.74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4.68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2.2200000000000002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2.56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5.23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2.0099999999999998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6.95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6.99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7.3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3.85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8.33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5.12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1.8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5.53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7.5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4.5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5.3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2.44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3.16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3.55"/>
  </r>
  <r>
    <s v="P249"/>
    <s v="Twitter"/>
    <d v="2024-07-18T00:00:00"/>
    <x v="3"/>
    <s v="Check out our latest image on twitter!"/>
    <n v="827"/>
    <n v="77"/>
    <n v="402"/>
    <n v="14886"/>
    <n v="14129"/>
    <n v="254"/>
    <x v="4"/>
    <s v="ModelYCampaign"/>
    <n v="7.57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4.9800000000000004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2.37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8.11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9.1199999999999992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4.4800000000000004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1.91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6.44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7.86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7.73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6.11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6.01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8.84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9.0399999999999991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6.41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1.76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9.1999999999999993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7.36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1.77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1.75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3.88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3.16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4.46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3.32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8.6999999999999993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2.68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6.2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4.79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7.47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8.11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2.02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3.09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8.1999999999999993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5.61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4.51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6.37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8.6999999999999993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8.0299999999999994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3.85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7.8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4.55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9.39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4.9400000000000004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8.52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9.4600000000000009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2.4900000000000002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4.83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2.6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3.86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5.59"/>
  </r>
  <r>
    <s v="P250"/>
    <s v="Facebook"/>
    <d v="2024-06-22T00:00:00"/>
    <x v="0"/>
    <s v="Check out our latest reel on facebook!"/>
    <n v="3813"/>
    <n v="935"/>
    <n v="274"/>
    <n v="68634"/>
    <n v="68488"/>
    <n v="251"/>
    <x v="0"/>
    <m/>
    <n v="4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8.06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9.0500000000000007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2.46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6.92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9.36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8.74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3.74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7.88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4.05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7.8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6.2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3.25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5.71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7.16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9.09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3.4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2.36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3.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6.25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8.9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6.5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5.85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6.85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4.66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9.41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5.17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3.79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1.81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3.32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8.44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1.76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5.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3.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9.24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9.2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3.89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4.610000000000000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2.86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4.34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8.6199999999999992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7.2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7.74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1.5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6.27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3.19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6.73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6.8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5.69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6.09"/>
  </r>
  <r>
    <s v="P251"/>
    <s v="Instagram"/>
    <d v="2025-03-27T00:00:00"/>
    <x v="2"/>
    <s v="Check out our latest carousel on instagram!"/>
    <n v="1377"/>
    <n v="796"/>
    <n v="387"/>
    <n v="22032"/>
    <n v="21869"/>
    <n v="189"/>
    <x v="0"/>
    <m/>
    <n v="1.82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4.9800000000000004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2.37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8.11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9.1199999999999992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4.4800000000000004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1.91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6.44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7.86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7.73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6.11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6.01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8.84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9.0399999999999991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6.41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1.76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9.1999999999999993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7.36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1.77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1.75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3.88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3.16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4.46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3.32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8.6999999999999993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2.68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6.2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4.79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7.47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8.11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2.02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3.09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8.1999999999999993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5.61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4.51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6.37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8.6999999999999993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8.0299999999999994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3.85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7.8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4.55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9.39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4.9400000000000004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8.52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9.4600000000000009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2.4900000000000002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4.83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2.6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3.86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5.59"/>
  </r>
  <r>
    <s v="P252"/>
    <s v="Facebook"/>
    <d v="2025-04-28T00:00:00"/>
    <x v="2"/>
    <s v="Check out our latest carousel on facebook!"/>
    <n v="2089"/>
    <n v="476"/>
    <n v="69"/>
    <n v="16712"/>
    <n v="16309"/>
    <n v="64"/>
    <x v="0"/>
    <s v="FSDUpdate"/>
    <n v="4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8.31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4.01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8.19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3.5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6.19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4.66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8.56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5.34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4.3600000000000003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9.43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8.5500000000000007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7.24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3.91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8.02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9.24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8.59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8.5500000000000007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2.09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4.97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5.9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8.25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5.22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5.68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2.46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7.32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2.69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6.37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4.2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6.66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7.74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4.68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2.2200000000000002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2.56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5.23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2.0099999999999998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6.95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6.99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7.3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3.85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8.33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5.12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1.8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5.53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7.5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4.5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5.3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2.44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3.16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3.55"/>
  </r>
  <r>
    <s v="P253"/>
    <s v="Twitter"/>
    <d v="2024-08-03T00:00:00"/>
    <x v="0"/>
    <s v="Check out our latest reel on twitter!"/>
    <n v="3791"/>
    <n v="593"/>
    <n v="228"/>
    <n v="53074"/>
    <n v="52613"/>
    <n v="205"/>
    <x v="4"/>
    <m/>
    <n v="7.57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8.31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4.01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8.19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3.5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6.19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4.66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8.56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5.34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4.3600000000000003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9.43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8.5500000000000007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7.24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3.91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8.02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9.24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8.59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8.5500000000000007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2.09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4.97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5.9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8.25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5.22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5.68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2.46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7.32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2.69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6.37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4.2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6.66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7.74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4.68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2.2200000000000002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2.56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5.23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2.0099999999999998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6.95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6.99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7.3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3.85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8.33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5.12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1.8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5.53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7.5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4.5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5.3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2.44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3.16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3.55"/>
  </r>
  <r>
    <s v="P254"/>
    <s v="Twitter"/>
    <d v="2025-01-14T00:00:00"/>
    <x v="3"/>
    <s v="Check out our latest image on twitter!"/>
    <n v="2692"/>
    <n v="115"/>
    <n v="64"/>
    <n v="21536"/>
    <n v="21120"/>
    <n v="224"/>
    <x v="0"/>
    <s v="ModelYCampaign"/>
    <n v="7.57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4.9800000000000004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2.37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8.11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9.1199999999999992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4.4800000000000004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1.91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6.44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7.86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7.73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6.11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6.01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8.84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9.0399999999999991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6.41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1.76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9.1999999999999993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7.36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1.77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1.75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3.88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3.16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4.46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3.32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8.6999999999999993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2.68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6.2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4.79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7.47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8.11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2.02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3.09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8.1999999999999993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5.61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4.51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6.37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8.6999999999999993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8.0299999999999994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3.85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7.8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4.55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9.39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4.9400000000000004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8.52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9.4600000000000009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2.4900000000000002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4.83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2.6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3.86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5.59"/>
  </r>
  <r>
    <s v="P255"/>
    <s v="Facebook"/>
    <d v="2025-04-03T00:00:00"/>
    <x v="5"/>
    <s v="Check out our latest story on facebook!"/>
    <n v="3767"/>
    <n v="514"/>
    <n v="238"/>
    <n v="37670"/>
    <n v="36807"/>
    <n v="226"/>
    <x v="0"/>
    <s v="SustainabilityDrive"/>
    <n v="4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4.1100000000000003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3.16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3.4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2.62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8.7200000000000006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2.88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4.5599999999999996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5.52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3.48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4.04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5.42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6.1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7.83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3.86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8.9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3.5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8.1300000000000008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7.36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9.3000000000000007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1.53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5.41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1.9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6.08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7.97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4.68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8.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2.65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5.43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8.0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2.8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4.4800000000000004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8.33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3.2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4.68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3.72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9.48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9.0299999999999994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9.08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6.58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9.4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6.11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8.64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1.87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4.7300000000000004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6.4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6.54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3.09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1.6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5.21"/>
  </r>
  <r>
    <s v="P256"/>
    <s v="YouTube"/>
    <d v="2024-09-18T00:00:00"/>
    <x v="2"/>
    <s v="Check out our latest carousel on youtube!"/>
    <n v="2143"/>
    <n v="12"/>
    <n v="204"/>
    <n v="40717"/>
    <n v="40125"/>
    <n v="248"/>
    <x v="4"/>
    <s v="ModelYCampaign"/>
    <n v="6.8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980000000000000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37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1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119999999999999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480000000000000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1.9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4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8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7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1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0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8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039999999999999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4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1.7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1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3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1.77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1.75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88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1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4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3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6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68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7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47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1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0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0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1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5.6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5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37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6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029999999999999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85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8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55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3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940000000000000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5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460000000000000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490000000000000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8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8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5.5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980000000000000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37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1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119999999999999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480000000000000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1.9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4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8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7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1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0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8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039999999999999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4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1.7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1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3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1.77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1.75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88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1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4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3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6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68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7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47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1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0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0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1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5.6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51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6.37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6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029999999999999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85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7.8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55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3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9400000000000004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8.5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9.460000000000000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4900000000000002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.83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2.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3.86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5.59"/>
  </r>
  <r>
    <s v="P257"/>
    <s v="Facebook"/>
    <d v="2025-04-06T00:00:00"/>
    <x v="3"/>
    <s v="Check out our latest image on facebook!"/>
    <n v="3090"/>
    <n v="697"/>
    <n v="164"/>
    <n v="49440"/>
    <n v="48524"/>
    <n v="25"/>
    <x v="4"/>
    <s v="ModelYCampaign"/>
    <n v="4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4.9800000000000004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2.37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8.11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9.1199999999999992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4.4800000000000004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1.91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6.44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7.86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7.73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6.11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6.01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8.84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9.0399999999999991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6.41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1.76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9.1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7.36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1.77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1.75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3.88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3.16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4.46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3.32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8.6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2.68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6.2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4.79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7.47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8.11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2.02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3.09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8.1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5.61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4.51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6.37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8.6999999999999993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8.0299999999999994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3.85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7.8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4.55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9.39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4.9400000000000004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8.52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9.4600000000000009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2.4900000000000002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4.83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2.6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3.86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5.59"/>
  </r>
  <r>
    <s v="P257"/>
    <s v="Facebook"/>
    <d v="2025-04-06T00:00:00"/>
    <x v="3"/>
    <s v="Check out our latest image on facebook!"/>
    <n v="3090"/>
    <n v="697"/>
    <n v="164"/>
    <n v="49440"/>
    <n v="48524"/>
    <n v="25"/>
    <x v="3"/>
    <s v="ModelYCampaign"/>
    <n v="4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8.06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9.0500000000000007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2.46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6.92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9.36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8.74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3.74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7.88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4.05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7.8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6.2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3.25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5.71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7.16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9.09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3.4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2.36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3.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6.25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8.9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6.5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5.85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6.85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4.66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9.41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5.17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3.79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1.81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3.32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8.44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1.76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5.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3.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9.24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9.2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3.89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4.610000000000000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2.86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4.34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8.6199999999999992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7.2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7.74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1.5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6.27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3.19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6.73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6.8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5.69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6.09"/>
  </r>
  <r>
    <s v="P258"/>
    <s v="Instagram"/>
    <d v="2024-08-05T00:00:00"/>
    <x v="5"/>
    <s v="Check out our latest story on instagram!"/>
    <n v="3601"/>
    <n v="695"/>
    <n v="75"/>
    <n v="21606"/>
    <n v="21454"/>
    <n v="172"/>
    <x v="4"/>
    <s v="ModelYCampaign"/>
    <n v="1.82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4.9800000000000004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2.37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8.11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9.1199999999999992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4.4800000000000004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1.91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6.44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7.86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7.73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6.11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6.01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8.84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9.0399999999999991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6.41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1.76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9.1999999999999993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7.36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1.77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1.75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3.88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3.16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4.46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3.32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8.6999999999999993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2.68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6.2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4.79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7.47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8.11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2.02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3.09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8.1999999999999993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5.61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4.51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6.37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8.6999999999999993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8.0299999999999994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3.85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7.8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4.55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9.39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4.9400000000000004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8.52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9.4600000000000009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2.4900000000000002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4.83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2.6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3.86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5.59"/>
  </r>
  <r>
    <s v="P259"/>
    <s v="Facebook"/>
    <d v="2025-02-10T00:00:00"/>
    <x v="1"/>
    <s v="Check out our latest text on facebook!"/>
    <n v="562"/>
    <n v="158"/>
    <n v="149"/>
    <n v="3372"/>
    <n v="2940"/>
    <n v="93"/>
    <x v="2"/>
    <s v="CybertruckLaunch"/>
    <n v="4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8.06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9.0500000000000007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2.46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6.92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9.36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8.74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3.74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7.88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4.05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7.8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6.2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3.25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5.71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7.16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9.09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3.4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2.36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3.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6.25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8.9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6.5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5.85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6.85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4.66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9.41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5.17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3.79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1.81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3.32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8.44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1.76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5.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3.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9.24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9.2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3.89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4.610000000000000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2.86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4.34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8.6199999999999992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7.2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7.74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1.5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6.27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3.19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6.73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6.8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5.69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6.09"/>
  </r>
  <r>
    <s v="P260"/>
    <s v="Instagram"/>
    <d v="2025-02-12T00:00:00"/>
    <x v="5"/>
    <s v="Check out our latest story on instagram!"/>
    <n v="4332"/>
    <n v="771"/>
    <n v="219"/>
    <n v="60648"/>
    <n v="60397"/>
    <n v="10"/>
    <x v="2"/>
    <s v="FSDUpdate"/>
    <n v="1.82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8.06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9.0500000000000007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2.46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6.92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9.36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8.74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3.74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7.88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4.05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7.8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6.2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3.25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5.71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7.16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9.09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3.4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2.36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3.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6.25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8.9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6.5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5.85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6.85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4.66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9.41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5.17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3.79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1.81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3.32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8.44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1.76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5.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3.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9.24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9.2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3.89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4.610000000000000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2.86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4.34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8.6199999999999992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7.2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7.74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1.5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6.27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3.19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6.73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6.8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5.69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6.09"/>
  </r>
  <r>
    <s v="P260"/>
    <s v="Instagram"/>
    <d v="2025-02-12T00:00:00"/>
    <x v="5"/>
    <s v="Check out our latest story on instagram!"/>
    <n v="4332"/>
    <n v="771"/>
    <n v="219"/>
    <n v="60648"/>
    <n v="60397"/>
    <n v="10"/>
    <x v="4"/>
    <s v="FSDUpdate"/>
    <n v="1.82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8.06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9.0500000000000007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2.46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6.92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9.36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8.74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3.74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7.88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4.05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7.8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6.2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3.25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5.71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7.16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9.09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3.4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2.36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3.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6.25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8.9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6.5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5.85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6.85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4.66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9.41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5.17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3.79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1.81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3.32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8.44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1.76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5.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3.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9.24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9.2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3.89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4.610000000000000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2.86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4.34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8.6199999999999992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7.2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7.74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1.5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6.27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3.19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6.73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6.8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5.69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6.09"/>
  </r>
  <r>
    <s v="P260"/>
    <s v="Instagram"/>
    <d v="2025-02-12T00:00:00"/>
    <x v="5"/>
    <s v="Check out our latest story on instagram!"/>
    <n v="4332"/>
    <n v="771"/>
    <n v="219"/>
    <n v="60648"/>
    <n v="60397"/>
    <n v="10"/>
    <x v="3"/>
    <s v="FSDUpdate"/>
    <n v="1.82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8.06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9.0500000000000007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2.46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6.92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9.36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8.74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3.74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7.88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4.05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7.8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6.2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3.25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5.71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7.16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9.09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3.4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2.36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3.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6.25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8.9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6.5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5.85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6.85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4.66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9.41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5.17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3.79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1.81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3.32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8.44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1.76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5.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3.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9.24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9.2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3.89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4.610000000000000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2.86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4.34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8.6199999999999992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7.2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7.74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1.5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6.27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3.19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6.73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6.8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5.69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6.09"/>
  </r>
  <r>
    <s v="P261"/>
    <s v="Instagram"/>
    <d v="2024-10-27T00:00:00"/>
    <x v="3"/>
    <s v="Check out our latest image on instagram!"/>
    <n v="4853"/>
    <n v="837"/>
    <n v="340"/>
    <n v="72795"/>
    <n v="72237"/>
    <n v="170"/>
    <x v="4"/>
    <s v="CybertruckLaunch"/>
    <n v="1.82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4.1100000000000003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3.16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3.4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2.62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8.7200000000000006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2.88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4.5599999999999996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5.52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3.48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4.04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5.42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6.1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7.83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3.86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8.9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3.5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8.1300000000000008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7.36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9.3000000000000007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1.53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5.41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1.9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6.08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7.97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4.68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8.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2.65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5.43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8.0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2.8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4.4800000000000004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8.33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3.2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4.68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3.72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9.48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9.0299999999999994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9.08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6.58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9.4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6.11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8.64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1.87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4.7300000000000004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6.4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6.54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3.09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1.6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5.21"/>
  </r>
  <r>
    <s v="P262"/>
    <s v="YouTube"/>
    <d v="2025-01-18T00:00:00"/>
    <x v="3"/>
    <s v="Check out our latest image on youtube!"/>
    <n v="1206"/>
    <n v="238"/>
    <n v="36"/>
    <n v="9648"/>
    <n v="9417"/>
    <n v="237"/>
    <x v="2"/>
    <m/>
    <n v="6.81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8.06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9.0500000000000007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2.46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6.92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9.36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8.74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3.74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7.88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4.05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7.8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6.2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3.25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5.71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7.16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9.09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3.4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2.36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3.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6.25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8.9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6.5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5.85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6.85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4.66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9.41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5.17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3.79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1.81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3.32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8.44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1.76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5.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3.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9.24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9.2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3.89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4.610000000000000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2.86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4.34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8.6199999999999992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7.2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7.74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1.5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6.27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3.19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6.73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6.8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5.69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6.09"/>
  </r>
  <r>
    <s v="P263"/>
    <s v="Instagram"/>
    <d v="2024-08-20T00:00:00"/>
    <x v="0"/>
    <s v="Check out our latest reel on instagram!"/>
    <n v="2603"/>
    <n v="690"/>
    <n v="205"/>
    <n v="13015"/>
    <n v="12130"/>
    <n v="20"/>
    <x v="0"/>
    <s v="ModelYCampaign"/>
    <n v="1.82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8.31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4.01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8.19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3.5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6.19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4.66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8.56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5.34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4.3600000000000003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9.43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8.5500000000000007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7.24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3.91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8.02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9.24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8.59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8.5500000000000007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2.09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4.97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5.9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8.25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5.22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5.68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2.46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7.32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2.69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6.37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4.2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6.66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7.74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4.68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2.2200000000000002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2.56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5.23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2.0099999999999998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6.95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6.99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7.3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3.85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8.33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5.12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1.8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5.53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7.5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4.5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5.3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2.44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3.16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3.55"/>
  </r>
  <r>
    <s v="P264"/>
    <s v="Twitter"/>
    <d v="2025-01-30T00:00:00"/>
    <x v="3"/>
    <s v="Check out our latest image on twitter!"/>
    <n v="59"/>
    <n v="163"/>
    <n v="93"/>
    <n v="590"/>
    <n v="475"/>
    <n v="293"/>
    <x v="2"/>
    <s v="ModelYCampaign"/>
    <n v="7.57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8.31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4.01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8.19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3.5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6.19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4.66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8.56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5.34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4.3600000000000003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9.43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8.5500000000000007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7.24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3.91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8.02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9.24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8.59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8.5500000000000007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2.09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4.97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5.9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8.25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5.22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5.68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2.46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7.32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2.69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6.37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4.2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6.66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7.74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4.68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2.2200000000000002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2.56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5.23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2.0099999999999998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6.95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6.99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7.3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3.85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8.33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5.12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1.8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5.53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7.5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4.5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5.3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2.44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3.16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3.55"/>
  </r>
  <r>
    <s v="P265"/>
    <s v="Twitter"/>
    <d v="2025-02-20T00:00:00"/>
    <x v="2"/>
    <s v="Check out our latest carousel on twitter!"/>
    <n v="1877"/>
    <n v="745"/>
    <n v="225"/>
    <n v="11262"/>
    <n v="10967"/>
    <n v="41"/>
    <x v="4"/>
    <s v="SustainabilityDrive"/>
    <n v="7.57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4.9800000000000004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2.37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8.11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9.1199999999999992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4.4800000000000004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1.91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6.44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7.86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7.73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6.11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6.01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8.84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9.0399999999999991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6.41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1.76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9.1999999999999993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7.36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1.77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1.75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3.88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3.16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4.46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3.32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8.6999999999999993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2.68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6.2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4.79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7.47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8.11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2.02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3.09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8.1999999999999993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5.61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4.51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6.37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8.6999999999999993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8.0299999999999994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3.85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7.8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4.55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9.39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4.9400000000000004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8.52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9.4600000000000009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2.4900000000000002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4.83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2.6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3.86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5.59"/>
  </r>
  <r>
    <s v="P266"/>
    <s v="Facebook"/>
    <d v="2024-11-25T00:00:00"/>
    <x v="5"/>
    <s v="Check out our latest story on facebook!"/>
    <n v="4182"/>
    <n v="640"/>
    <n v="240"/>
    <n v="50184"/>
    <n v="49351"/>
    <n v="10"/>
    <x v="2"/>
    <s v="FSDUpdate"/>
    <n v="4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8.31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4.01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8.19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3.5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6.19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4.66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8.56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5.34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4.3600000000000003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9.43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8.5500000000000007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7.24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3.91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8.02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9.24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8.59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8.5500000000000007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2.09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4.97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5.9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8.25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5.22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5.68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2.46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7.32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2.69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6.37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4.2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6.66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7.74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4.68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2.2200000000000002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2.56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5.23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2.0099999999999998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6.95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6.99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7.3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3.85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8.33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5.12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1.8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5.53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7.5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4.5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5.3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2.44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3.16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3.55"/>
  </r>
  <r>
    <s v="P267"/>
    <s v="Twitter"/>
    <d v="2024-10-04T00:00:00"/>
    <x v="0"/>
    <s v="Check out our latest reel on twitter!"/>
    <n v="4187"/>
    <n v="66"/>
    <n v="31"/>
    <n v="66992"/>
    <n v="66614"/>
    <n v="62"/>
    <x v="0"/>
    <m/>
    <n v="7.57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8.06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9.0500000000000007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2.46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6.92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9.36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8.74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3.74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7.88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4.05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7.8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6.2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3.25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5.71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7.16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9.09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3.4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2.36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3.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6.25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8.9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6.5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5.85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6.85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4.66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9.41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5.17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3.79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1.81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3.32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8.44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1.76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5.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3.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9.24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9.2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3.89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4.610000000000000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2.86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4.34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8.6199999999999992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7.2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7.74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1.5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6.27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3.19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6.73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6.8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5.69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6.09"/>
  </r>
  <r>
    <s v="P268"/>
    <s v="Instagram"/>
    <d v="2025-04-13T00:00:00"/>
    <x v="0"/>
    <s v="Check out our latest reel on instagram!"/>
    <n v="4579"/>
    <n v="125"/>
    <n v="300"/>
    <n v="59527"/>
    <n v="59400"/>
    <n v="269"/>
    <x v="4"/>
    <s v="CybertruckLaunch"/>
    <n v="1.82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8.06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9.0500000000000007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2.46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6.92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9.36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8.74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3.74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7.88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4.05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7.8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6.2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3.25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5.71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7.16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9.09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3.4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2.36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3.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6.25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8.9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6.5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5.85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6.85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4.66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9.41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5.17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3.79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1.81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3.32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8.44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1.76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5.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3.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9.24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9.2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3.89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4.610000000000000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2.86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4.34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8.6199999999999992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7.2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7.74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1.5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6.27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3.19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6.73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6.8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5.69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6.09"/>
  </r>
  <r>
    <s v="P269"/>
    <s v="Instagram"/>
    <d v="2024-11-05T00:00:00"/>
    <x v="4"/>
    <s v="Check out our latest video on instagram!"/>
    <n v="4561"/>
    <n v="51"/>
    <n v="441"/>
    <n v="22805"/>
    <n v="21890"/>
    <n v="45"/>
    <x v="2"/>
    <s v="ModelYCampaign"/>
    <n v="1.82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4.1100000000000003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3.16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3.4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2.62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8.7200000000000006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2.88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4.5599999999999996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5.52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3.48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4.04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5.42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6.1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7.83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3.86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8.9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3.5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8.1300000000000008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7.36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9.3000000000000007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1.53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5.41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1.9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6.08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7.97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4.68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8.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2.65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5.43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8.0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2.8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4.4800000000000004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8.33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3.2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4.68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3.72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9.48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9.0299999999999994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9.08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6.58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9.4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6.11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8.64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1.87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4.7300000000000004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6.4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6.54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3.09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1.6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5.21"/>
  </r>
  <r>
    <s v="P270"/>
    <s v="YouTube"/>
    <d v="2025-01-15T00:00:00"/>
    <x v="0"/>
    <s v="Check out our latest reel on youtube!"/>
    <n v="3774"/>
    <n v="239"/>
    <n v="39"/>
    <n v="60384"/>
    <n v="59490"/>
    <n v="241"/>
    <x v="2"/>
    <s v="FSDUpdate"/>
    <n v="6.81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8.06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9.0500000000000007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2.46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6.92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9.36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8.74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3.74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7.88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4.05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7.8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6.2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3.25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5.71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7.16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9.09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3.4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2.36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3.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6.25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8.9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6.5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5.85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6.85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4.66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9.41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5.17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3.79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1.81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3.32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8.44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1.76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5.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3.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9.24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9.2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3.89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4.610000000000000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2.86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4.34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8.6199999999999992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7.2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7.74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1.5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6.27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3.19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6.73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6.8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5.69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6.09"/>
  </r>
  <r>
    <s v="P271"/>
    <s v="Instagram"/>
    <d v="2024-10-17T00:00:00"/>
    <x v="4"/>
    <s v="Check out our latest video on instagram!"/>
    <n v="3575"/>
    <n v="749"/>
    <n v="111"/>
    <n v="21450"/>
    <n v="20785"/>
    <n v="195"/>
    <x v="4"/>
    <s v="ModelYCampaign"/>
    <n v="1.82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8.06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9.0500000000000007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2.46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6.92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9.36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8.74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3.74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7.88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4.05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7.8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6.2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3.25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5.71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7.16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9.09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3.4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2.36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3.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6.25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8.9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6.5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5.85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6.85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4.66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9.41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5.17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3.79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1.81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3.32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8.44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1.76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5.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3.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9.24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9.2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3.89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4.610000000000000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2.86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4.34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8.6199999999999992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7.2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7.74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1.5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6.27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3.19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6.73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6.8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5.69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6.09"/>
  </r>
  <r>
    <s v="P272"/>
    <s v="Instagram"/>
    <d v="2025-03-27T00:00:00"/>
    <x v="1"/>
    <s v="Check out our latest text on instagram!"/>
    <n v="4941"/>
    <n v="414"/>
    <n v="266"/>
    <n v="39528"/>
    <n v="39154"/>
    <n v="217"/>
    <x v="2"/>
    <s v="FSDUpdate"/>
    <n v="1.82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4.1100000000000003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3.16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3.4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2.62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8.7200000000000006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2.88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4.5599999999999996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5.52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3.48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4.04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5.42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6.1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7.83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3.86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8.9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3.5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8.1300000000000008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7.36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9.3000000000000007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1.53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5.41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1.9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6.08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7.97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4.68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8.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2.65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5.43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8.0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2.8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4.4800000000000004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8.33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3.2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4.68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3.72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9.48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9.0299999999999994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9.08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6.58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9.4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6.11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8.64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1.87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4.7300000000000004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6.4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6.54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3.09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1.6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5.21"/>
  </r>
  <r>
    <s v="P273"/>
    <s v="YouTube"/>
    <d v="2024-10-12T00:00:00"/>
    <x v="5"/>
    <s v="Check out our latest story on youtube!"/>
    <n v="3641"/>
    <n v="226"/>
    <n v="46"/>
    <n v="40051"/>
    <n v="39319"/>
    <n v="296"/>
    <x v="4"/>
    <s v="SustainabilityDrive"/>
    <n v="6.81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8.31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4.01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8.19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3.5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6.19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4.66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8.56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5.34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4.3600000000000003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9.43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8.5500000000000007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7.24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3.91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8.02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9.24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8.59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8.5500000000000007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2.09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4.97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5.9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8.25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5.22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5.68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2.46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7.32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2.69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6.37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4.2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6.66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7.74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4.68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2.2200000000000002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2.56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5.23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2.0099999999999998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6.95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6.99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7.3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3.85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8.33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5.12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1.8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5.53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7.5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4.5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5.3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2.44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3.16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3.55"/>
  </r>
  <r>
    <s v="P274"/>
    <s v="Twitter"/>
    <d v="2025-01-01T00:00:00"/>
    <x v="2"/>
    <s v="Check out our latest carousel on twitter!"/>
    <n v="3535"/>
    <n v="494"/>
    <n v="152"/>
    <n v="53025"/>
    <n v="52791"/>
    <n v="44"/>
    <x v="2"/>
    <s v="SustainabilityDrive"/>
    <n v="7.57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4.9800000000000004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2.37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8.11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9.1199999999999992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4.4800000000000004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1.91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6.44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7.86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7.73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6.11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6.01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8.84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9.0399999999999991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6.41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1.76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9.1999999999999993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7.36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1.77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1.75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3.88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3.16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4.46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3.32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8.6999999999999993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2.68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6.2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4.79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7.47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8.11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2.02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3.09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8.1999999999999993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5.61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4.51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6.37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8.6999999999999993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8.0299999999999994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3.85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7.8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4.55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9.39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4.9400000000000004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8.52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9.4600000000000009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2.4900000000000002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4.83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2.6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3.86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5.59"/>
  </r>
  <r>
    <s v="P275"/>
    <s v="Facebook"/>
    <d v="2024-08-05T00:00:00"/>
    <x v="0"/>
    <s v="Check out our latest reel on facebook!"/>
    <n v="1741"/>
    <n v="831"/>
    <n v="345"/>
    <n v="17410"/>
    <n v="16844"/>
    <n v="58"/>
    <x v="4"/>
    <s v="FSDUpdate"/>
    <n v="4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8.31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4.01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8.19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3.5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6.19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4.66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8.56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5.34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4.3600000000000003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9.43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8.5500000000000007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7.24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3.91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8.02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9.24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8.59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8.5500000000000007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2.09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4.97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5.9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8.25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5.22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5.68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2.46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7.32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2.69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6.37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4.2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6.66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7.74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4.68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2.2200000000000002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2.56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5.23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2.0099999999999998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6.95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6.99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7.3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3.85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8.33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5.12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1.8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5.53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7.5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4.5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5.3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2.44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3.16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3.55"/>
  </r>
  <r>
    <s v="P276"/>
    <s v="Twitter"/>
    <d v="2024-06-07T00:00:00"/>
    <x v="2"/>
    <s v="Check out our latest carousel on twitter!"/>
    <n v="1556"/>
    <n v="195"/>
    <n v="131"/>
    <n v="9336"/>
    <n v="8875"/>
    <n v="137"/>
    <x v="2"/>
    <s v="ModelYCampaign"/>
    <n v="7.57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4.9800000000000004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2.37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8.11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9.1199999999999992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4.4800000000000004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1.91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6.44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7.86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7.73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6.11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6.01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8.84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9.0399999999999991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6.41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1.76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9.1999999999999993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7.36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1.77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1.75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3.88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3.16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4.46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3.32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8.6999999999999993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2.68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6.2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4.79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7.47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8.11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2.02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3.09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8.1999999999999993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5.61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4.51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6.37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8.6999999999999993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8.0299999999999994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3.85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7.8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4.55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9.39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4.9400000000000004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8.52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9.4600000000000009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2.4900000000000002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4.83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2.6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3.86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5.59"/>
  </r>
  <r>
    <s v="P277"/>
    <s v="Facebook"/>
    <d v="2025-04-06T00:00:00"/>
    <x v="3"/>
    <s v="Check out our latest image on facebook!"/>
    <n v="4236"/>
    <n v="711"/>
    <n v="298"/>
    <n v="21180"/>
    <n v="20516"/>
    <n v="238"/>
    <x v="0"/>
    <s v="CybertruckLaunch"/>
    <n v="4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8.31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4.01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8.19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3.5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6.19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4.66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8.56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5.34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4.3600000000000003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9.43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8.5500000000000007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7.24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3.91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8.02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9.24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8.59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8.5500000000000007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2.09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4.97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5.9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8.25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5.22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5.68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2.46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7.32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2.69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6.37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4.2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6.66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7.74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4.68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2.2200000000000002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2.56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5.23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2.0099999999999998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6.95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6.99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7.3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3.85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8.33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5.12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1.8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5.53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7.5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4.5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5.3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2.44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3.16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3.55"/>
  </r>
  <r>
    <s v="P278"/>
    <s v="Twitter"/>
    <d v="2024-11-26T00:00:00"/>
    <x v="1"/>
    <s v="Check out our latest text on twitter!"/>
    <n v="4516"/>
    <n v="836"/>
    <n v="169"/>
    <n v="49676"/>
    <n v="49257"/>
    <n v="282"/>
    <x v="4"/>
    <s v="SustainabilityDrive"/>
    <n v="7.57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4.1100000000000003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3.16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3.4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2.62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8.7200000000000006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2.88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4.5599999999999996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5.52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3.48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4.04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5.42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6.1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7.83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3.86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8.9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3.5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8.1300000000000008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7.36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9.3000000000000007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1.53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5.41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1.9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6.08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7.97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4.68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8.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2.65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5.43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8.0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2.8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4.4800000000000004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8.33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3.2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4.68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3.72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9.48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9.0299999999999994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9.08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6.58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9.4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6.11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8.64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1.87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4.7300000000000004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6.4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6.54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3.09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1.6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5.21"/>
  </r>
  <r>
    <s v="P279"/>
    <s v="YouTube"/>
    <d v="2024-09-02T00:00:00"/>
    <x v="3"/>
    <s v="Check out our latest image on youtube!"/>
    <n v="4905"/>
    <n v="845"/>
    <n v="129"/>
    <n v="98100"/>
    <n v="97772"/>
    <n v="279"/>
    <x v="2"/>
    <s v="ModelYCampaign"/>
    <n v="6.81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4.1100000000000003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3.16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3.4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2.62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8.7200000000000006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2.88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4.5599999999999996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5.52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3.48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4.04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5.42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6.1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7.83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3.86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8.9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3.5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8.1300000000000008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7.36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9.3000000000000007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1.53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5.41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1.9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6.08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7.97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4.68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8.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2.65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5.43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8.0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2.8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4.4800000000000004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8.33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3.2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4.68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3.72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9.48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9.0299999999999994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9.08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6.58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9.4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6.11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8.64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1.87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4.7300000000000004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6.4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6.54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3.09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1.6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5.21"/>
  </r>
  <r>
    <s v="P280"/>
    <s v="YouTube"/>
    <d v="2024-10-21T00:00:00"/>
    <x v="4"/>
    <s v="Check out our latest video on youtube!"/>
    <n v="4275"/>
    <n v="680"/>
    <n v="385"/>
    <n v="64125"/>
    <n v="63650"/>
    <n v="104"/>
    <x v="4"/>
    <s v="SustainabilityDrive"/>
    <n v="6.81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4.1100000000000003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3.16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3.4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2.62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8.7200000000000006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2.88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4.5599999999999996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5.52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3.48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4.04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5.42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6.1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7.83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3.86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8.9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3.5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8.1300000000000008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7.36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9.3000000000000007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1.53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5.41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1.9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6.08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7.97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4.68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8.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2.65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5.43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8.0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2.8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4.4800000000000004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8.33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3.2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4.68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3.72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9.48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9.0299999999999994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9.08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6.58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9.4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6.11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8.64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1.87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4.7300000000000004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6.4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6.54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3.09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1.6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5.21"/>
  </r>
  <r>
    <s v="P280"/>
    <s v="YouTube"/>
    <d v="2024-10-21T00:00:00"/>
    <x v="4"/>
    <s v="Check out our latest video on youtube!"/>
    <n v="4275"/>
    <n v="680"/>
    <n v="385"/>
    <n v="64125"/>
    <n v="63650"/>
    <n v="104"/>
    <x v="2"/>
    <s v="SustainabilityDrive"/>
    <n v="6.81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4.1100000000000003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3.16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3.4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2.62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8.7200000000000006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2.88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4.5599999999999996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5.52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3.48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4.04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5.42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6.1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7.83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3.86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8.9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3.5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8.1300000000000008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7.36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9.3000000000000007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1.53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5.41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1.9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6.08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7.97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4.68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8.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2.65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5.43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8.0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2.8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4.4800000000000004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8.33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3.2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4.68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3.72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9.48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9.0299999999999994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9.08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6.58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9.4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6.11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8.64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1.87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4.7300000000000004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6.4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6.54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3.09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1.6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5.21"/>
  </r>
  <r>
    <s v="P280"/>
    <s v="YouTube"/>
    <d v="2024-10-21T00:00:00"/>
    <x v="4"/>
    <s v="Check out our latest video on youtube!"/>
    <n v="4275"/>
    <n v="680"/>
    <n v="385"/>
    <n v="64125"/>
    <n v="63650"/>
    <n v="104"/>
    <x v="1"/>
    <s v="SustainabilityDrive"/>
    <n v="6.81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4.1100000000000003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3.16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3.4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2.62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8.7200000000000006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2.88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4.5599999999999996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5.52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3.48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4.04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5.42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6.1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7.83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3.86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8.9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3.5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8.1300000000000008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7.36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9.3000000000000007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1.53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5.41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1.9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6.08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7.97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4.68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8.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2.65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5.43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8.0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2.8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4.4800000000000004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8.33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3.2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4.68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3.72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9.48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9.0299999999999994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9.08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6.58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9.4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6.11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8.64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1.87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4.7300000000000004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6.4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6.54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3.09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1.6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5.21"/>
  </r>
  <r>
    <s v="P281"/>
    <s v="YouTube"/>
    <d v="2025-03-22T00:00:00"/>
    <x v="3"/>
    <s v="Check out our latest image on youtube!"/>
    <n v="3166"/>
    <n v="90"/>
    <n v="341"/>
    <n v="56988"/>
    <n v="56125"/>
    <n v="135"/>
    <x v="4"/>
    <s v="ModelYCampaign"/>
    <n v="6.81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8.06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9.0500000000000007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2.46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6.92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9.36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8.74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3.74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7.88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4.05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7.8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6.2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3.25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5.71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7.16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9.09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3.4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2.36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3.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6.25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8.9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6.5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5.85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6.85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4.66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9.41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5.17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3.79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1.81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3.32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8.44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1.76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5.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3.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9.24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9.2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3.89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4.610000000000000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2.86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4.34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8.6199999999999992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7.2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7.74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1.5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6.27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3.19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6.73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6.8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5.69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6.09"/>
  </r>
  <r>
    <s v="P282"/>
    <s v="Instagram"/>
    <d v="2024-10-03T00:00:00"/>
    <x v="4"/>
    <s v="Check out our latest video on instagram!"/>
    <n v="1488"/>
    <n v="417"/>
    <n v="168"/>
    <n v="19344"/>
    <n v="18395"/>
    <n v="30"/>
    <x v="0"/>
    <s v="FSDUpdate"/>
    <n v="1.82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8.31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4.01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8.19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3.5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6.19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4.66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8.56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5.34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4.3600000000000003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9.43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8.5500000000000007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7.24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3.91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8.02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9.24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8.59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8.5500000000000007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2.09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4.97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5.9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8.25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5.22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5.68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2.46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7.32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2.69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6.37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4.2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6.66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7.74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4.68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2.2200000000000002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2.56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5.23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2.0099999999999998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6.95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6.99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7.3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3.85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8.33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5.12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1.8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5.53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7.5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4.5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5.3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2.44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3.16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3.55"/>
  </r>
  <r>
    <s v="P283"/>
    <s v="Twitter"/>
    <d v="2025-05-09T00:00:00"/>
    <x v="0"/>
    <s v="Check out our latest reel on twitter!"/>
    <n v="3367"/>
    <n v="302"/>
    <n v="57"/>
    <n v="63973"/>
    <n v="63789"/>
    <n v="157"/>
    <x v="0"/>
    <s v="ModelYCampaign"/>
    <n v="7.57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8.31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4.01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8.19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3.5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6.19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4.66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8.56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5.34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4.3600000000000003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9.43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8.5500000000000007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7.24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3.91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8.02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9.24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8.59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8.5500000000000007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2.09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4.97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5.9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8.25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5.22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5.68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2.46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7.32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2.69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6.37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4.2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6.66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7.74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4.68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2.2200000000000002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2.56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5.23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2.0099999999999998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6.95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6.99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7.3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3.85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8.33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5.12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1.8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5.53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7.5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4.5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5.3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2.44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3.16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3.55"/>
  </r>
  <r>
    <s v="P284"/>
    <s v="Twitter"/>
    <d v="2024-09-17T00:00:00"/>
    <x v="1"/>
    <s v="Check out our latest text on twitter!"/>
    <n v="571"/>
    <n v="190"/>
    <n v="352"/>
    <n v="9707"/>
    <n v="9418"/>
    <n v="231"/>
    <x v="2"/>
    <s v="SustainabilityDrive"/>
    <n v="7.57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4.1100000000000003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3.16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3.4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2.62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8.7200000000000006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2.88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4.5599999999999996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5.52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3.48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4.04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5.42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6.1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7.83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3.86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8.9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3.5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8.1300000000000008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7.36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9.3000000000000007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1.53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5.41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1.9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6.08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7.97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4.68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8.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2.65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5.43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8.0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2.8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4.4800000000000004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8.33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3.2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4.68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3.72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9.48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9.0299999999999994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9.08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6.58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9.4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6.11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8.64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1.87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4.7300000000000004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6.4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6.54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3.09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1.6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5.21"/>
  </r>
  <r>
    <s v="P285"/>
    <s v="YouTube"/>
    <d v="2024-07-18T00:00:00"/>
    <x v="1"/>
    <s v="Check out our latest text on youtube!"/>
    <n v="4021"/>
    <n v="794"/>
    <n v="77"/>
    <n v="36189"/>
    <n v="35505"/>
    <n v="174"/>
    <x v="4"/>
    <m/>
    <n v="6.81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4.1100000000000003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3.16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3.4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2.62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8.7200000000000006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2.88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4.5599999999999996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5.52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3.48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4.04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5.42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6.1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7.83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3.86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8.9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3.5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8.1300000000000008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7.36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9.3000000000000007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1.53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5.41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1.9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6.08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7.97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4.68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8.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2.65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5.43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8.0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2.8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4.4800000000000004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8.33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3.2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4.68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3.72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9.48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9.0299999999999994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9.08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6.58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9.4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6.11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8.64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1.87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4.7300000000000004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6.4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6.54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3.09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1.6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5.21"/>
  </r>
  <r>
    <s v="P286"/>
    <s v="YouTube"/>
    <d v="2024-09-25T00:00:00"/>
    <x v="4"/>
    <s v="Check out our latest video on youtube!"/>
    <n v="3389"/>
    <n v="344"/>
    <n v="229"/>
    <n v="20334"/>
    <n v="19443"/>
    <n v="228"/>
    <x v="0"/>
    <s v="FSDUpdate"/>
    <n v="6.81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8.06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9.0500000000000007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2.46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6.92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9.36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8.74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3.74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7.88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4.05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7.8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6.2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3.25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5.71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7.16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9.09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3.4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2.36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3.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6.25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8.9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6.5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5.85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6.85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4.66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9.41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5.17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3.79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1.81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3.32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8.44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1.76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5.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3.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9.24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9.2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3.89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4.610000000000000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2.86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4.34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8.6199999999999992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7.2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7.74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1.5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6.27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3.19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6.73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6.8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5.69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6.09"/>
  </r>
  <r>
    <s v="P287"/>
    <s v="Instagram"/>
    <d v="2024-08-15T00:00:00"/>
    <x v="0"/>
    <s v="Check out our latest reel on instagram!"/>
    <n v="1164"/>
    <n v="616"/>
    <n v="324"/>
    <n v="6984"/>
    <n v="6636"/>
    <n v="82"/>
    <x v="4"/>
    <s v="CybertruckLaunch"/>
    <n v="1.82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4.1100000000000003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3.16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3.4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2.62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8.7200000000000006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2.88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4.5599999999999996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5.52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3.48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4.04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5.42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6.1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7.83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3.86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8.9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3.5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8.1300000000000008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7.36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9.3000000000000007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1.53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5.41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1.9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6.08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7.97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4.68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8.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2.65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5.43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8.0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2.8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4.4800000000000004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8.33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3.2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4.68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3.72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9.48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9.0299999999999994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9.08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6.58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9.4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6.11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8.64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1.87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4.7300000000000004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6.4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6.54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3.09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1.6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5.21"/>
  </r>
  <r>
    <s v="P288"/>
    <s v="YouTube"/>
    <d v="2025-04-17T00:00:00"/>
    <x v="2"/>
    <s v="Check out our latest carousel on youtube!"/>
    <n v="4780"/>
    <n v="691"/>
    <n v="380"/>
    <n v="86040"/>
    <n v="85743"/>
    <n v="262"/>
    <x v="0"/>
    <s v="FSDUpdate"/>
    <n v="6.8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4.9800000000000004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2.37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8.1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9.1199999999999992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4.4800000000000004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1.9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6.44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7.86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7.73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6.1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6.0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8.84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9.039999999999999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6.4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1.76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9.1999999999999993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7.36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1.77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1.75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3.88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3.16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4.46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3.32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8.6999999999999993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2.68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6.2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4.79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7.47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8.1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2.02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3.09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8.1999999999999993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5.6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4.51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6.37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8.6999999999999993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8.0299999999999994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3.85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7.8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4.55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9.39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4.9400000000000004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8.52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9.4600000000000009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2.4900000000000002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4.83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2.6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3.86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5.59"/>
  </r>
  <r>
    <s v="P289"/>
    <s v="Facebook"/>
    <d v="2024-11-28T00:00:00"/>
    <x v="2"/>
    <s v="Check out our latest carousel on facebook!"/>
    <n v="2751"/>
    <n v="33"/>
    <n v="430"/>
    <n v="44016"/>
    <n v="43415"/>
    <n v="129"/>
    <x v="0"/>
    <m/>
    <n v="4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8.06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9.0500000000000007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2.46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6.92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9.36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8.74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3.74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7.88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4.05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7.8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6.2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3.25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5.71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7.16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9.09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3.4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2.36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3.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6.25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8.9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6.5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5.85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6.85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4.66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9.41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5.17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3.79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1.81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3.32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8.44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1.76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5.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3.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9.24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9.2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3.89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4.610000000000000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2.86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4.34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8.6199999999999992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7.2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7.74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1.5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6.27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3.19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6.73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6.8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5.69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6.09"/>
  </r>
  <r>
    <s v="P290"/>
    <s v="Instagram"/>
    <d v="2024-12-20T00:00:00"/>
    <x v="2"/>
    <s v="Check out our latest carousel on instagram!"/>
    <n v="2107"/>
    <n v="550"/>
    <n v="349"/>
    <n v="35819"/>
    <n v="35340"/>
    <n v="191"/>
    <x v="4"/>
    <s v="SustainabilityDrive"/>
    <n v="1.82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4.9800000000000004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2.37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8.11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9.1199999999999992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4.4800000000000004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1.91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6.44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7.86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7.73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6.11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6.01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8.84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9.0399999999999991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6.41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1.76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9.1999999999999993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7.36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1.77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1.75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3.88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3.16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4.46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3.32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8.6999999999999993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2.68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6.2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4.79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7.47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8.11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2.02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3.09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8.1999999999999993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5.61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4.51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6.37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8.6999999999999993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8.0299999999999994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3.85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7.8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4.55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9.39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4.9400000000000004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8.52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9.4600000000000009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2.4900000000000002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4.83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2.6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3.86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5.59"/>
  </r>
  <r>
    <s v="P291"/>
    <s v="Facebook"/>
    <d v="2024-11-06T00:00:00"/>
    <x v="4"/>
    <s v="Check out our latest video on facebook!"/>
    <n v="4663"/>
    <n v="145"/>
    <n v="225"/>
    <n v="69945"/>
    <n v="69596"/>
    <n v="35"/>
    <x v="4"/>
    <s v="SustainabilityDrive"/>
    <n v="4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4.9800000000000004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2.37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8.11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9.1199999999999992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4.4800000000000004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1.91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6.44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7.86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7.73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6.11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6.01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8.84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9.0399999999999991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6.41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1.76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9.1999999999999993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7.36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1.77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1.75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3.88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3.16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4.46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3.32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8.6999999999999993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2.68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6.2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4.79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7.47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8.11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2.02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3.09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8.1999999999999993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5.61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4.51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6.37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8.6999999999999993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8.0299999999999994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3.85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7.8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4.55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9.39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4.9400000000000004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8.52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9.4600000000000009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2.4900000000000002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4.83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2.6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3.86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5.59"/>
  </r>
  <r>
    <s v="P292"/>
    <s v="Facebook"/>
    <d v="2024-11-17T00:00:00"/>
    <x v="1"/>
    <s v="Check out our latest text on facebook!"/>
    <n v="880"/>
    <n v="297"/>
    <n v="345"/>
    <n v="12320"/>
    <n v="11978"/>
    <n v="238"/>
    <x v="2"/>
    <m/>
    <n v="4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4.9800000000000004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2.37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8.11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9.1199999999999992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4.4800000000000004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1.91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6.44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7.86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7.73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6.11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6.01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8.84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9.0399999999999991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6.41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1.76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9.1999999999999993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7.36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1.77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1.75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3.88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3.16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4.46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3.32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8.6999999999999993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2.68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6.2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4.79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7.47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8.11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2.02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3.09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8.1999999999999993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5.61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4.51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6.37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8.6999999999999993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8.0299999999999994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3.85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7.8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4.55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9.39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4.9400000000000004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8.52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9.4600000000000009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2.4900000000000002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4.83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2.6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3.86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5.59"/>
  </r>
  <r>
    <s v="P292"/>
    <s v="Facebook"/>
    <d v="2024-11-17T00:00:00"/>
    <x v="1"/>
    <s v="Check out our latest text on facebook!"/>
    <n v="880"/>
    <n v="297"/>
    <n v="345"/>
    <n v="12320"/>
    <n v="11978"/>
    <n v="238"/>
    <x v="1"/>
    <m/>
    <n v="4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4.9800000000000004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2.37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8.11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9.1199999999999992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4.4800000000000004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1.91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6.44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7.86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7.73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6.11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6.01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8.84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9.0399999999999991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6.41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1.76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9.1999999999999993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7.36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1.77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1.75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3.88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3.16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4.46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3.32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8.6999999999999993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2.68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6.2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4.79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7.47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8.11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2.02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3.09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8.1999999999999993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5.61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4.51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6.37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8.6999999999999993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8.0299999999999994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3.85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7.8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4.55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9.39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4.9400000000000004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8.52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9.4600000000000009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2.4900000000000002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4.83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2.6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3.86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5.59"/>
  </r>
  <r>
    <s v="P293"/>
    <s v="Facebook"/>
    <d v="2025-05-14T00:00:00"/>
    <x v="1"/>
    <s v="Check out our latest text on facebook!"/>
    <n v="2634"/>
    <n v="726"/>
    <n v="241"/>
    <n v="28974"/>
    <n v="28102"/>
    <n v="277"/>
    <x v="4"/>
    <s v="CybertruckLaunch"/>
    <n v="4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4.9800000000000004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2.37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8.11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9.1199999999999992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4.4800000000000004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1.91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6.44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7.86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7.73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6.11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6.01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8.84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9.0399999999999991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6.41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1.76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9.1999999999999993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7.36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1.77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1.75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3.88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3.16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4.46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3.32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8.6999999999999993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2.68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6.2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4.79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7.47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8.11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2.02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3.09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8.1999999999999993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5.61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4.51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6.37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8.6999999999999993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8.0299999999999994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3.85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7.8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4.55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9.39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4.9400000000000004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8.52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9.4600000000000009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2.4900000000000002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4.83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2.6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3.86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5.59"/>
  </r>
  <r>
    <s v="P294"/>
    <s v="Facebook"/>
    <d v="2024-06-19T00:00:00"/>
    <x v="2"/>
    <s v="Check out our latest carousel on facebook!"/>
    <n v="4731"/>
    <n v="173"/>
    <n v="276"/>
    <n v="28386"/>
    <n v="28185"/>
    <n v="89"/>
    <x v="4"/>
    <s v="FSDUpdate"/>
    <n v="4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8.31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4.01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8.19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3.5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6.19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4.66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8.56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5.34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4.3600000000000003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9.43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8.5500000000000007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7.24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3.91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8.02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9.24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8.59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8.5500000000000007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2.09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4.97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5.9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8.25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5.22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5.68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2.46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7.32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2.69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6.37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4.2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6.66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7.74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4.68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2.2200000000000002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2.56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5.23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2.0099999999999998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6.95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6.99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7.3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3.85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8.33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5.12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1.8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5.53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7.5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4.5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5.3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2.44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3.16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3.55"/>
  </r>
  <r>
    <s v="P295"/>
    <s v="Twitter"/>
    <d v="2025-05-06T00:00:00"/>
    <x v="3"/>
    <s v="Check out our latest image on twitter!"/>
    <n v="1952"/>
    <n v="344"/>
    <n v="287"/>
    <n v="15616"/>
    <n v="15403"/>
    <n v="235"/>
    <x v="0"/>
    <s v="ModelYCampaign"/>
    <n v="7.57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8.31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4.01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8.19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3.5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6.19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4.66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8.56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5.34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4.3600000000000003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9.43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8.5500000000000007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7.24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3.91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8.02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9.24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8.59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8.5500000000000007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2.09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4.97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5.9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8.25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5.22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5.68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2.46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7.32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2.69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6.37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4.2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6.66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7.74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4.68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2.2200000000000002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2.56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5.23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2.0099999999999998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6.95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6.99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7.3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3.85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8.33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5.12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1.8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5.53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7.5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4.5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5.3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2.44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3.16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3.55"/>
  </r>
  <r>
    <s v="P295"/>
    <s v="Twitter"/>
    <d v="2025-05-06T00:00:00"/>
    <x v="3"/>
    <s v="Check out our latest image on twitter!"/>
    <n v="1952"/>
    <n v="344"/>
    <n v="287"/>
    <n v="15616"/>
    <n v="15403"/>
    <n v="235"/>
    <x v="2"/>
    <s v="ModelYCampaign"/>
    <n v="7.57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8.31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4.01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8.19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3.5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6.19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4.66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8.56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5.34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4.3600000000000003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9.43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8.5500000000000007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7.24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3.91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8.02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9.24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8.59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8.5500000000000007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2.09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4.97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5.9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8.25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5.22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5.68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2.46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7.32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2.69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6.37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4.2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6.66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7.74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4.68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2.2200000000000002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2.56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5.23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2.0099999999999998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6.95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6.99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7.3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3.85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8.33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5.12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1.8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5.53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7.5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4.5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5.3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2.44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3.16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3.55"/>
  </r>
  <r>
    <s v="P295"/>
    <s v="Twitter"/>
    <d v="2025-05-06T00:00:00"/>
    <x v="3"/>
    <s v="Check out our latest image on twitter!"/>
    <n v="1952"/>
    <n v="344"/>
    <n v="287"/>
    <n v="15616"/>
    <n v="15403"/>
    <n v="235"/>
    <x v="1"/>
    <s v="ModelYCampaign"/>
    <n v="7.57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8.31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4.01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8.19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3.5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6.19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4.66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8.56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5.34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4.3600000000000003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9.43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8.5500000000000007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7.24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3.91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8.02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9.24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8.59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8.5500000000000007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2.09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4.97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5.9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8.25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5.22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5.68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2.46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7.32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2.69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6.37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4.2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6.66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7.74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4.68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2.2200000000000002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2.56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5.23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2.0099999999999998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6.95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6.99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7.3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3.85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8.33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5.12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1.8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5.53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7.5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4.5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5.3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2.44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3.16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3.55"/>
  </r>
  <r>
    <s v="P296"/>
    <s v="Twitter"/>
    <d v="2025-02-11T00:00:00"/>
    <x v="4"/>
    <s v="Check out our latest video on twitter!"/>
    <n v="3440"/>
    <n v="13"/>
    <n v="20"/>
    <n v="58480"/>
    <n v="58146"/>
    <n v="210"/>
    <x v="2"/>
    <s v="SustainabilityDrive"/>
    <n v="7.57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8.31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4.01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8.19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3.5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6.19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4.66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8.56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5.34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4.3600000000000003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9.43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8.5500000000000007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7.24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3.91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8.02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9.24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8.59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8.5500000000000007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2.09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4.97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5.9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8.25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5.22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5.68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2.46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7.32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2.69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6.37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4.2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6.66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7.74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4.68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2.2200000000000002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2.56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5.23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2.0099999999999998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6.95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6.99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7.3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3.85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8.33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5.12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1.8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5.53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7.5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4.5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5.3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2.44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3.16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3.55"/>
  </r>
  <r>
    <s v="P296"/>
    <s v="Twitter"/>
    <d v="2025-02-11T00:00:00"/>
    <x v="4"/>
    <s v="Check out our latest video on twitter!"/>
    <n v="3440"/>
    <n v="13"/>
    <n v="20"/>
    <n v="58480"/>
    <n v="58146"/>
    <n v="210"/>
    <x v="5"/>
    <s v="SustainabilityDrive"/>
    <n v="7.57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8.31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4.01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8.19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3.5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6.19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4.66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8.56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5.34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4.3600000000000003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9.43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8.5500000000000007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7.24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3.91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8.02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9.24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8.59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8.5500000000000007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2.09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4.97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5.9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8.25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5.22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5.68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2.46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7.32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2.69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6.37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4.2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6.66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7.74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4.68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2.2200000000000002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2.56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5.23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2.0099999999999998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6.95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6.99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7.3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3.85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8.33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5.12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1.8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5.53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7.5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4.5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5.3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2.44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3.16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3.55"/>
  </r>
  <r>
    <s v="P297"/>
    <s v="Twitter"/>
    <d v="2024-12-24T00:00:00"/>
    <x v="1"/>
    <s v="Check out our latest text on twitter!"/>
    <n v="2166"/>
    <n v="354"/>
    <n v="117"/>
    <n v="10830"/>
    <n v="10245"/>
    <n v="24"/>
    <x v="4"/>
    <s v="SustainabilityDrive"/>
    <n v="7.57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4.9800000000000004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2.37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8.11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9.1199999999999992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4.4800000000000004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1.91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6.44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7.86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7.73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6.11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6.01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8.84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9.0399999999999991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6.41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1.76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9.1999999999999993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7.36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1.77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1.75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3.88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3.16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4.46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3.32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8.6999999999999993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2.68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6.2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4.79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7.47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8.11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2.02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3.09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8.1999999999999993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5.61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4.51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6.37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8.6999999999999993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8.0299999999999994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3.85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7.8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4.55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9.39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4.9400000000000004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8.52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9.4600000000000009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2.4900000000000002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4.83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2.6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3.86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5.59"/>
  </r>
  <r>
    <s v="P298"/>
    <s v="Facebook"/>
    <d v="2024-10-24T00:00:00"/>
    <x v="3"/>
    <s v="Check out our latest image on facebook!"/>
    <n v="4303"/>
    <n v="451"/>
    <n v="286"/>
    <n v="86060"/>
    <n v="85823"/>
    <n v="14"/>
    <x v="2"/>
    <s v="FSDUpdate"/>
    <n v="4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4.9800000000000004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2.37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8.11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9.1199999999999992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4.4800000000000004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1.91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6.44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7.86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7.73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6.11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6.01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8.84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9.0399999999999991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6.41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1.76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9.1999999999999993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7.36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1.77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1.75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3.88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3.16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4.46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3.32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8.6999999999999993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2.68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6.2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4.79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7.47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8.11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2.02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3.09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8.1999999999999993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5.61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4.51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6.37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8.6999999999999993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8.0299999999999994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3.85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7.8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4.55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9.39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4.9400000000000004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8.52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9.4600000000000009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2.4900000000000002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4.83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2.6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3.86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5.59"/>
  </r>
  <r>
    <s v="P299"/>
    <s v="Facebook"/>
    <d v="2024-08-26T00:00:00"/>
    <x v="3"/>
    <s v="Check out our latest image on facebook!"/>
    <n v="2581"/>
    <n v="517"/>
    <n v="117"/>
    <n v="23229"/>
    <n v="22331"/>
    <n v="70"/>
    <x v="0"/>
    <s v="FSDUpdate"/>
    <n v="4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8.31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4.01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8.19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3.5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6.19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4.66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8.56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5.34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4.3600000000000003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9.43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8.5500000000000007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7.24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3.91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8.02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9.24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8.59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8.5500000000000007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2.09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4.97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5.9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8.25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5.22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5.68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2.46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7.32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2.69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6.37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4.2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6.66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7.74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4.68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2.2200000000000002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2.56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5.23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2.0099999999999998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6.95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6.99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7.3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3.85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8.33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5.12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1.8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5.53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7.5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4.5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5.3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2.44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3.16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3.55"/>
  </r>
  <r>
    <s v="P300"/>
    <s v="Twitter"/>
    <d v="2024-08-31T00:00:00"/>
    <x v="2"/>
    <s v="Check out our latest carousel on twitter!"/>
    <n v="4494"/>
    <n v="717"/>
    <n v="45"/>
    <n v="62916"/>
    <n v="62688"/>
    <n v="191"/>
    <x v="2"/>
    <s v="CybertruckLaunch"/>
    <n v="7.57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8.31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4.01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8.19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3.5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6.19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4.66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8.56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5.34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4.3600000000000003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9.43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8.5500000000000007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7.24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3.91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8.02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9.24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8.59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8.5500000000000007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2.09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4.97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5.9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8.25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5.22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5.68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2.46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7.32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2.69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6.37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4.2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6.66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7.74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4.68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2.2200000000000002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2.56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5.23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2.0099999999999998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6.95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6.99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7.3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3.85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8.33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5.12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1.8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5.53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7.5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4.5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5.3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2.44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3.16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3.55"/>
  </r>
  <r>
    <s v="P300"/>
    <s v="Twitter"/>
    <d v="2024-08-31T00:00:00"/>
    <x v="2"/>
    <s v="Check out our latest carousel on twitter!"/>
    <n v="4494"/>
    <n v="717"/>
    <n v="45"/>
    <n v="62916"/>
    <n v="62688"/>
    <n v="191"/>
    <x v="4"/>
    <s v="CybertruckLaunch"/>
    <n v="7.57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8.31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4.01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8.19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3.5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6.19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4.66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8.56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5.34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4.3600000000000003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9.43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8.5500000000000007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7.24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3.91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8.02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9.24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8.59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8.5500000000000007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2.09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4.97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5.9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8.25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5.22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5.68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2.46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7.32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2.69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6.37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4.2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6.66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7.74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4.68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2.2200000000000002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2.56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5.23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2.0099999999999998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6.95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6.99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7.3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3.85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8.33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5.12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1.8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5.53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7.5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4.5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5.3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2.44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3.16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3.55"/>
  </r>
  <r>
    <s v="P300"/>
    <s v="Twitter"/>
    <d v="2024-08-31T00:00:00"/>
    <x v="2"/>
    <s v="Check out our latest carousel on twitter!"/>
    <n v="4494"/>
    <n v="717"/>
    <n v="45"/>
    <n v="62916"/>
    <n v="62688"/>
    <n v="191"/>
    <x v="3"/>
    <s v="CybertruckLaunch"/>
    <n v="7.5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P001"/>
    <s v="Twitter"/>
    <d v="2024-12-23T00:00:00"/>
    <s v="Reel"/>
    <s v="Check out our latest reel on twitter!"/>
    <n v="1461"/>
    <n v="184"/>
    <n v="344"/>
    <n v="21915"/>
    <n v="21675"/>
    <n v="15"/>
    <s v="#FutureOfDriving"/>
    <x v="0"/>
    <n v="53484"/>
    <n v="12307"/>
    <n v="5.6557999999999993"/>
    <n v="1060357"/>
  </r>
  <r>
    <s v="P002"/>
    <s v="Twitter"/>
    <d v="2025-04-03T00:00:00"/>
    <s v="Text"/>
    <s v="Check out our latest text on twitter!"/>
    <n v="4054"/>
    <n v="389"/>
    <n v="493"/>
    <n v="64864"/>
    <n v="64383"/>
    <n v="117"/>
    <s v="#TeslaCoInnovation"/>
    <x v="1"/>
    <n v="53484"/>
    <n v="12307"/>
    <n v="5.6557999999999993"/>
    <n v="1060357"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#EVRevolution"/>
    <x v="2"/>
    <n v="58311"/>
    <n v="10307"/>
    <n v="5.7155999999999993"/>
    <n v="1164373"/>
  </r>
  <r>
    <s v="P003"/>
    <s v="YouTube"/>
    <d v="2025-05-12T00:00:00"/>
    <s v="Reel"/>
    <s v="Check out our latest reel on youtube!"/>
    <n v="2795"/>
    <n v="105"/>
    <n v="49"/>
    <n v="53105"/>
    <n v="52307"/>
    <n v="204"/>
    <s v="#TeslaCoInnovation"/>
    <x v="3"/>
    <n v="47471"/>
    <n v="12104"/>
    <n v="5.5587999999999997"/>
    <n v="1228647"/>
  </r>
  <r>
    <s v="P005"/>
    <s v="YouTube"/>
    <d v="2024-06-26T00:00:00"/>
    <s v="Reel"/>
    <s v="Check out our latest reel on youtube!"/>
    <n v="3557"/>
    <n v="687"/>
    <n v="424"/>
    <n v="71140"/>
    <n v="70701"/>
    <n v="224"/>
    <s v="#EVRevolution"/>
    <x v="0"/>
    <n v="47471"/>
    <n v="12104"/>
    <n v="5.5587999999999997"/>
    <n v="1228647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#TeslaCoInnovation"/>
    <x v="1"/>
    <n v="50862"/>
    <n v="15305"/>
    <n v="5.6486000000000001"/>
    <n v="1379539"/>
  </r>
  <r>
    <s v="P007"/>
    <s v="Twitter"/>
    <d v="2024-06-24T00:00:00"/>
    <s v="Carousel"/>
    <s v="Check out our latest carousel on twitter!"/>
    <n v="3860"/>
    <n v="201"/>
    <n v="279"/>
    <n v="61760"/>
    <n v="61660"/>
    <n v="235"/>
    <s v="#TeslaCoInnovation"/>
    <x v="1"/>
    <n v="53484"/>
    <n v="12307"/>
    <n v="5.6557999999999993"/>
    <n v="1060357"/>
  </r>
  <r>
    <s v="P008"/>
    <s v="YouTube"/>
    <d v="2024-07-13T00:00:00"/>
    <s v="Image"/>
    <s v="Check out our latest image on youtube!"/>
    <n v="3929"/>
    <n v="262"/>
    <n v="278"/>
    <n v="43219"/>
    <n v="42841"/>
    <n v="39"/>
    <s v="#EVRevolution"/>
    <x v="2"/>
    <n v="47471"/>
    <n v="12104"/>
    <n v="5.5587999999999997"/>
    <n v="1228647"/>
  </r>
  <r>
    <s v="P009"/>
    <s v="Facebook"/>
    <d v="2024-08-30T00:00:00"/>
    <s v="Text"/>
    <s v="Check out our latest text on facebook!"/>
    <n v="3784"/>
    <n v="808"/>
    <n v="404"/>
    <n v="56760"/>
    <n v="56343"/>
    <n v="131"/>
    <s v="#TeslaCoInnovation"/>
    <x v="1"/>
    <n v="50862"/>
    <n v="15305"/>
    <n v="5.6486000000000001"/>
    <n v="1379539"/>
  </r>
  <r>
    <s v="P010"/>
    <s v="Facebook"/>
    <d v="2025-03-11T00:00:00"/>
    <s v="Image"/>
    <s v="Check out our latest image on facebook!"/>
    <n v="4241"/>
    <n v="902"/>
    <n v="47"/>
    <n v="72097"/>
    <n v="71598"/>
    <n v="167"/>
    <s v="#TeslaCoInnovation"/>
    <x v="1"/>
    <n v="50862"/>
    <n v="15305"/>
    <n v="5.6486000000000001"/>
    <n v="1379539"/>
  </r>
  <r>
    <s v="P011"/>
    <s v="Instagram"/>
    <d v="2025-02-02T00:00:00"/>
    <s v="Story"/>
    <s v="Check out our latest story on instagram!"/>
    <n v="1792"/>
    <n v="614"/>
    <n v="497"/>
    <n v="25088"/>
    <n v="24675"/>
    <n v="65"/>
    <s v="#FutureOfDriving"/>
    <x v="2"/>
    <n v="58311"/>
    <n v="10307"/>
    <n v="5.7155999999999993"/>
    <n v="1164373"/>
  </r>
  <r>
    <s v="P012"/>
    <s v="Facebook"/>
    <d v="2024-07-21T00:00:00"/>
    <s v="Reel"/>
    <s v="Check out our latest reel on facebook!"/>
    <n v="1946"/>
    <n v="686"/>
    <n v="377"/>
    <n v="23352"/>
    <n v="22982"/>
    <n v="213"/>
    <s v="#FutureOfDriving"/>
    <x v="3"/>
    <n v="50862"/>
    <n v="15305"/>
    <n v="5.6486000000000001"/>
    <n v="1379539"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#EVRevolution"/>
    <x v="0"/>
    <n v="47471"/>
    <n v="12104"/>
    <n v="5.5587999999999997"/>
    <n v="1228647"/>
  </r>
  <r>
    <s v="P014"/>
    <s v="Facebook"/>
    <d v="2025-02-16T00:00:00"/>
    <s v="Story"/>
    <s v="Check out our latest story on facebook!"/>
    <n v="4242"/>
    <n v="555"/>
    <n v="131"/>
    <n v="33936"/>
    <n v="33802"/>
    <n v="265"/>
    <s v="#FutureOfDriving"/>
    <x v="4"/>
    <n v="50862"/>
    <n v="15305"/>
    <n v="5.6486000000000001"/>
    <n v="1379539"/>
  </r>
  <r>
    <s v="P015"/>
    <s v="Facebook"/>
    <d v="2024-10-24T00:00:00"/>
    <s v="Video"/>
    <s v="Check out our latest video on facebook!"/>
    <n v="3888"/>
    <n v="604"/>
    <n v="128"/>
    <n v="77760"/>
    <n v="77167"/>
    <n v="20"/>
    <s v="#FutureOfDriving"/>
    <x v="0"/>
    <n v="50862"/>
    <n v="15305"/>
    <n v="5.6486000000000001"/>
    <n v="1379539"/>
  </r>
  <r>
    <s v="P016"/>
    <s v="Facebook"/>
    <d v="2024-08-26T00:00:00"/>
    <s v="Text"/>
    <s v="Check out our latest text on facebook!"/>
    <n v="3452"/>
    <n v="377"/>
    <n v="360"/>
    <n v="55232"/>
    <n v="55075"/>
    <n v="87"/>
    <s v="#FutureOfDriving"/>
    <x v="3"/>
    <n v="50862"/>
    <n v="15305"/>
    <n v="5.6486000000000001"/>
    <n v="1379539"/>
  </r>
  <r>
    <s v="P017"/>
    <s v="Facebook"/>
    <d v="2025-05-05T00:00:00"/>
    <s v="Text"/>
    <s v="Check out our latest text on facebook!"/>
    <n v="4441"/>
    <n v="511"/>
    <n v="70"/>
    <n v="53292"/>
    <n v="53082"/>
    <n v="159"/>
    <s v="#EVRevolution"/>
    <x v="2"/>
    <n v="50862"/>
    <n v="15305"/>
    <n v="5.6486000000000001"/>
    <n v="1379539"/>
  </r>
  <r>
    <s v="P018"/>
    <s v="Instagram"/>
    <d v="2024-08-19T00:00:00"/>
    <s v="Reel"/>
    <s v="Check out our latest reel on instagram!"/>
    <n v="3000"/>
    <n v="382"/>
    <n v="325"/>
    <n v="36000"/>
    <n v="35819"/>
    <n v="19"/>
    <s v="#FutureOfDriving"/>
    <x v="0"/>
    <n v="58311"/>
    <n v="10307"/>
    <n v="5.7155999999999993"/>
    <n v="1164373"/>
  </r>
  <r>
    <s v="P019"/>
    <s v="Instagram"/>
    <d v="2024-06-23T00:00:00"/>
    <s v="Video"/>
    <s v="Check out our latest video on instagram!"/>
    <n v="1071"/>
    <n v="519"/>
    <n v="22"/>
    <n v="16065"/>
    <n v="15865"/>
    <n v="103"/>
    <s v="#TeslaCoInnovation"/>
    <x v="2"/>
    <n v="58311"/>
    <n v="10307"/>
    <n v="5.7155999999999993"/>
    <n v="1164373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#TeslaCoInnovation"/>
    <x v="0"/>
    <n v="58311"/>
    <n v="10307"/>
    <n v="5.7155999999999993"/>
    <n v="1164373"/>
  </r>
  <r>
    <s v="P021"/>
    <s v="Instagram"/>
    <d v="2025-01-04T00:00:00"/>
    <s v="Reel"/>
    <s v="Check out our latest reel on instagram!"/>
    <n v="4838"/>
    <n v="640"/>
    <n v="128"/>
    <n v="72570"/>
    <n v="72396"/>
    <n v="83"/>
    <s v="#FutureOfDriving"/>
    <x v="2"/>
    <n v="58311"/>
    <n v="10307"/>
    <n v="5.7155999999999993"/>
    <n v="1164373"/>
  </r>
  <r>
    <s v="P022"/>
    <s v="Facebook"/>
    <d v="2025-02-27T00:00:00"/>
    <s v="Text"/>
    <s v="Check out our latest text on facebook!"/>
    <n v="1570"/>
    <n v="187"/>
    <n v="260"/>
    <n v="25120"/>
    <n v="24613"/>
    <n v="133"/>
    <s v="#TeslaCoInnovation"/>
    <x v="2"/>
    <n v="50862"/>
    <n v="15305"/>
    <n v="5.6486000000000001"/>
    <n v="1379539"/>
  </r>
  <r>
    <s v="P023"/>
    <s v="Facebook"/>
    <d v="2024-11-06T00:00:00"/>
    <s v="Video"/>
    <s v="Check out our latest video on facebook!"/>
    <n v="1606"/>
    <n v="547"/>
    <n v="316"/>
    <n v="32120"/>
    <n v="31736"/>
    <n v="225"/>
    <s v="#TeslaCoInnovation"/>
    <x v="1"/>
    <n v="50862"/>
    <n v="15305"/>
    <n v="5.6486000000000001"/>
    <n v="1379539"/>
  </r>
  <r>
    <s v="P024"/>
    <s v="Facebook"/>
    <d v="2025-01-23T00:00:00"/>
    <s v="Video"/>
    <s v="Check out our latest video on facebook!"/>
    <n v="3961"/>
    <n v="761"/>
    <n v="131"/>
    <n v="67337"/>
    <n v="66615"/>
    <n v="161"/>
    <s v="#FutureOfDriving"/>
    <x v="3"/>
    <n v="50862"/>
    <n v="15305"/>
    <n v="5.6486000000000001"/>
    <n v="1379539"/>
  </r>
  <r>
    <s v="P025"/>
    <s v="Twitter"/>
    <d v="2025-04-10T00:00:00"/>
    <s v="Carousel"/>
    <s v="Check out our latest carousel on twitter!"/>
    <n v="3128"/>
    <n v="211"/>
    <n v="197"/>
    <n v="59432"/>
    <n v="59182"/>
    <n v="238"/>
    <s v="#EVRevolution"/>
    <x v="4"/>
    <n v="53484"/>
    <n v="12307"/>
    <n v="5.6557999999999993"/>
    <n v="1060357"/>
  </r>
  <r>
    <s v="P026"/>
    <s v="YouTube"/>
    <d v="2025-04-05T00:00:00"/>
    <s v="Reel"/>
    <s v="Check out our latest reel on youtube!"/>
    <n v="3009"/>
    <n v="413"/>
    <n v="358"/>
    <n v="42126"/>
    <n v="41309"/>
    <n v="211"/>
    <s v="#FutureOfDriving"/>
    <x v="1"/>
    <n v="47471"/>
    <n v="12104"/>
    <n v="5.5587999999999997"/>
    <n v="1228647"/>
  </r>
  <r>
    <s v="P027"/>
    <s v="YouTube"/>
    <d v="2024-09-17T00:00:00"/>
    <s v="Text"/>
    <s v="Check out our latest text on youtube!"/>
    <n v="2076"/>
    <n v="195"/>
    <n v="104"/>
    <n v="33216"/>
    <n v="32244"/>
    <n v="51"/>
    <s v="#FutureOfDriving"/>
    <x v="2"/>
    <n v="47471"/>
    <n v="12104"/>
    <n v="5.5587999999999997"/>
    <n v="1228647"/>
  </r>
  <r>
    <s v="P028"/>
    <s v="Instagram"/>
    <d v="2025-03-04T00:00:00"/>
    <s v="Video"/>
    <s v="Check out our latest video on instagram!"/>
    <n v="432"/>
    <n v="624"/>
    <n v="123"/>
    <n v="6912"/>
    <n v="6259"/>
    <n v="79"/>
    <s v="#FutureOfDriving"/>
    <x v="2"/>
    <n v="58311"/>
    <n v="10307"/>
    <n v="5.7155999999999993"/>
    <n v="1164373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#FutureOfDriving"/>
    <x v="3"/>
    <n v="58311"/>
    <n v="10307"/>
    <n v="5.7155999999999993"/>
    <n v="1164373"/>
  </r>
  <r>
    <s v="P030"/>
    <s v="Instagram"/>
    <d v="2025-02-25T00:00:00"/>
    <s v="Video"/>
    <s v="Check out our latest video on instagram!"/>
    <n v="3095"/>
    <n v="39"/>
    <n v="78"/>
    <n v="55710"/>
    <n v="54808"/>
    <n v="93"/>
    <s v="#EVRevolution"/>
    <x v="4"/>
    <n v="58311"/>
    <n v="10307"/>
    <n v="5.7155999999999993"/>
    <n v="1164373"/>
  </r>
  <r>
    <s v="P031"/>
    <s v="Instagram"/>
    <d v="2024-12-16T00:00:00"/>
    <s v="Text"/>
    <s v="Check out our latest text on instagram!"/>
    <n v="438"/>
    <n v="153"/>
    <n v="275"/>
    <n v="3066"/>
    <n v="2701"/>
    <n v="282"/>
    <s v="#TeslaCoInnovation"/>
    <x v="1"/>
    <n v="58311"/>
    <n v="10307"/>
    <n v="5.7155999999999993"/>
    <n v="1164373"/>
  </r>
  <r>
    <s v="P032"/>
    <s v="Twitter"/>
    <d v="2024-07-31T00:00:00"/>
    <s v="Carousel"/>
    <s v="Check out our latest carousel on twitter!"/>
    <n v="2278"/>
    <n v="10"/>
    <n v="321"/>
    <n v="13668"/>
    <n v="12676"/>
    <n v="275"/>
    <s v="#EVRevolution"/>
    <x v="0"/>
    <n v="53484"/>
    <n v="12307"/>
    <n v="5.6557999999999993"/>
    <n v="1060357"/>
  </r>
  <r>
    <s v="P033"/>
    <s v="Facebook"/>
    <d v="2024-08-21T00:00:00"/>
    <s v="Image"/>
    <s v="Check out our latest image on facebook!"/>
    <n v="1407"/>
    <n v="400"/>
    <n v="351"/>
    <n v="16884"/>
    <n v="15954"/>
    <n v="113"/>
    <s v="#TeslaCoInnovation"/>
    <x v="0"/>
    <n v="50862"/>
    <n v="15305"/>
    <n v="5.6486000000000001"/>
    <n v="1379539"/>
  </r>
  <r>
    <s v="P034"/>
    <s v="Facebook"/>
    <d v="2025-03-26T00:00:00"/>
    <s v="Text"/>
    <s v="Check out our latest text on facebook!"/>
    <n v="1652"/>
    <n v="89"/>
    <n v="357"/>
    <n v="29736"/>
    <n v="28771"/>
    <n v="215"/>
    <s v="#TeslaCoInnovation"/>
    <x v="3"/>
    <n v="50862"/>
    <n v="15305"/>
    <n v="5.6486000000000001"/>
    <n v="1379539"/>
  </r>
  <r>
    <s v="P035"/>
    <s v="Instagram"/>
    <d v="2024-11-30T00:00:00"/>
    <s v="Video"/>
    <s v="Check out our latest video on instagram!"/>
    <n v="3775"/>
    <n v="16"/>
    <n v="239"/>
    <n v="33975"/>
    <n v="33310"/>
    <n v="271"/>
    <s v="#FutureOfDriving"/>
    <x v="1"/>
    <n v="58311"/>
    <n v="10307"/>
    <n v="5.7155999999999993"/>
    <n v="1164373"/>
  </r>
  <r>
    <s v="P036"/>
    <s v="Instagram"/>
    <d v="2025-04-19T00:00:00"/>
    <s v="Story"/>
    <s v="Check out our latest story on instagram!"/>
    <n v="4518"/>
    <n v="285"/>
    <n v="383"/>
    <n v="67770"/>
    <n v="67621"/>
    <n v="31"/>
    <s v="#EVRevolution"/>
    <x v="1"/>
    <n v="58311"/>
    <n v="10307"/>
    <n v="5.7155999999999993"/>
    <n v="1164373"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#EVRevolution"/>
    <x v="1"/>
    <n v="50862"/>
    <n v="15305"/>
    <n v="5.6486000000000001"/>
    <n v="1379539"/>
  </r>
  <r>
    <s v="P038"/>
    <s v="YouTube"/>
    <d v="2025-02-17T00:00:00"/>
    <s v="Reel"/>
    <s v="Check out our latest reel on youtube!"/>
    <n v="3138"/>
    <n v="123"/>
    <n v="291"/>
    <n v="28242"/>
    <n v="27550"/>
    <n v="87"/>
    <s v="#TeslaCoInnovation"/>
    <x v="2"/>
    <n v="47471"/>
    <n v="12104"/>
    <n v="5.5587999999999997"/>
    <n v="1228647"/>
  </r>
  <r>
    <s v="P039"/>
    <s v="Facebook"/>
    <d v="2024-11-25T00:00:00"/>
    <s v="Image"/>
    <s v="Check out our latest image on facebook!"/>
    <n v="3564"/>
    <n v="629"/>
    <n v="177"/>
    <n v="60588"/>
    <n v="59627"/>
    <n v="92"/>
    <s v="#TeslaCoInnovation"/>
    <x v="4"/>
    <n v="50862"/>
    <n v="15305"/>
    <n v="5.6486000000000001"/>
    <n v="1379539"/>
  </r>
  <r>
    <s v="P040"/>
    <s v="Twitter"/>
    <d v="2025-03-07T00:00:00"/>
    <s v="Image"/>
    <s v="Check out our latest image on twitter!"/>
    <n v="4750"/>
    <n v="151"/>
    <n v="415"/>
    <n v="38000"/>
    <n v="37792"/>
    <n v="299"/>
    <s v="#EVRevolution"/>
    <x v="2"/>
    <n v="53484"/>
    <n v="12307"/>
    <n v="5.6557999999999993"/>
    <n v="1060357"/>
  </r>
  <r>
    <s v="P041"/>
    <s v="Instagram"/>
    <d v="2025-03-08T00:00:00"/>
    <s v="Reel"/>
    <s v="Check out our latest reel on instagram!"/>
    <n v="456"/>
    <n v="629"/>
    <n v="428"/>
    <n v="8208"/>
    <n v="7377"/>
    <n v="205"/>
    <s v="#FutureOfDriving"/>
    <x v="2"/>
    <n v="58311"/>
    <n v="10307"/>
    <n v="5.7155999999999993"/>
    <n v="1164373"/>
  </r>
  <r>
    <s v="P042"/>
    <s v="YouTube"/>
    <d v="2025-03-05T00:00:00"/>
    <s v="Reel"/>
    <s v="Check out our latest reel on youtube!"/>
    <n v="1543"/>
    <n v="820"/>
    <n v="333"/>
    <n v="12344"/>
    <n v="11496"/>
    <n v="241"/>
    <s v="#EVRevolution"/>
    <x v="4"/>
    <n v="47471"/>
    <n v="12104"/>
    <n v="5.5587999999999997"/>
    <n v="1228647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#TeslaCoInnovation"/>
    <x v="3"/>
    <n v="58311"/>
    <n v="10307"/>
    <n v="5.7155999999999993"/>
    <n v="1164373"/>
  </r>
  <r>
    <s v="P044"/>
    <s v="Twitter"/>
    <d v="2025-03-02T00:00:00"/>
    <s v="Image"/>
    <s v="Check out our latest image on twitter!"/>
    <n v="2358"/>
    <n v="784"/>
    <n v="344"/>
    <n v="35370"/>
    <n v="34475"/>
    <n v="216"/>
    <s v="#TeslaCoInnovation"/>
    <x v="4"/>
    <n v="53484"/>
    <n v="12307"/>
    <n v="5.6557999999999993"/>
    <n v="1060357"/>
  </r>
  <r>
    <s v="P045"/>
    <s v="Facebook"/>
    <d v="2024-11-01T00:00:00"/>
    <s v="Video"/>
    <s v="Check out our latest video on facebook!"/>
    <n v="3371"/>
    <n v="106"/>
    <n v="327"/>
    <n v="50565"/>
    <n v="49816"/>
    <n v="176"/>
    <s v="#FutureOfDriving"/>
    <x v="0"/>
    <n v="50862"/>
    <n v="15305"/>
    <n v="5.6486000000000001"/>
    <n v="1379539"/>
  </r>
  <r>
    <s v="P046"/>
    <s v="Twitter"/>
    <d v="2025-05-02T00:00:00"/>
    <s v="Video"/>
    <s v="Check out our latest video on twitter!"/>
    <n v="1108"/>
    <n v="177"/>
    <n v="212"/>
    <n v="8864"/>
    <n v="8710"/>
    <n v="97"/>
    <s v="#TeslaCoInnovation"/>
    <x v="2"/>
    <n v="53484"/>
    <n v="12307"/>
    <n v="5.6557999999999993"/>
    <n v="1060357"/>
  </r>
  <r>
    <s v="P047"/>
    <s v="Twitter"/>
    <d v="2025-02-24T00:00:00"/>
    <s v="Carousel"/>
    <s v="Check out our latest carousel on twitter!"/>
    <n v="2704"/>
    <n v="752"/>
    <n v="153"/>
    <n v="21632"/>
    <n v="20792"/>
    <n v="127"/>
    <s v="#FutureOfDriving"/>
    <x v="4"/>
    <n v="53484"/>
    <n v="12307"/>
    <n v="5.6557999999999993"/>
    <n v="1060357"/>
  </r>
  <r>
    <s v="P048"/>
    <s v="Twitter"/>
    <d v="2025-03-11T00:00:00"/>
    <s v="Story"/>
    <s v="Check out our latest story on twitter!"/>
    <n v="1950"/>
    <n v="295"/>
    <n v="478"/>
    <n v="37050"/>
    <n v="36272"/>
    <n v="119"/>
    <s v="#TeslaCoInnovation"/>
    <x v="4"/>
    <n v="53484"/>
    <n v="12307"/>
    <n v="5.6557999999999993"/>
    <n v="1060357"/>
  </r>
  <r>
    <s v="P049"/>
    <s v="Twitter"/>
    <d v="2024-06-10T00:00:00"/>
    <s v="Story"/>
    <s v="Check out our latest story on twitter!"/>
    <n v="2164"/>
    <n v="549"/>
    <n v="274"/>
    <n v="28132"/>
    <n v="27361"/>
    <n v="177"/>
    <s v="#TeslaCoInnovation"/>
    <x v="2"/>
    <n v="53484"/>
    <n v="12307"/>
    <n v="5.6557999999999993"/>
    <n v="1060357"/>
  </r>
  <r>
    <s v="P050"/>
    <s v="YouTube"/>
    <d v="2024-07-03T00:00:00"/>
    <s v="Story"/>
    <s v="Check out our latest story on youtube!"/>
    <n v="2754"/>
    <n v="130"/>
    <n v="90"/>
    <n v="22032"/>
    <n v="21288"/>
    <n v="112"/>
    <s v="#TeslaCoInnovation"/>
    <x v="3"/>
    <n v="47471"/>
    <n v="12104"/>
    <n v="5.5587999999999997"/>
    <n v="1228647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#FutureOfDriving"/>
    <x v="1"/>
    <n v="50862"/>
    <n v="15305"/>
    <n v="5.6486000000000001"/>
    <n v="1379539"/>
  </r>
  <r>
    <s v="P052"/>
    <s v="Facebook"/>
    <d v="2025-01-03T00:00:00"/>
    <s v="Image"/>
    <s v="Check out our latest image on facebook!"/>
    <n v="947"/>
    <n v="338"/>
    <n v="350"/>
    <n v="10417"/>
    <n v="9730"/>
    <n v="34"/>
    <s v="#TeslaCoInnovation"/>
    <x v="2"/>
    <n v="50862"/>
    <n v="15305"/>
    <n v="5.6486000000000001"/>
    <n v="1379539"/>
  </r>
  <r>
    <s v="P053"/>
    <s v="YouTube"/>
    <d v="2025-02-24T00:00:00"/>
    <s v="Carousel"/>
    <s v="Check out our latest carousel on youtube!"/>
    <n v="804"/>
    <n v="639"/>
    <n v="43"/>
    <n v="4020"/>
    <n v="3144"/>
    <n v="11"/>
    <s v="#EVRevolution"/>
    <x v="4"/>
    <n v="47471"/>
    <n v="12104"/>
    <n v="5.5587999999999997"/>
    <n v="1228647"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#FutureOfDriving"/>
    <x v="1"/>
    <n v="47471"/>
    <n v="12104"/>
    <n v="5.5587999999999997"/>
    <n v="1228647"/>
  </r>
  <r>
    <s v="P055"/>
    <s v="Facebook"/>
    <d v="2024-06-17T00:00:00"/>
    <s v="Image"/>
    <s v="Check out our latest image on facebook!"/>
    <n v="1226"/>
    <n v="119"/>
    <n v="7"/>
    <n v="14712"/>
    <n v="14049"/>
    <n v="123"/>
    <s v="#EVRevolution"/>
    <x v="2"/>
    <n v="50862"/>
    <n v="15305"/>
    <n v="5.6486000000000001"/>
    <n v="1379539"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#FutureOfDriving"/>
    <x v="3"/>
    <n v="50862"/>
    <n v="15305"/>
    <n v="5.6486000000000001"/>
    <n v="1379539"/>
  </r>
  <r>
    <s v="P057"/>
    <s v="Twitter"/>
    <d v="2024-10-21T00:00:00"/>
    <s v="Video"/>
    <s v="Check out our latest video on twitter!"/>
    <n v="2825"/>
    <n v="535"/>
    <n v="295"/>
    <n v="45200"/>
    <n v="44739"/>
    <n v="169"/>
    <s v="#TeslaCoInnovation"/>
    <x v="0"/>
    <n v="53484"/>
    <n v="12307"/>
    <n v="5.6557999999999993"/>
    <n v="1060357"/>
  </r>
  <r>
    <s v="P058"/>
    <s v="Instagram"/>
    <d v="2025-04-15T00:00:00"/>
    <s v="Reel"/>
    <s v="Check out our latest reel on instagram!"/>
    <n v="103"/>
    <n v="770"/>
    <n v="19"/>
    <n v="1030"/>
    <n v="410"/>
    <n v="262"/>
    <s v="#TeslaCoInnovation"/>
    <x v="2"/>
    <n v="58311"/>
    <n v="10307"/>
    <n v="5.7155999999999993"/>
    <n v="1164373"/>
  </r>
  <r>
    <s v="P059"/>
    <s v="Instagram"/>
    <d v="2024-06-22T00:00:00"/>
    <s v="Text"/>
    <s v="Check out our latest text on instagram!"/>
    <n v="2180"/>
    <n v="263"/>
    <n v="387"/>
    <n v="30520"/>
    <n v="30059"/>
    <n v="174"/>
    <s v="#EVRevolution"/>
    <x v="4"/>
    <n v="58311"/>
    <n v="10307"/>
    <n v="5.7155999999999993"/>
    <n v="1164373"/>
  </r>
  <r>
    <s v="P060"/>
    <s v="Instagram"/>
    <d v="2025-01-28T00:00:00"/>
    <s v="Video"/>
    <s v="Check out our latest video on instagram!"/>
    <n v="904"/>
    <n v="973"/>
    <n v="63"/>
    <n v="11752"/>
    <n v="11580"/>
    <n v="84"/>
    <s v="#EVRevolution"/>
    <x v="3"/>
    <n v="58311"/>
    <n v="10307"/>
    <n v="5.7155999999999993"/>
    <n v="1164373"/>
  </r>
  <r>
    <s v="P061"/>
    <s v="Twitter"/>
    <d v="2024-09-05T00:00:00"/>
    <s v="Video"/>
    <s v="Check out our latest video on twitter!"/>
    <n v="4886"/>
    <n v="983"/>
    <n v="409"/>
    <n v="43974"/>
    <n v="43239"/>
    <n v="65"/>
    <s v="#TeslaCoInnovation"/>
    <x v="0"/>
    <n v="53484"/>
    <n v="12307"/>
    <n v="5.6557999999999993"/>
    <n v="1060357"/>
  </r>
  <r>
    <s v="P062"/>
    <s v="Twitter"/>
    <d v="2024-11-22T00:00:00"/>
    <s v="Carousel"/>
    <s v="Check out our latest carousel on twitter!"/>
    <n v="53"/>
    <n v="81"/>
    <n v="379"/>
    <n v="954"/>
    <n v="7"/>
    <n v="148"/>
    <s v="#TeslaCoInnovation"/>
    <x v="3"/>
    <n v="53484"/>
    <n v="12307"/>
    <n v="5.6557999999999993"/>
    <n v="1060357"/>
  </r>
  <r>
    <s v="P063"/>
    <s v="Twitter"/>
    <d v="2024-07-31T00:00:00"/>
    <s v="Carousel"/>
    <s v="Check out our latest carousel on twitter!"/>
    <n v="4507"/>
    <n v="217"/>
    <n v="13"/>
    <n v="90140"/>
    <n v="89591"/>
    <n v="125"/>
    <s v="#FutureOfDriving"/>
    <x v="3"/>
    <n v="53484"/>
    <n v="12307"/>
    <n v="5.6557999999999993"/>
    <n v="1060357"/>
  </r>
  <r>
    <s v="P064"/>
    <s v="Facebook"/>
    <d v="2024-08-17T00:00:00"/>
    <s v="Image"/>
    <s v="Check out our latest image on facebook!"/>
    <n v="2878"/>
    <n v="248"/>
    <n v="416"/>
    <n v="43170"/>
    <n v="42667"/>
    <n v="75"/>
    <s v="#FutureOfDriving"/>
    <x v="3"/>
    <n v="50862"/>
    <n v="15305"/>
    <n v="5.6486000000000001"/>
    <n v="1379539"/>
  </r>
  <r>
    <s v="P065"/>
    <s v="Instagram"/>
    <d v="2025-03-28T00:00:00"/>
    <s v="Story"/>
    <s v="Check out our latest story on instagram!"/>
    <n v="1881"/>
    <n v="501"/>
    <n v="99"/>
    <n v="20691"/>
    <n v="19987"/>
    <n v="289"/>
    <s v="#EVRevolution"/>
    <x v="4"/>
    <n v="58311"/>
    <n v="10307"/>
    <n v="5.7155999999999993"/>
    <n v="1164373"/>
  </r>
  <r>
    <s v="P066"/>
    <s v="Twitter"/>
    <d v="2024-07-26T00:00:00"/>
    <s v="Carousel"/>
    <s v="Check out our latest carousel on twitter!"/>
    <n v="432"/>
    <n v="171"/>
    <n v="280"/>
    <n v="3024"/>
    <n v="2285"/>
    <n v="184"/>
    <s v="#EVRevolution"/>
    <x v="0"/>
    <n v="53484"/>
    <n v="12307"/>
    <n v="5.6557999999999993"/>
    <n v="1060357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#EVRevolution"/>
    <x v="3"/>
    <n v="50862"/>
    <n v="15305"/>
    <n v="5.6486000000000001"/>
    <n v="1379539"/>
  </r>
  <r>
    <s v="P068"/>
    <s v="Instagram"/>
    <d v="2024-12-08T00:00:00"/>
    <s v="Story"/>
    <s v="Check out our latest story on instagram!"/>
    <n v="2610"/>
    <n v="126"/>
    <n v="288"/>
    <n v="15660"/>
    <n v="15145"/>
    <n v="73"/>
    <s v="#EVRevolution"/>
    <x v="4"/>
    <n v="58311"/>
    <n v="10307"/>
    <n v="5.7155999999999993"/>
    <n v="1164373"/>
  </r>
  <r>
    <s v="P069"/>
    <s v="Twitter"/>
    <d v="2025-03-08T00:00:00"/>
    <s v="Text"/>
    <s v="Check out our latest text on twitter!"/>
    <n v="1292"/>
    <n v="626"/>
    <n v="496"/>
    <n v="25840"/>
    <n v="24916"/>
    <n v="149"/>
    <s v="#FutureOfDriving"/>
    <x v="3"/>
    <n v="53484"/>
    <n v="12307"/>
    <n v="5.6557999999999993"/>
    <n v="1060357"/>
  </r>
  <r>
    <s v="P070"/>
    <s v="Facebook"/>
    <d v="2025-04-02T00:00:00"/>
    <s v="Video"/>
    <s v="Check out our latest video on facebook!"/>
    <n v="199"/>
    <n v="772"/>
    <n v="400"/>
    <n v="3582"/>
    <n v="2988"/>
    <n v="43"/>
    <s v="#TeslaCoInnovation"/>
    <x v="4"/>
    <n v="50862"/>
    <n v="15305"/>
    <n v="5.6486000000000001"/>
    <n v="1379539"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#TeslaCoInnovation"/>
    <x v="1"/>
    <n v="47471"/>
    <n v="12104"/>
    <n v="5.5587999999999997"/>
    <n v="1228647"/>
  </r>
  <r>
    <s v="P072"/>
    <s v="YouTube"/>
    <d v="2025-03-03T00:00:00"/>
    <s v="Reel"/>
    <s v="Check out our latest reel on youtube!"/>
    <n v="296"/>
    <n v="60"/>
    <n v="141"/>
    <n v="5624"/>
    <n v="5239"/>
    <n v="88"/>
    <s v="#EVRevolution"/>
    <x v="1"/>
    <n v="47471"/>
    <n v="12104"/>
    <n v="5.5587999999999997"/>
    <n v="1228647"/>
  </r>
  <r>
    <s v="P073"/>
    <s v="Facebook"/>
    <d v="2024-10-18T00:00:00"/>
    <s v="Story"/>
    <s v="Check out our latest story on facebook!"/>
    <n v="4126"/>
    <n v="426"/>
    <n v="486"/>
    <n v="78394"/>
    <n v="77798"/>
    <n v="88"/>
    <s v="#FutureOfDriving"/>
    <x v="2"/>
    <n v="50862"/>
    <n v="15305"/>
    <n v="5.6486000000000001"/>
    <n v="1379539"/>
  </r>
  <r>
    <s v="P074"/>
    <s v="YouTube"/>
    <d v="2024-10-28T00:00:00"/>
    <s v="Reel"/>
    <s v="Check out our latest reel on youtube!"/>
    <n v="1855"/>
    <n v="200"/>
    <n v="174"/>
    <n v="16695"/>
    <n v="16330"/>
    <n v="123"/>
    <s v="#TeslaCoInnovation"/>
    <x v="3"/>
    <n v="47471"/>
    <n v="12104"/>
    <n v="5.5587999999999997"/>
    <n v="1228647"/>
  </r>
  <r>
    <s v="P075"/>
    <s v="Instagram"/>
    <d v="2024-08-01T00:00:00"/>
    <s v="Reel"/>
    <s v="Check out our latest reel on instagram!"/>
    <n v="1674"/>
    <n v="929"/>
    <n v="37"/>
    <n v="21762"/>
    <n v="20998"/>
    <n v="255"/>
    <s v="#TeslaCoInnovation"/>
    <x v="2"/>
    <n v="58311"/>
    <n v="10307"/>
    <n v="5.7155999999999993"/>
    <n v="1164373"/>
  </r>
  <r>
    <s v="P076"/>
    <s v="Twitter"/>
    <d v="2024-11-07T00:00:00"/>
    <s v="Story"/>
    <s v="Check out our latest story on twitter!"/>
    <n v="1121"/>
    <n v="135"/>
    <n v="18"/>
    <n v="15694"/>
    <n v="14957"/>
    <n v="99"/>
    <s v="#TeslaCoInnovation"/>
    <x v="2"/>
    <n v="53484"/>
    <n v="12307"/>
    <n v="5.6557999999999993"/>
    <n v="1060357"/>
  </r>
  <r>
    <s v="P077"/>
    <s v="Facebook"/>
    <d v="2025-03-04T00:00:00"/>
    <s v="Story"/>
    <s v="Check out our latest story on facebook!"/>
    <n v="1249"/>
    <n v="116"/>
    <n v="420"/>
    <n v="8743"/>
    <n v="8538"/>
    <n v="63"/>
    <s v="#TeslaCoInnovation"/>
    <x v="4"/>
    <n v="50862"/>
    <n v="15305"/>
    <n v="5.6486000000000001"/>
    <n v="1379539"/>
  </r>
  <r>
    <s v="P078"/>
    <s v="Twitter"/>
    <d v="2024-06-17T00:00:00"/>
    <s v="Image"/>
    <s v="Check out our latest image on twitter!"/>
    <n v="954"/>
    <n v="324"/>
    <n v="288"/>
    <n v="19080"/>
    <n v="18859"/>
    <n v="21"/>
    <s v="#FutureOfDriving"/>
    <x v="2"/>
    <n v="53484"/>
    <n v="12307"/>
    <n v="5.6557999999999993"/>
    <n v="1060357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#EVRevolution"/>
    <x v="1"/>
    <n v="58311"/>
    <n v="10307"/>
    <n v="5.7155999999999993"/>
    <n v="1164373"/>
  </r>
  <r>
    <s v="P080"/>
    <s v="Instagram"/>
    <d v="2024-06-13T00:00:00"/>
    <s v="Story"/>
    <s v="Check out our latest story on instagram!"/>
    <n v="2103"/>
    <n v="892"/>
    <n v="103"/>
    <n v="39957"/>
    <n v="39466"/>
    <n v="28"/>
    <s v="#FutureOfDriving"/>
    <x v="4"/>
    <n v="58311"/>
    <n v="10307"/>
    <n v="5.7155999999999993"/>
    <n v="1164373"/>
  </r>
  <r>
    <s v="P081"/>
    <s v="Instagram"/>
    <d v="2024-10-19T00:00:00"/>
    <s v="Story"/>
    <s v="Check out our latest story on instagram!"/>
    <n v="1816"/>
    <n v="29"/>
    <n v="41"/>
    <n v="19976"/>
    <n v="19262"/>
    <n v="283"/>
    <s v="#TeslaCoInnovation"/>
    <x v="3"/>
    <n v="58311"/>
    <n v="10307"/>
    <n v="5.7155999999999993"/>
    <n v="1164373"/>
  </r>
  <r>
    <s v="P082"/>
    <s v="Instagram"/>
    <d v="2024-07-24T00:00:00"/>
    <s v="Image"/>
    <s v="Check out our latest image on instagram!"/>
    <n v="725"/>
    <n v="88"/>
    <n v="428"/>
    <n v="14500"/>
    <n v="13637"/>
    <n v="200"/>
    <s v="#FutureOfDriving"/>
    <x v="3"/>
    <n v="58311"/>
    <n v="10307"/>
    <n v="5.7155999999999993"/>
    <n v="1164373"/>
  </r>
  <r>
    <s v="P083"/>
    <s v="YouTube"/>
    <d v="2024-10-15T00:00:00"/>
    <s v="Video"/>
    <s v="Check out our latest video on youtube!"/>
    <n v="1094"/>
    <n v="472"/>
    <n v="21"/>
    <n v="9846"/>
    <n v="9609"/>
    <n v="112"/>
    <s v="#EVRevolution"/>
    <x v="4"/>
    <n v="47471"/>
    <n v="12104"/>
    <n v="5.5587999999999997"/>
    <n v="1228647"/>
  </r>
  <r>
    <s v="P084"/>
    <s v="Facebook"/>
    <d v="2024-12-09T00:00:00"/>
    <s v="Image"/>
    <s v="Check out our latest image on facebook!"/>
    <n v="1841"/>
    <n v="851"/>
    <n v="342"/>
    <n v="34979"/>
    <n v="34154"/>
    <n v="255"/>
    <s v="#FutureOfDriving"/>
    <x v="2"/>
    <n v="50862"/>
    <n v="15305"/>
    <n v="5.6486000000000001"/>
    <n v="1379539"/>
  </r>
  <r>
    <s v="P085"/>
    <s v="Instagram"/>
    <d v="2025-04-19T00:00:00"/>
    <s v="Image"/>
    <s v="Check out our latest image on instagram!"/>
    <n v="4177"/>
    <n v="569"/>
    <n v="55"/>
    <n v="25062"/>
    <n v="24847"/>
    <n v="230"/>
    <s v="#FutureOfDriving"/>
    <x v="0"/>
    <n v="58311"/>
    <n v="10307"/>
    <n v="5.7155999999999993"/>
    <n v="1164373"/>
  </r>
  <r>
    <s v="P086"/>
    <s v="YouTube"/>
    <d v="2025-01-27T00:00:00"/>
    <s v="Text"/>
    <s v="Check out our latest text on youtube!"/>
    <n v="3428"/>
    <n v="305"/>
    <n v="85"/>
    <n v="58276"/>
    <n v="58052"/>
    <n v="242"/>
    <s v="#EVRevolution"/>
    <x v="2"/>
    <n v="47471"/>
    <n v="12104"/>
    <n v="5.5587999999999997"/>
    <n v="1228647"/>
  </r>
  <r>
    <s v="P087"/>
    <s v="Twitter"/>
    <d v="2024-06-06T00:00:00"/>
    <s v="Video"/>
    <s v="Check out our latest video on twitter!"/>
    <n v="1436"/>
    <n v="765"/>
    <n v="496"/>
    <n v="12924"/>
    <n v="12701"/>
    <n v="197"/>
    <s v="#FutureOfDriving"/>
    <x v="3"/>
    <n v="53484"/>
    <n v="12307"/>
    <n v="5.6557999999999993"/>
    <n v="1060357"/>
  </r>
  <r>
    <s v="P088"/>
    <s v="Facebook"/>
    <d v="2024-07-07T00:00:00"/>
    <s v="Story"/>
    <s v="Check out our latest story on facebook!"/>
    <n v="302"/>
    <n v="47"/>
    <n v="430"/>
    <n v="5738"/>
    <n v="4890"/>
    <n v="25"/>
    <s v="#TeslaCoInnovation"/>
    <x v="2"/>
    <n v="50862"/>
    <n v="15305"/>
    <n v="5.6486000000000001"/>
    <n v="1379539"/>
  </r>
  <r>
    <s v="P089"/>
    <s v="Twitter"/>
    <d v="2025-01-10T00:00:00"/>
    <s v="Image"/>
    <s v="Check out our latest image on twitter!"/>
    <n v="2214"/>
    <n v="249"/>
    <n v="152"/>
    <n v="15498"/>
    <n v="14800"/>
    <n v="180"/>
    <s v="#EVRevolution"/>
    <x v="4"/>
    <n v="53484"/>
    <n v="12307"/>
    <n v="5.6557999999999993"/>
    <n v="1060357"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#TeslaCoInnovation"/>
    <x v="2"/>
    <n v="58311"/>
    <n v="10307"/>
    <n v="5.7155999999999993"/>
    <n v="1164373"/>
  </r>
  <r>
    <s v="P091"/>
    <s v="Facebook"/>
    <d v="2025-03-24T00:00:00"/>
    <s v="Image"/>
    <s v="Check out our latest image on facebook!"/>
    <n v="1263"/>
    <n v="397"/>
    <n v="357"/>
    <n v="25260"/>
    <n v="24615"/>
    <n v="137"/>
    <s v="#EVRevolution"/>
    <x v="2"/>
    <n v="50862"/>
    <n v="15305"/>
    <n v="5.6486000000000001"/>
    <n v="1379539"/>
  </r>
  <r>
    <s v="P092"/>
    <s v="Twitter"/>
    <d v="2024-10-21T00:00:00"/>
    <s v="Story"/>
    <s v="Check out our latest story on twitter!"/>
    <n v="3801"/>
    <n v="967"/>
    <n v="401"/>
    <n v="38010"/>
    <n v="37625"/>
    <n v="236"/>
    <s v="#FutureOfDriving"/>
    <x v="3"/>
    <n v="53484"/>
    <n v="12307"/>
    <n v="5.6557999999999993"/>
    <n v="1060357"/>
  </r>
  <r>
    <s v="P093"/>
    <s v="Instagram"/>
    <d v="2024-12-11T00:00:00"/>
    <s v="Video"/>
    <s v="Check out our latest video on instagram!"/>
    <n v="1431"/>
    <n v="951"/>
    <n v="26"/>
    <n v="8586"/>
    <n v="8396"/>
    <n v="150"/>
    <s v="#EVRevolution"/>
    <x v="3"/>
    <n v="58311"/>
    <n v="10307"/>
    <n v="5.7155999999999993"/>
    <n v="1164373"/>
  </r>
  <r>
    <s v="P094"/>
    <s v="Instagram"/>
    <d v="2024-11-07T00:00:00"/>
    <s v="Image"/>
    <s v="Check out our latest image on instagram!"/>
    <n v="2647"/>
    <n v="304"/>
    <n v="170"/>
    <n v="18529"/>
    <n v="17841"/>
    <n v="46"/>
    <s v="#FutureOfDriving"/>
    <x v="3"/>
    <n v="58311"/>
    <n v="10307"/>
    <n v="5.7155999999999993"/>
    <n v="1164373"/>
  </r>
  <r>
    <s v="P095"/>
    <s v="Instagram"/>
    <d v="2024-11-08T00:00:00"/>
    <s v="Text"/>
    <s v="Check out our latest text on instagram!"/>
    <n v="3182"/>
    <n v="559"/>
    <n v="160"/>
    <n v="57276"/>
    <n v="56890"/>
    <n v="163"/>
    <s v="#FutureOfDriving"/>
    <x v="2"/>
    <n v="58311"/>
    <n v="10307"/>
    <n v="5.7155999999999993"/>
    <n v="1164373"/>
  </r>
  <r>
    <s v="P096"/>
    <s v="Twitter"/>
    <d v="2024-09-10T00:00:00"/>
    <s v="Image"/>
    <s v="Check out our latest image on twitter!"/>
    <n v="1238"/>
    <n v="366"/>
    <n v="444"/>
    <n v="19808"/>
    <n v="19334"/>
    <n v="123"/>
    <s v="#FutureOfDriving"/>
    <x v="4"/>
    <n v="53484"/>
    <n v="12307"/>
    <n v="5.6557999999999993"/>
    <n v="1060357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#TeslaCoInnovation"/>
    <x v="1"/>
    <n v="58311"/>
    <n v="10307"/>
    <n v="5.7155999999999993"/>
    <n v="1164373"/>
  </r>
  <r>
    <s v="P098"/>
    <s v="Twitter"/>
    <d v="2024-06-10T00:00:00"/>
    <s v="Story"/>
    <s v="Check out our latest story on twitter!"/>
    <n v="1575"/>
    <n v="771"/>
    <n v="486"/>
    <n v="25200"/>
    <n v="24826"/>
    <n v="17"/>
    <s v="#FutureOfDriving"/>
    <x v="2"/>
    <n v="53484"/>
    <n v="12307"/>
    <n v="5.6557999999999993"/>
    <n v="1060357"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#FutureOfDriving"/>
    <x v="3"/>
    <n v="47471"/>
    <n v="12104"/>
    <n v="5.5587999999999997"/>
    <n v="1228647"/>
  </r>
  <r>
    <s v="P100"/>
    <s v="YouTube"/>
    <d v="2025-02-10T00:00:00"/>
    <s v="Video"/>
    <s v="Check out our latest video on youtube!"/>
    <n v="1766"/>
    <n v="92"/>
    <n v="424"/>
    <n v="24724"/>
    <n v="24333"/>
    <n v="52"/>
    <s v="#EVRevolution"/>
    <x v="4"/>
    <n v="47471"/>
    <n v="12104"/>
    <n v="5.5587999999999997"/>
    <n v="1228647"/>
  </r>
  <r>
    <s v="P101"/>
    <s v="YouTube"/>
    <d v="2024-10-18T00:00:00"/>
    <s v="Video"/>
    <s v="Check out our latest video on youtube!"/>
    <n v="4450"/>
    <n v="983"/>
    <n v="143"/>
    <n v="75650"/>
    <n v="75008"/>
    <n v="12"/>
    <s v="#FutureOfDriving"/>
    <x v="3"/>
    <n v="47471"/>
    <n v="12104"/>
    <n v="5.5587999999999997"/>
    <n v="1228647"/>
  </r>
  <r>
    <s v="P102"/>
    <s v="Twitter"/>
    <d v="2024-09-18T00:00:00"/>
    <s v="Reel"/>
    <s v="Check out our latest reel on twitter!"/>
    <n v="1000"/>
    <n v="978"/>
    <n v="162"/>
    <n v="6000"/>
    <n v="5221"/>
    <n v="223"/>
    <s v="#EVRevolution"/>
    <x v="1"/>
    <n v="53484"/>
    <n v="12307"/>
    <n v="5.6557999999999993"/>
    <n v="1060357"/>
  </r>
  <r>
    <s v="P103"/>
    <s v="Facebook"/>
    <d v="2024-06-11T00:00:00"/>
    <s v="Image"/>
    <s v="Check out our latest image on facebook!"/>
    <n v="3689"/>
    <n v="48"/>
    <n v="306"/>
    <n v="40579"/>
    <n v="39588"/>
    <n v="212"/>
    <s v="#EVRevolution"/>
    <x v="1"/>
    <n v="50862"/>
    <n v="15305"/>
    <n v="5.6486000000000001"/>
    <n v="1379539"/>
  </r>
  <r>
    <s v="P104"/>
    <s v="YouTube"/>
    <d v="2025-03-23T00:00:00"/>
    <s v="Story"/>
    <s v="Check out our latest story on youtube!"/>
    <n v="3655"/>
    <n v="568"/>
    <n v="286"/>
    <n v="32895"/>
    <n v="32015"/>
    <n v="199"/>
    <s v="#TeslaCoInnovation"/>
    <x v="3"/>
    <n v="47471"/>
    <n v="12104"/>
    <n v="5.5587999999999997"/>
    <n v="1228647"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#FutureOfDriving"/>
    <x v="0"/>
    <n v="58311"/>
    <n v="10307"/>
    <n v="5.7155999999999993"/>
    <n v="1164373"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#TeslaCoInnovation"/>
    <x v="2"/>
    <n v="58311"/>
    <n v="10307"/>
    <n v="5.7155999999999993"/>
    <n v="1164373"/>
  </r>
  <r>
    <s v="P107"/>
    <s v="YouTube"/>
    <d v="2024-06-21T00:00:00"/>
    <s v="Image"/>
    <s v="Check out our latest image on youtube!"/>
    <n v="4832"/>
    <n v="893"/>
    <n v="10"/>
    <n v="91808"/>
    <n v="91296"/>
    <n v="182"/>
    <s v="#TeslaCoInnovation"/>
    <x v="4"/>
    <n v="47471"/>
    <n v="12104"/>
    <n v="5.5587999999999997"/>
    <n v="1228647"/>
  </r>
  <r>
    <s v="P108"/>
    <s v="Twitter"/>
    <d v="2025-03-25T00:00:00"/>
    <s v="Video"/>
    <s v="Check out our latest video on twitter!"/>
    <n v="4050"/>
    <n v="871"/>
    <n v="347"/>
    <n v="52650"/>
    <n v="51755"/>
    <n v="209"/>
    <s v="#TeslaCoInnovation"/>
    <x v="1"/>
    <n v="53484"/>
    <n v="12307"/>
    <n v="5.6557999999999993"/>
    <n v="1060357"/>
  </r>
  <r>
    <s v="P109"/>
    <s v="Twitter"/>
    <d v="2024-08-08T00:00:00"/>
    <s v="Story"/>
    <s v="Check out our latest story on twitter!"/>
    <n v="3649"/>
    <n v="215"/>
    <n v="413"/>
    <n v="25543"/>
    <n v="24963"/>
    <n v="167"/>
    <s v="#FutureOfDriving"/>
    <x v="3"/>
    <n v="53484"/>
    <n v="12307"/>
    <n v="5.6557999999999993"/>
    <n v="1060357"/>
  </r>
  <r>
    <s v="P110"/>
    <s v="Instagram"/>
    <d v="2024-07-29T00:00:00"/>
    <s v="Reel"/>
    <s v="Check out our latest reel on instagram!"/>
    <n v="3523"/>
    <n v="753"/>
    <n v="482"/>
    <n v="38753"/>
    <n v="38579"/>
    <n v="270"/>
    <s v="#EVRevolution"/>
    <x v="1"/>
    <n v="58311"/>
    <n v="10307"/>
    <n v="5.7155999999999993"/>
    <n v="1164373"/>
  </r>
  <r>
    <s v="P111"/>
    <s v="YouTube"/>
    <d v="2024-11-23T00:00:00"/>
    <s v="Image"/>
    <s v="Check out our latest image on youtube!"/>
    <n v="2719"/>
    <n v="17"/>
    <n v="285"/>
    <n v="40785"/>
    <n v="40281"/>
    <n v="40"/>
    <s v="#TeslaCoInnovation"/>
    <x v="1"/>
    <n v="47471"/>
    <n v="12104"/>
    <n v="5.5587999999999997"/>
    <n v="1228647"/>
  </r>
  <r>
    <s v="P112"/>
    <s v="Twitter"/>
    <d v="2024-10-05T00:00:00"/>
    <s v="Story"/>
    <s v="Check out our latest story on twitter!"/>
    <n v="1957"/>
    <n v="877"/>
    <n v="238"/>
    <n v="17613"/>
    <n v="16865"/>
    <n v="297"/>
    <s v="#FutureOfDriving"/>
    <x v="3"/>
    <n v="53484"/>
    <n v="12307"/>
    <n v="5.6557999999999993"/>
    <n v="1060357"/>
  </r>
  <r>
    <s v="P113"/>
    <s v="Twitter"/>
    <d v="2024-10-02T00:00:00"/>
    <s v="Carousel"/>
    <s v="Check out our latest carousel on twitter!"/>
    <n v="4419"/>
    <n v="236"/>
    <n v="369"/>
    <n v="44190"/>
    <n v="43582"/>
    <n v="10"/>
    <s v="#EVRevolution"/>
    <x v="0"/>
    <n v="53484"/>
    <n v="12307"/>
    <n v="5.6557999999999993"/>
    <n v="1060357"/>
  </r>
  <r>
    <s v="P114"/>
    <s v="Twitter"/>
    <d v="2024-11-14T00:00:00"/>
    <s v="Story"/>
    <s v="Check out our latest story on twitter!"/>
    <n v="4000"/>
    <n v="689"/>
    <n v="488"/>
    <n v="40000"/>
    <n v="39569"/>
    <n v="44"/>
    <s v="#FutureOfDriving"/>
    <x v="0"/>
    <n v="53484"/>
    <n v="12307"/>
    <n v="5.6557999999999993"/>
    <n v="1060357"/>
  </r>
  <r>
    <s v="P115"/>
    <s v="Twitter"/>
    <d v="2025-05-11T00:00:00"/>
    <s v="Image"/>
    <s v="Check out our latest image on twitter!"/>
    <n v="2493"/>
    <n v="97"/>
    <n v="44"/>
    <n v="42381"/>
    <n v="41991"/>
    <n v="242"/>
    <s v="#TeslaCoInnovation"/>
    <x v="2"/>
    <n v="53484"/>
    <n v="12307"/>
    <n v="5.6557999999999993"/>
    <n v="1060357"/>
  </r>
  <r>
    <s v="P116"/>
    <s v="YouTube"/>
    <d v="2025-03-18T00:00:00"/>
    <s v="Reel"/>
    <s v="Check out our latest reel on youtube!"/>
    <n v="3704"/>
    <n v="186"/>
    <n v="458"/>
    <n v="25928"/>
    <n v="25081"/>
    <n v="131"/>
    <s v="#TeslaCoInnovation"/>
    <x v="4"/>
    <n v="47471"/>
    <n v="12104"/>
    <n v="5.5587999999999997"/>
    <n v="1228647"/>
  </r>
  <r>
    <s v="P117"/>
    <s v="Twitter"/>
    <d v="2024-11-04T00:00:00"/>
    <s v="Image"/>
    <s v="Check out our latest image on twitter!"/>
    <n v="1606"/>
    <n v="451"/>
    <n v="405"/>
    <n v="20878"/>
    <n v="20190"/>
    <n v="219"/>
    <s v="#EVRevolution"/>
    <x v="2"/>
    <n v="53484"/>
    <n v="12307"/>
    <n v="5.6557999999999993"/>
    <n v="1060357"/>
  </r>
  <r>
    <s v="P118"/>
    <s v="Facebook"/>
    <d v="2024-11-04T00:00:00"/>
    <s v="Image"/>
    <s v="Check out our latest image on facebook!"/>
    <n v="4551"/>
    <n v="714"/>
    <n v="207"/>
    <n v="68265"/>
    <n v="67754"/>
    <n v="57"/>
    <s v="#FutureOfDriving"/>
    <x v="3"/>
    <n v="50862"/>
    <n v="15305"/>
    <n v="5.6486000000000001"/>
    <n v="1379539"/>
  </r>
  <r>
    <s v="P119"/>
    <s v="Instagram"/>
    <d v="2025-02-07T00:00:00"/>
    <s v="Reel"/>
    <s v="Check out our latest reel on instagram!"/>
    <n v="1970"/>
    <n v="675"/>
    <n v="478"/>
    <n v="9850"/>
    <n v="8924"/>
    <n v="117"/>
    <s v="#FutureOfDriving"/>
    <x v="4"/>
    <n v="58311"/>
    <n v="10307"/>
    <n v="5.7155999999999993"/>
    <n v="1164373"/>
  </r>
  <r>
    <s v="P120"/>
    <s v="Facebook"/>
    <d v="2024-10-21T00:00:00"/>
    <s v="Story"/>
    <s v="Check out our latest story on facebook!"/>
    <n v="780"/>
    <n v="928"/>
    <n v="301"/>
    <n v="8580"/>
    <n v="8081"/>
    <n v="91"/>
    <s v="#EVRevolution"/>
    <x v="3"/>
    <n v="50862"/>
    <n v="15305"/>
    <n v="5.6486000000000001"/>
    <n v="1379539"/>
  </r>
  <r>
    <s v="P121"/>
    <s v="Instagram"/>
    <d v="2024-07-29T00:00:00"/>
    <s v="Story"/>
    <s v="Check out our latest story on instagram!"/>
    <n v="498"/>
    <n v="701"/>
    <n v="412"/>
    <n v="4980"/>
    <n v="4185"/>
    <n v="185"/>
    <s v="#FutureOfDriving"/>
    <x v="4"/>
    <n v="58311"/>
    <n v="10307"/>
    <n v="5.7155999999999993"/>
    <n v="1164373"/>
  </r>
  <r>
    <s v="P122"/>
    <s v="Instagram"/>
    <d v="2024-10-02T00:00:00"/>
    <s v="Text"/>
    <s v="Check out our latest text on instagram!"/>
    <n v="3432"/>
    <n v="869"/>
    <n v="123"/>
    <n v="54912"/>
    <n v="53916"/>
    <n v="264"/>
    <s v="#EVRevolution"/>
    <x v="1"/>
    <n v="58311"/>
    <n v="10307"/>
    <n v="5.7155999999999993"/>
    <n v="1164373"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#EVRevolution"/>
    <x v="0"/>
    <n v="58311"/>
    <n v="10307"/>
    <n v="5.7155999999999993"/>
    <n v="1164373"/>
  </r>
  <r>
    <s v="P124"/>
    <s v="YouTube"/>
    <d v="2025-04-06T00:00:00"/>
    <s v="Carousel"/>
    <s v="Check out our latest carousel on youtube!"/>
    <n v="736"/>
    <n v="771"/>
    <n v="225"/>
    <n v="5152"/>
    <n v="4706"/>
    <n v="19"/>
    <s v="#EVRevolution"/>
    <x v="0"/>
    <n v="47471"/>
    <n v="12104"/>
    <n v="5.5587999999999997"/>
    <n v="1228647"/>
  </r>
  <r>
    <s v="P125"/>
    <s v="Twitter"/>
    <d v="2024-09-08T00:00:00"/>
    <s v="Carousel"/>
    <s v="Check out our latest carousel on twitter!"/>
    <n v="3811"/>
    <n v="866"/>
    <n v="216"/>
    <n v="34299"/>
    <n v="34088"/>
    <n v="233"/>
    <s v="#TeslaCoInnovation"/>
    <x v="2"/>
    <n v="53484"/>
    <n v="12307"/>
    <n v="5.6557999999999993"/>
    <n v="1060357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#FutureOfDriving"/>
    <x v="4"/>
    <n v="58311"/>
    <n v="10307"/>
    <n v="5.7155999999999993"/>
    <n v="1164373"/>
  </r>
  <r>
    <s v="P127"/>
    <s v="Facebook"/>
    <d v="2025-01-27T00:00:00"/>
    <s v="Reel"/>
    <s v="Check out our latest reel on facebook!"/>
    <n v="3452"/>
    <n v="652"/>
    <n v="442"/>
    <n v="65588"/>
    <n v="65049"/>
    <n v="158"/>
    <s v="#FutureOfDriving"/>
    <x v="3"/>
    <n v="50862"/>
    <n v="15305"/>
    <n v="5.6486000000000001"/>
    <n v="1379539"/>
  </r>
  <r>
    <s v="P128"/>
    <s v="Twitter"/>
    <d v="2025-01-10T00:00:00"/>
    <s v="Image"/>
    <s v="Check out our latest image on twitter!"/>
    <n v="3092"/>
    <n v="106"/>
    <n v="291"/>
    <n v="27828"/>
    <n v="27217"/>
    <n v="102"/>
    <s v="#FutureOfDriving"/>
    <x v="4"/>
    <n v="53484"/>
    <n v="12307"/>
    <n v="5.6557999999999993"/>
    <n v="1060357"/>
  </r>
  <r>
    <s v="P129"/>
    <s v="Twitter"/>
    <d v="2024-07-21T00:00:00"/>
    <s v="Text"/>
    <s v="Check out our latest text on twitter!"/>
    <n v="2147"/>
    <n v="430"/>
    <n v="393"/>
    <n v="17176"/>
    <n v="16483"/>
    <n v="170"/>
    <s v="#TeslaCoInnovation"/>
    <x v="4"/>
    <n v="53484"/>
    <n v="12307"/>
    <n v="5.6557999999999993"/>
    <n v="1060357"/>
  </r>
  <r>
    <s v="P130"/>
    <s v="YouTube"/>
    <d v="2024-09-29T00:00:00"/>
    <s v="Reel"/>
    <s v="Check out our latest reel on youtube!"/>
    <n v="2936"/>
    <n v="439"/>
    <n v="44"/>
    <n v="38168"/>
    <n v="37571"/>
    <n v="22"/>
    <s v="#EVRevolution"/>
    <x v="2"/>
    <n v="47471"/>
    <n v="12104"/>
    <n v="5.5587999999999997"/>
    <n v="1228647"/>
  </r>
  <r>
    <s v="P131"/>
    <s v="Instagram"/>
    <d v="2024-10-21T00:00:00"/>
    <s v="Reel"/>
    <s v="Check out our latest reel on instagram!"/>
    <n v="4840"/>
    <n v="658"/>
    <n v="211"/>
    <n v="43560"/>
    <n v="43225"/>
    <n v="57"/>
    <s v="#FutureOfDriving"/>
    <x v="3"/>
    <n v="58311"/>
    <n v="10307"/>
    <n v="5.7155999999999993"/>
    <n v="1164373"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#FutureOfDriving"/>
    <x v="1"/>
    <n v="58311"/>
    <n v="10307"/>
    <n v="5.7155999999999993"/>
    <n v="1164373"/>
  </r>
  <r>
    <s v="P133"/>
    <s v="Facebook"/>
    <d v="2025-02-06T00:00:00"/>
    <s v="Image"/>
    <s v="Check out our latest image on facebook!"/>
    <n v="2072"/>
    <n v="532"/>
    <n v="71"/>
    <n v="37296"/>
    <n v="36467"/>
    <n v="25"/>
    <s v="#TeslaCoInnovation"/>
    <x v="2"/>
    <n v="50862"/>
    <n v="15305"/>
    <n v="5.6486000000000001"/>
    <n v="1379539"/>
  </r>
  <r>
    <s v="P134"/>
    <s v="Twitter"/>
    <d v="2025-04-24T00:00:00"/>
    <s v="Reel"/>
    <s v="Check out our latest reel on twitter!"/>
    <n v="3731"/>
    <n v="115"/>
    <n v="135"/>
    <n v="55965"/>
    <n v="55436"/>
    <n v="103"/>
    <s v="#TeslaCoInnovation"/>
    <x v="0"/>
    <n v="53484"/>
    <n v="12307"/>
    <n v="5.6557999999999993"/>
    <n v="1060357"/>
  </r>
  <r>
    <s v="P135"/>
    <s v="Facebook"/>
    <d v="2024-11-28T00:00:00"/>
    <s v="Text"/>
    <s v="Check out our latest text on facebook!"/>
    <n v="4213"/>
    <n v="253"/>
    <n v="434"/>
    <n v="75834"/>
    <n v="75437"/>
    <n v="272"/>
    <s v="#FutureOfDriving"/>
    <x v="2"/>
    <n v="50862"/>
    <n v="15305"/>
    <n v="5.6486000000000001"/>
    <n v="1379539"/>
  </r>
  <r>
    <s v="P136"/>
    <s v="Instagram"/>
    <d v="2024-07-11T00:00:00"/>
    <s v="Text"/>
    <s v="Check out our latest text on instagram!"/>
    <n v="3134"/>
    <n v="888"/>
    <n v="444"/>
    <n v="21938"/>
    <n v="21337"/>
    <n v="130"/>
    <s v="#EVRevolution"/>
    <x v="2"/>
    <n v="58311"/>
    <n v="10307"/>
    <n v="5.7155999999999993"/>
    <n v="1164373"/>
  </r>
  <r>
    <s v="P137"/>
    <s v="Facebook"/>
    <d v="2024-07-31T00:00:00"/>
    <s v="Video"/>
    <s v="Check out our latest video on facebook!"/>
    <n v="3008"/>
    <n v="94"/>
    <n v="37"/>
    <n v="15040"/>
    <n v="14639"/>
    <n v="277"/>
    <s v="#FutureOfDriving"/>
    <x v="4"/>
    <n v="50862"/>
    <n v="15305"/>
    <n v="5.6486000000000001"/>
    <n v="1379539"/>
  </r>
  <r>
    <s v="P138"/>
    <s v="Twitter"/>
    <d v="2025-03-29T00:00:00"/>
    <s v="Image"/>
    <s v="Check out our latest image on twitter!"/>
    <n v="305"/>
    <n v="187"/>
    <n v="243"/>
    <n v="4575"/>
    <n v="3704"/>
    <n v="234"/>
    <s v="#FutureOfDriving"/>
    <x v="3"/>
    <n v="53484"/>
    <n v="12307"/>
    <n v="5.6557999999999993"/>
    <n v="1060357"/>
  </r>
  <r>
    <s v="P139"/>
    <s v="YouTube"/>
    <d v="2024-10-29T00:00:00"/>
    <s v="Text"/>
    <s v="Check out our latest text on youtube!"/>
    <n v="2746"/>
    <n v="156"/>
    <n v="203"/>
    <n v="32952"/>
    <n v="32147"/>
    <n v="147"/>
    <s v="#EVRevolution"/>
    <x v="0"/>
    <n v="47471"/>
    <n v="12104"/>
    <n v="5.5587999999999997"/>
    <n v="1228647"/>
  </r>
  <r>
    <s v="P140"/>
    <s v="Facebook"/>
    <d v="2024-07-15T00:00:00"/>
    <s v="Image"/>
    <s v="Check out our latest image on facebook!"/>
    <n v="2291"/>
    <n v="78"/>
    <n v="485"/>
    <n v="18328"/>
    <n v="18101"/>
    <n v="10"/>
    <s v="#EVRevolution"/>
    <x v="1"/>
    <n v="50862"/>
    <n v="15305"/>
    <n v="5.6486000000000001"/>
    <n v="1379539"/>
  </r>
  <r>
    <s v="P141"/>
    <s v="Twitter"/>
    <d v="2024-08-31T00:00:00"/>
    <s v="Image"/>
    <s v="Check out our latest image on twitter!"/>
    <n v="3170"/>
    <n v="857"/>
    <n v="379"/>
    <n v="19020"/>
    <n v="18559"/>
    <n v="240"/>
    <s v="#FutureOfDriving"/>
    <x v="4"/>
    <n v="53484"/>
    <n v="12307"/>
    <n v="5.6557999999999993"/>
    <n v="1060357"/>
  </r>
  <r>
    <s v="P142"/>
    <s v="YouTube"/>
    <d v="2025-03-25T00:00:00"/>
    <s v="Story"/>
    <s v="Check out our latest story on youtube!"/>
    <n v="2070"/>
    <n v="275"/>
    <n v="386"/>
    <n v="39330"/>
    <n v="38627"/>
    <n v="114"/>
    <s v="#FutureOfDriving"/>
    <x v="2"/>
    <n v="47471"/>
    <n v="12104"/>
    <n v="5.5587999999999997"/>
    <n v="1228647"/>
  </r>
  <r>
    <s v="P143"/>
    <s v="YouTube"/>
    <d v="2024-10-02T00:00:00"/>
    <s v="Carousel"/>
    <s v="Check out our latest carousel on youtube!"/>
    <n v="80"/>
    <n v="362"/>
    <n v="80"/>
    <n v="1040"/>
    <n v="349"/>
    <n v="117"/>
    <s v="#TeslaCoInnovation"/>
    <x v="3"/>
    <n v="47471"/>
    <n v="12104"/>
    <n v="5.5587999999999997"/>
    <n v="1228647"/>
  </r>
  <r>
    <s v="P144"/>
    <s v="YouTube"/>
    <d v="2024-10-28T00:00:00"/>
    <s v="Story"/>
    <s v="Check out our latest story on youtube!"/>
    <n v="4929"/>
    <n v="749"/>
    <n v="452"/>
    <n v="93651"/>
    <n v="92810"/>
    <n v="66"/>
    <s v="#EVRevolution"/>
    <x v="2"/>
    <n v="47471"/>
    <n v="12104"/>
    <n v="5.5587999999999997"/>
    <n v="1228647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#TeslaCoInnovation"/>
    <x v="2"/>
    <n v="58311"/>
    <n v="10307"/>
    <n v="5.7155999999999993"/>
    <n v="1164373"/>
  </r>
  <r>
    <s v="P146"/>
    <s v="YouTube"/>
    <d v="2024-06-05T00:00:00"/>
    <s v="Reel"/>
    <s v="Check out our latest reel on youtube!"/>
    <n v="3065"/>
    <n v="772"/>
    <n v="142"/>
    <n v="18390"/>
    <n v="17875"/>
    <n v="200"/>
    <s v="#EVRevolution"/>
    <x v="4"/>
    <n v="47471"/>
    <n v="12104"/>
    <n v="5.5587999999999997"/>
    <n v="1228647"/>
  </r>
  <r>
    <s v="P147"/>
    <s v="Instagram"/>
    <d v="2024-10-21T00:00:00"/>
    <s v="Reel"/>
    <s v="Check out our latest reel on instagram!"/>
    <n v="3256"/>
    <n v="459"/>
    <n v="266"/>
    <n v="26048"/>
    <n v="25529"/>
    <n v="143"/>
    <s v="#TeslaCoInnovation"/>
    <x v="1"/>
    <n v="58311"/>
    <n v="10307"/>
    <n v="5.7155999999999993"/>
    <n v="1164373"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#EVRevolution"/>
    <x v="2"/>
    <n v="58311"/>
    <n v="10307"/>
    <n v="5.7155999999999993"/>
    <n v="1164373"/>
  </r>
  <r>
    <s v="P149"/>
    <s v="Twitter"/>
    <d v="2024-06-16T00:00:00"/>
    <s v="Video"/>
    <s v="Check out our latest video on twitter!"/>
    <n v="1702"/>
    <n v="750"/>
    <n v="179"/>
    <n v="34040"/>
    <n v="33174"/>
    <n v="76"/>
    <s v="#EVRevolution"/>
    <x v="0"/>
    <n v="53484"/>
    <n v="12307"/>
    <n v="5.6557999999999993"/>
    <n v="1060357"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#TeslaCoInnovation"/>
    <x v="2"/>
    <n v="47471"/>
    <n v="12104"/>
    <n v="5.5587999999999997"/>
    <n v="1228647"/>
  </r>
  <r>
    <s v="P151"/>
    <s v="Instagram"/>
    <d v="2024-07-26T00:00:00"/>
    <s v="Image"/>
    <s v="Check out our latest image on instagram!"/>
    <n v="3559"/>
    <n v="59"/>
    <n v="289"/>
    <n v="35590"/>
    <n v="35105"/>
    <n v="122"/>
    <s v="#EVRevolution"/>
    <x v="0"/>
    <n v="58311"/>
    <n v="10307"/>
    <n v="5.7155999999999993"/>
    <n v="1164373"/>
  </r>
  <r>
    <s v="P152"/>
    <s v="Facebook"/>
    <d v="2025-04-22T00:00:00"/>
    <s v="Image"/>
    <s v="Check out our latest image on facebook!"/>
    <n v="4804"/>
    <n v="550"/>
    <n v="270"/>
    <n v="28824"/>
    <n v="28370"/>
    <n v="47"/>
    <s v="#EVRevolution"/>
    <x v="2"/>
    <n v="50862"/>
    <n v="15305"/>
    <n v="5.6486000000000001"/>
    <n v="1379539"/>
  </r>
  <r>
    <s v="P153"/>
    <s v="Twitter"/>
    <d v="2025-01-01T00:00:00"/>
    <s v="Video"/>
    <s v="Check out our latest video on twitter!"/>
    <n v="754"/>
    <n v="197"/>
    <n v="257"/>
    <n v="6786"/>
    <n v="6221"/>
    <n v="212"/>
    <s v="#TeslaCoInnovation"/>
    <x v="3"/>
    <n v="53484"/>
    <n v="12307"/>
    <n v="5.6557999999999993"/>
    <n v="1060357"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#FutureOfDriving"/>
    <x v="2"/>
    <n v="58311"/>
    <n v="10307"/>
    <n v="5.7155999999999993"/>
    <n v="1164373"/>
  </r>
  <r>
    <s v="P155"/>
    <s v="YouTube"/>
    <d v="2024-12-21T00:00:00"/>
    <s v="Image"/>
    <s v="Check out our latest image on youtube!"/>
    <n v="2283"/>
    <n v="210"/>
    <n v="130"/>
    <n v="22830"/>
    <n v="22617"/>
    <n v="143"/>
    <s v="#FutureOfDriving"/>
    <x v="1"/>
    <n v="47471"/>
    <n v="12104"/>
    <n v="5.5587999999999997"/>
    <n v="1228647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#FutureOfDriving"/>
    <x v="1"/>
    <n v="50862"/>
    <n v="15305"/>
    <n v="5.6486000000000001"/>
    <n v="1379539"/>
  </r>
  <r>
    <s v="P157"/>
    <s v="YouTube"/>
    <d v="2024-07-23T00:00:00"/>
    <s v="Story"/>
    <s v="Check out our latest story on youtube!"/>
    <n v="4775"/>
    <n v="173"/>
    <n v="206"/>
    <n v="47750"/>
    <n v="47544"/>
    <n v="187"/>
    <s v="#FutureOfDriving"/>
    <x v="1"/>
    <n v="47471"/>
    <n v="12104"/>
    <n v="5.5587999999999997"/>
    <n v="1228647"/>
  </r>
  <r>
    <s v="P158"/>
    <s v="Instagram"/>
    <d v="2024-08-11T00:00:00"/>
    <s v="Story"/>
    <s v="Check out our latest story on instagram!"/>
    <n v="1762"/>
    <n v="405"/>
    <n v="423"/>
    <n v="22906"/>
    <n v="21925"/>
    <n v="25"/>
    <s v="#TeslaCoInnovation"/>
    <x v="0"/>
    <n v="58311"/>
    <n v="10307"/>
    <n v="5.7155999999999993"/>
    <n v="1164373"/>
  </r>
  <r>
    <s v="P159"/>
    <s v="Facebook"/>
    <d v="2024-11-25T00:00:00"/>
    <s v="Story"/>
    <s v="Check out our latest story on facebook!"/>
    <n v="2120"/>
    <n v="158"/>
    <n v="488"/>
    <n v="12720"/>
    <n v="12085"/>
    <n v="17"/>
    <s v="#FutureOfDriving"/>
    <x v="1"/>
    <n v="50862"/>
    <n v="15305"/>
    <n v="5.6486000000000001"/>
    <n v="1379539"/>
  </r>
  <r>
    <s v="P160"/>
    <s v="Twitter"/>
    <d v="2024-08-24T00:00:00"/>
    <s v="Video"/>
    <s v="Check out our latest video on twitter!"/>
    <n v="1082"/>
    <n v="209"/>
    <n v="484"/>
    <n v="19476"/>
    <n v="18654"/>
    <n v="20"/>
    <s v="#TeslaCoInnovation"/>
    <x v="4"/>
    <n v="53484"/>
    <n v="12307"/>
    <n v="5.6557999999999993"/>
    <n v="1060357"/>
  </r>
  <r>
    <s v="P161"/>
    <s v="Twitter"/>
    <d v="2025-02-19T00:00:00"/>
    <s v="Text"/>
    <s v="Check out our latest text on twitter!"/>
    <n v="4671"/>
    <n v="876"/>
    <n v="366"/>
    <n v="51381"/>
    <n v="50565"/>
    <n v="245"/>
    <s v="#TeslaCoInnovation"/>
    <x v="2"/>
    <n v="53484"/>
    <n v="12307"/>
    <n v="5.6557999999999993"/>
    <n v="1060357"/>
  </r>
  <r>
    <s v="P162"/>
    <s v="Facebook"/>
    <d v="2025-04-01T00:00:00"/>
    <s v="Story"/>
    <s v="Check out our latest story on facebook!"/>
    <n v="3430"/>
    <n v="566"/>
    <n v="164"/>
    <n v="48020"/>
    <n v="47305"/>
    <n v="120"/>
    <s v="#FutureOfDriving"/>
    <x v="4"/>
    <n v="50862"/>
    <n v="15305"/>
    <n v="5.6486000000000001"/>
    <n v="1379539"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#TeslaCoInnovation"/>
    <x v="1"/>
    <n v="58311"/>
    <n v="10307"/>
    <n v="5.7155999999999993"/>
    <n v="1164373"/>
  </r>
  <r>
    <s v="P164"/>
    <s v="YouTube"/>
    <d v="2025-02-27T00:00:00"/>
    <s v="Text"/>
    <s v="Check out our latest text on youtube!"/>
    <n v="4934"/>
    <n v="971"/>
    <n v="156"/>
    <n v="39472"/>
    <n v="39025"/>
    <n v="169"/>
    <s v="#TeslaCoInnovation"/>
    <x v="2"/>
    <n v="47471"/>
    <n v="12104"/>
    <n v="5.5587999999999997"/>
    <n v="1228647"/>
  </r>
  <r>
    <s v="P165"/>
    <s v="Twitter"/>
    <d v="2024-12-11T00:00:00"/>
    <s v="Text"/>
    <s v="Check out our latest text on twitter!"/>
    <n v="3239"/>
    <n v="43"/>
    <n v="211"/>
    <n v="22673"/>
    <n v="22171"/>
    <n v="230"/>
    <s v="#TeslaCoInnovation"/>
    <x v="1"/>
    <n v="53484"/>
    <n v="12307"/>
    <n v="5.6557999999999993"/>
    <n v="1060357"/>
  </r>
  <r>
    <s v="P166"/>
    <s v="Twitter"/>
    <d v="2025-02-16T00:00:00"/>
    <s v="Reel"/>
    <s v="Check out our latest reel on twitter!"/>
    <n v="1076"/>
    <n v="313"/>
    <n v="306"/>
    <n v="11836"/>
    <n v="11596"/>
    <n v="104"/>
    <s v="#FutureOfDriving"/>
    <x v="0"/>
    <n v="53484"/>
    <n v="12307"/>
    <n v="5.6557999999999993"/>
    <n v="1060357"/>
  </r>
  <r>
    <s v="P167"/>
    <s v="Instagram"/>
    <d v="2024-11-28T00:00:00"/>
    <s v="Text"/>
    <s v="Check out our latest text on instagram!"/>
    <n v="4771"/>
    <n v="818"/>
    <n v="56"/>
    <n v="57252"/>
    <n v="56378"/>
    <n v="150"/>
    <s v="#FutureOfDriving"/>
    <x v="4"/>
    <n v="58311"/>
    <n v="10307"/>
    <n v="5.7155999999999993"/>
    <n v="1164373"/>
  </r>
  <r>
    <s v="P168"/>
    <s v="Facebook"/>
    <d v="2024-11-12T00:00:00"/>
    <s v="Text"/>
    <s v="Check out our latest text on facebook!"/>
    <n v="2418"/>
    <n v="754"/>
    <n v="54"/>
    <n v="43524"/>
    <n v="42743"/>
    <n v="182"/>
    <s v="#EVRevolution"/>
    <x v="0"/>
    <n v="50862"/>
    <n v="15305"/>
    <n v="5.6486000000000001"/>
    <n v="1379539"/>
  </r>
  <r>
    <s v="P169"/>
    <s v="YouTube"/>
    <d v="2024-12-03T00:00:00"/>
    <s v="Video"/>
    <s v="Check out our latest video on youtube!"/>
    <n v="3809"/>
    <n v="273"/>
    <n v="200"/>
    <n v="34281"/>
    <n v="33534"/>
    <n v="83"/>
    <s v="#EVRevolution"/>
    <x v="0"/>
    <n v="47471"/>
    <n v="12104"/>
    <n v="5.5587999999999997"/>
    <n v="1228647"/>
  </r>
  <r>
    <s v="P170"/>
    <s v="Twitter"/>
    <d v="2025-04-28T00:00:00"/>
    <s v="Text"/>
    <s v="Check out our latest text on twitter!"/>
    <n v="3577"/>
    <n v="596"/>
    <n v="493"/>
    <n v="67963"/>
    <n v="67839"/>
    <n v="53"/>
    <s v="#TeslaCoInnovation"/>
    <x v="3"/>
    <n v="53484"/>
    <n v="12307"/>
    <n v="5.6557999999999993"/>
    <n v="1060357"/>
  </r>
  <r>
    <s v="P171"/>
    <s v="YouTube"/>
    <d v="2024-12-31T00:00:00"/>
    <s v="Video"/>
    <s v="Check out our latest video on youtube!"/>
    <n v="1018"/>
    <n v="447"/>
    <n v="332"/>
    <n v="18324"/>
    <n v="18164"/>
    <n v="38"/>
    <s v="#FutureOfDriving"/>
    <x v="1"/>
    <n v="47471"/>
    <n v="12104"/>
    <n v="5.5587999999999997"/>
    <n v="1228647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#EVRevolution"/>
    <x v="3"/>
    <n v="50862"/>
    <n v="15305"/>
    <n v="5.6486000000000001"/>
    <n v="1379539"/>
  </r>
  <r>
    <s v="P173"/>
    <s v="Twitter"/>
    <d v="2024-12-05T00:00:00"/>
    <s v="Video"/>
    <s v="Check out our latest video on twitter!"/>
    <n v="1330"/>
    <n v="925"/>
    <n v="35"/>
    <n v="15960"/>
    <n v="15379"/>
    <n v="229"/>
    <s v="#FutureOfDriving"/>
    <x v="3"/>
    <n v="53484"/>
    <n v="12307"/>
    <n v="5.6557999999999993"/>
    <n v="1060357"/>
  </r>
  <r>
    <s v="P174"/>
    <s v="Facebook"/>
    <d v="2024-06-22T00:00:00"/>
    <s v="Text"/>
    <s v="Check out our latest text on facebook!"/>
    <n v="3828"/>
    <n v="148"/>
    <n v="253"/>
    <n v="30624"/>
    <n v="30229"/>
    <n v="235"/>
    <s v="#EVRevolution"/>
    <x v="4"/>
    <n v="50862"/>
    <n v="15305"/>
    <n v="5.6486000000000001"/>
    <n v="1379539"/>
  </r>
  <r>
    <s v="P175"/>
    <s v="Instagram"/>
    <d v="2025-01-17T00:00:00"/>
    <s v="Reel"/>
    <s v="Check out our latest reel on instagram!"/>
    <n v="142"/>
    <n v="784"/>
    <n v="183"/>
    <n v="1704"/>
    <n v="995"/>
    <n v="154"/>
    <s v="#FutureOfDriving"/>
    <x v="2"/>
    <n v="58311"/>
    <n v="10307"/>
    <n v="5.7155999999999993"/>
    <n v="1164373"/>
  </r>
  <r>
    <s v="P176"/>
    <s v="Facebook"/>
    <d v="2024-06-20T00:00:00"/>
    <s v="Video"/>
    <s v="Check out our latest video on facebook!"/>
    <n v="3798"/>
    <n v="31"/>
    <n v="279"/>
    <n v="75960"/>
    <n v="75813"/>
    <n v="266"/>
    <s v="#TeslaCoInnovation"/>
    <x v="0"/>
    <n v="50862"/>
    <n v="15305"/>
    <n v="5.6486000000000001"/>
    <n v="1379539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#TeslaCoInnovation"/>
    <x v="3"/>
    <n v="58311"/>
    <n v="10307"/>
    <n v="5.7155999999999993"/>
    <n v="1164373"/>
  </r>
  <r>
    <s v="P178"/>
    <s v="Instagram"/>
    <d v="2024-11-07T00:00:00"/>
    <s v="Video"/>
    <s v="Check out our latest video on instagram!"/>
    <n v="129"/>
    <n v="643"/>
    <n v="136"/>
    <n v="1290"/>
    <n v="839"/>
    <n v="238"/>
    <s v="#TeslaCoInnovation"/>
    <x v="2"/>
    <n v="58311"/>
    <n v="10307"/>
    <n v="5.7155999999999993"/>
    <n v="1164373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#TeslaCoInnovation"/>
    <x v="4"/>
    <n v="50862"/>
    <n v="15305"/>
    <n v="5.6486000000000001"/>
    <n v="1379539"/>
  </r>
  <r>
    <s v="P180"/>
    <s v="YouTube"/>
    <d v="2024-12-03T00:00:00"/>
    <s v="Text"/>
    <s v="Check out our latest text on youtube!"/>
    <n v="3711"/>
    <n v="352"/>
    <n v="290"/>
    <n v="48243"/>
    <n v="47579"/>
    <n v="11"/>
    <s v="#TeslaCoInnovation"/>
    <x v="0"/>
    <n v="47471"/>
    <n v="12104"/>
    <n v="5.5587999999999997"/>
    <n v="1228647"/>
  </r>
  <r>
    <s v="P181"/>
    <s v="YouTube"/>
    <d v="2025-03-21T00:00:00"/>
    <s v="Image"/>
    <s v="Check out our latest image on youtube!"/>
    <n v="606"/>
    <n v="789"/>
    <n v="470"/>
    <n v="7878"/>
    <n v="7389"/>
    <n v="239"/>
    <s v="#EVRevolution"/>
    <x v="3"/>
    <n v="47471"/>
    <n v="12104"/>
    <n v="5.5587999999999997"/>
    <n v="1228647"/>
  </r>
  <r>
    <s v="P182"/>
    <s v="Facebook"/>
    <d v="2024-07-31T00:00:00"/>
    <s v="Image"/>
    <s v="Check out our latest image on facebook!"/>
    <n v="4689"/>
    <n v="134"/>
    <n v="403"/>
    <n v="51579"/>
    <n v="50924"/>
    <n v="173"/>
    <s v="#TeslaCoInnovation"/>
    <x v="2"/>
    <n v="50862"/>
    <n v="15305"/>
    <n v="5.6486000000000001"/>
    <n v="1379539"/>
  </r>
  <r>
    <s v="P183"/>
    <s v="Instagram"/>
    <d v="2024-12-17T00:00:00"/>
    <s v="Story"/>
    <s v="Check out our latest story on instagram!"/>
    <n v="360"/>
    <n v="590"/>
    <n v="393"/>
    <n v="4680"/>
    <n v="4322"/>
    <n v="208"/>
    <s v="#FutureOfDriving"/>
    <x v="1"/>
    <n v="58311"/>
    <n v="10307"/>
    <n v="5.7155999999999993"/>
    <n v="1164373"/>
  </r>
  <r>
    <s v="P184"/>
    <s v="Twitter"/>
    <d v="2024-07-28T00:00:00"/>
    <s v="Image"/>
    <s v="Check out our latest image on twitter!"/>
    <n v="3215"/>
    <n v="960"/>
    <n v="202"/>
    <n v="32150"/>
    <n v="31404"/>
    <n v="251"/>
    <s v="#EVRevolution"/>
    <x v="0"/>
    <n v="53484"/>
    <n v="12307"/>
    <n v="5.6557999999999993"/>
    <n v="1060357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#EVRevolution"/>
    <x v="4"/>
    <n v="58311"/>
    <n v="10307"/>
    <n v="5.7155999999999993"/>
    <n v="1164373"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#EVRevolution"/>
    <x v="3"/>
    <n v="50862"/>
    <n v="15305"/>
    <n v="5.6486000000000001"/>
    <n v="1379539"/>
  </r>
  <r>
    <s v="P187"/>
    <s v="Twitter"/>
    <d v="2024-12-22T00:00:00"/>
    <s v="Reel"/>
    <s v="Check out our latest reel on twitter!"/>
    <n v="1644"/>
    <n v="546"/>
    <n v="150"/>
    <n v="27948"/>
    <n v="27184"/>
    <n v="300"/>
    <s v="#EVRevolution"/>
    <x v="3"/>
    <n v="53484"/>
    <n v="12307"/>
    <n v="5.6557999999999993"/>
    <n v="1060357"/>
  </r>
  <r>
    <s v="P188"/>
    <s v="YouTube"/>
    <d v="2024-06-06T00:00:00"/>
    <s v="Reel"/>
    <s v="Check out our latest reel on youtube!"/>
    <n v="2728"/>
    <n v="533"/>
    <n v="215"/>
    <n v="40920"/>
    <n v="40816"/>
    <n v="137"/>
    <s v="#FutureOfDriving"/>
    <x v="1"/>
    <n v="47471"/>
    <n v="12104"/>
    <n v="5.5587999999999997"/>
    <n v="1228647"/>
  </r>
  <r>
    <s v="P189"/>
    <s v="Facebook"/>
    <d v="2025-03-24T00:00:00"/>
    <s v="Reel"/>
    <s v="Check out our latest reel on facebook!"/>
    <n v="3360"/>
    <n v="525"/>
    <n v="500"/>
    <n v="60480"/>
    <n v="59610"/>
    <n v="192"/>
    <s v="#TeslaCoInnovation"/>
    <x v="0"/>
    <n v="50862"/>
    <n v="15305"/>
    <n v="5.6486000000000001"/>
    <n v="1379539"/>
  </r>
  <r>
    <s v="P190"/>
    <s v="YouTube"/>
    <d v="2024-10-04T00:00:00"/>
    <s v="Text"/>
    <s v="Check out our latest text on youtube!"/>
    <n v="1963"/>
    <n v="213"/>
    <n v="19"/>
    <n v="39260"/>
    <n v="38771"/>
    <n v="145"/>
    <s v="#FutureOfDriving"/>
    <x v="4"/>
    <n v="47471"/>
    <n v="12104"/>
    <n v="5.5587999999999997"/>
    <n v="1228647"/>
  </r>
  <r>
    <s v="P191"/>
    <s v="YouTube"/>
    <d v="2024-12-03T00:00:00"/>
    <s v="Story"/>
    <s v="Check out our latest story on youtube!"/>
    <n v="4285"/>
    <n v="886"/>
    <n v="376"/>
    <n v="55705"/>
    <n v="55556"/>
    <n v="51"/>
    <s v="#FutureOfDriving"/>
    <x v="3"/>
    <n v="47471"/>
    <n v="12104"/>
    <n v="5.5587999999999997"/>
    <n v="1228647"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#EVRevolution"/>
    <x v="4"/>
    <n v="58311"/>
    <n v="10307"/>
    <n v="5.7155999999999993"/>
    <n v="1164373"/>
  </r>
  <r>
    <s v="P193"/>
    <s v="Twitter"/>
    <d v="2024-09-11T00:00:00"/>
    <s v="Image"/>
    <s v="Check out our latest image on twitter!"/>
    <n v="4858"/>
    <n v="317"/>
    <n v="129"/>
    <n v="53438"/>
    <n v="52687"/>
    <n v="223"/>
    <s v="#EVRevolution"/>
    <x v="3"/>
    <n v="53484"/>
    <n v="12307"/>
    <n v="5.6557999999999993"/>
    <n v="1060357"/>
  </r>
  <r>
    <s v="P194"/>
    <s v="YouTube"/>
    <d v="2024-10-02T00:00:00"/>
    <s v="Story"/>
    <s v="Check out our latest story on youtube!"/>
    <n v="4350"/>
    <n v="771"/>
    <n v="7"/>
    <n v="60900"/>
    <n v="60592"/>
    <n v="195"/>
    <s v="#EVRevolution"/>
    <x v="0"/>
    <n v="47471"/>
    <n v="12104"/>
    <n v="5.5587999999999997"/>
    <n v="1228647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#FutureOfDriving"/>
    <x v="2"/>
    <n v="58311"/>
    <n v="10307"/>
    <n v="5.7155999999999993"/>
    <n v="1164373"/>
  </r>
  <r>
    <s v="P196"/>
    <s v="Instagram"/>
    <d v="2024-12-19T00:00:00"/>
    <s v="Text"/>
    <s v="Check out our latest text on instagram!"/>
    <n v="1813"/>
    <n v="623"/>
    <n v="72"/>
    <n v="19943"/>
    <n v="18959"/>
    <n v="85"/>
    <s v="#EVRevolution"/>
    <x v="3"/>
    <n v="58311"/>
    <n v="10307"/>
    <n v="5.7155999999999993"/>
    <n v="1164373"/>
  </r>
  <r>
    <s v="P197"/>
    <s v="Twitter"/>
    <d v="2024-10-22T00:00:00"/>
    <s v="Reel"/>
    <s v="Check out our latest reel on twitter!"/>
    <n v="4782"/>
    <n v="721"/>
    <n v="82"/>
    <n v="86076"/>
    <n v="85339"/>
    <n v="19"/>
    <s v="#EVRevolution"/>
    <x v="0"/>
    <n v="53484"/>
    <n v="12307"/>
    <n v="5.6557999999999993"/>
    <n v="1060357"/>
  </r>
  <r>
    <s v="P198"/>
    <s v="Twitter"/>
    <d v="2024-09-14T00:00:00"/>
    <s v="Image"/>
    <s v="Check out our latest image on twitter!"/>
    <n v="1048"/>
    <n v="374"/>
    <n v="450"/>
    <n v="9432"/>
    <n v="8882"/>
    <n v="158"/>
    <s v="#TeslaCoInnovation"/>
    <x v="3"/>
    <n v="53484"/>
    <n v="12307"/>
    <n v="5.6557999999999993"/>
    <n v="1060357"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#TeslaCoInnovation"/>
    <x v="1"/>
    <n v="47471"/>
    <n v="12104"/>
    <n v="5.5587999999999997"/>
    <n v="1228647"/>
  </r>
  <r>
    <s v="P200"/>
    <s v="Facebook"/>
    <d v="2025-04-07T00:00:00"/>
    <s v="Reel"/>
    <s v="Check out our latest reel on facebook!"/>
    <n v="3718"/>
    <n v="385"/>
    <n v="310"/>
    <n v="70642"/>
    <n v="69749"/>
    <n v="233"/>
    <s v="#TeslaCoInnovation"/>
    <x v="1"/>
    <n v="50862"/>
    <n v="15305"/>
    <n v="5.6486000000000001"/>
    <n v="1379539"/>
  </r>
  <r>
    <s v="P201"/>
    <s v="Twitter"/>
    <d v="2025-01-15T00:00:00"/>
    <s v="Reel"/>
    <s v="Check out our latest reel on twitter!"/>
    <n v="802"/>
    <n v="262"/>
    <n v="244"/>
    <n v="14436"/>
    <n v="14280"/>
    <n v="49"/>
    <s v="#EVRevolution"/>
    <x v="0"/>
    <n v="53484"/>
    <n v="12307"/>
    <n v="5.6557999999999993"/>
    <n v="1060357"/>
  </r>
  <r>
    <s v="P202"/>
    <s v="Facebook"/>
    <d v="2024-06-02T00:00:00"/>
    <s v="Image"/>
    <s v="Check out our latest image on facebook!"/>
    <n v="1871"/>
    <n v="252"/>
    <n v="335"/>
    <n v="29936"/>
    <n v="29576"/>
    <n v="288"/>
    <s v="#EVRevolution"/>
    <x v="3"/>
    <n v="50862"/>
    <n v="15305"/>
    <n v="5.6486000000000001"/>
    <n v="1379539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#FutureOfDriving"/>
    <x v="0"/>
    <n v="58311"/>
    <n v="10307"/>
    <n v="5.7155999999999993"/>
    <n v="1164373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#FutureOfDriving"/>
    <x v="3"/>
    <n v="58311"/>
    <n v="10307"/>
    <n v="5.7155999999999993"/>
    <n v="1164373"/>
  </r>
  <r>
    <s v="P205"/>
    <s v="Twitter"/>
    <d v="2025-04-24T00:00:00"/>
    <s v="Video"/>
    <s v="Check out our latest video on twitter!"/>
    <n v="3820"/>
    <n v="697"/>
    <n v="268"/>
    <n v="45840"/>
    <n v="45631"/>
    <n v="171"/>
    <s v="#TeslaCoInnovation"/>
    <x v="2"/>
    <n v="53484"/>
    <n v="12307"/>
    <n v="5.6557999999999993"/>
    <n v="1060357"/>
  </r>
  <r>
    <s v="P206"/>
    <s v="Twitter"/>
    <d v="2024-06-24T00:00:00"/>
    <s v="Text"/>
    <s v="Check out our latest text on twitter!"/>
    <n v="941"/>
    <n v="121"/>
    <n v="458"/>
    <n v="14115"/>
    <n v="13838"/>
    <n v="87"/>
    <s v="#EVRevolution"/>
    <x v="0"/>
    <n v="53484"/>
    <n v="12307"/>
    <n v="5.6557999999999993"/>
    <n v="1060357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#TeslaCoInnovation"/>
    <x v="3"/>
    <n v="53484"/>
    <n v="12307"/>
    <n v="5.6557999999999993"/>
    <n v="1060357"/>
  </r>
  <r>
    <s v="P208"/>
    <s v="YouTube"/>
    <d v="2024-06-24T00:00:00"/>
    <s v="Video"/>
    <s v="Check out our latest video on youtube!"/>
    <n v="2949"/>
    <n v="476"/>
    <n v="403"/>
    <n v="44235"/>
    <n v="43705"/>
    <n v="135"/>
    <s v="#TeslaCoInnovation"/>
    <x v="1"/>
    <n v="47471"/>
    <n v="12104"/>
    <n v="5.5587999999999997"/>
    <n v="1228647"/>
  </r>
  <r>
    <s v="P209"/>
    <s v="Twitter"/>
    <d v="2025-03-19T00:00:00"/>
    <s v="Video"/>
    <s v="Check out our latest video on twitter!"/>
    <n v="3160"/>
    <n v="204"/>
    <n v="297"/>
    <n v="44240"/>
    <n v="43666"/>
    <n v="49"/>
    <s v="#FutureOfDriving"/>
    <x v="2"/>
    <n v="53484"/>
    <n v="12307"/>
    <n v="5.6557999999999993"/>
    <n v="1060357"/>
  </r>
  <r>
    <s v="P210"/>
    <s v="YouTube"/>
    <d v="2025-02-19T00:00:00"/>
    <s v="Image"/>
    <s v="Check out our latest image on youtube!"/>
    <n v="257"/>
    <n v="966"/>
    <n v="398"/>
    <n v="3341"/>
    <n v="2753"/>
    <n v="287"/>
    <s v="#FutureOfDriving"/>
    <x v="0"/>
    <n v="47471"/>
    <n v="12104"/>
    <n v="5.5587999999999997"/>
    <n v="1228647"/>
  </r>
  <r>
    <s v="P211"/>
    <s v="Twitter"/>
    <d v="2024-07-18T00:00:00"/>
    <s v="Carousel"/>
    <s v="Check out our latest carousel on twitter!"/>
    <n v="2120"/>
    <n v="38"/>
    <n v="212"/>
    <n v="12720"/>
    <n v="12564"/>
    <n v="21"/>
    <s v="#FutureOfDriving"/>
    <x v="2"/>
    <n v="53484"/>
    <n v="12307"/>
    <n v="5.6557999999999993"/>
    <n v="1060357"/>
  </r>
  <r>
    <s v="P212"/>
    <s v="YouTube"/>
    <d v="2025-03-03T00:00:00"/>
    <s v="Video"/>
    <s v="Check out our latest video on youtube!"/>
    <n v="3874"/>
    <n v="884"/>
    <n v="19"/>
    <n v="38740"/>
    <n v="38552"/>
    <n v="219"/>
    <s v="#TeslaCoInnovation"/>
    <x v="1"/>
    <n v="47471"/>
    <n v="12104"/>
    <n v="5.5587999999999997"/>
    <n v="1228647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#EVRevolution"/>
    <x v="2"/>
    <n v="50862"/>
    <n v="15305"/>
    <n v="5.6486000000000001"/>
    <n v="1379539"/>
  </r>
  <r>
    <s v="P214"/>
    <s v="Instagram"/>
    <d v="2024-12-23T00:00:00"/>
    <s v="Image"/>
    <s v="Check out our latest image on instagram!"/>
    <n v="521"/>
    <n v="746"/>
    <n v="315"/>
    <n v="4168"/>
    <n v="3399"/>
    <n v="282"/>
    <s v="#FutureOfDriving"/>
    <x v="1"/>
    <n v="58311"/>
    <n v="10307"/>
    <n v="5.7155999999999993"/>
    <n v="1164373"/>
  </r>
  <r>
    <s v="P215"/>
    <s v="Facebook"/>
    <d v="2025-05-06T00:00:00"/>
    <s v="Image"/>
    <s v="Check out our latest image on facebook!"/>
    <n v="4872"/>
    <n v="925"/>
    <n v="176"/>
    <n v="82824"/>
    <n v="82543"/>
    <n v="89"/>
    <s v="#EVRevolution"/>
    <x v="1"/>
    <n v="50862"/>
    <n v="15305"/>
    <n v="5.6486000000000001"/>
    <n v="1379539"/>
  </r>
  <r>
    <s v="P216"/>
    <s v="YouTube"/>
    <d v="2024-07-29T00:00:00"/>
    <s v="Story"/>
    <s v="Check out our latest story on youtube!"/>
    <n v="1509"/>
    <n v="88"/>
    <n v="163"/>
    <n v="30180"/>
    <n v="29689"/>
    <n v="119"/>
    <s v="#EVRevolution"/>
    <x v="1"/>
    <n v="47471"/>
    <n v="12104"/>
    <n v="5.5587999999999997"/>
    <n v="1228647"/>
  </r>
  <r>
    <s v="P217"/>
    <s v="Facebook"/>
    <d v="2024-12-03T00:00:00"/>
    <s v="Image"/>
    <s v="Check out our latest image on facebook!"/>
    <n v="4606"/>
    <n v="931"/>
    <n v="230"/>
    <n v="92120"/>
    <n v="91440"/>
    <n v="56"/>
    <s v="#TeslaCoInnovation"/>
    <x v="4"/>
    <n v="50862"/>
    <n v="15305"/>
    <n v="5.6486000000000001"/>
    <n v="1379539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#TeslaCoInnovation"/>
    <x v="2"/>
    <n v="50862"/>
    <n v="15305"/>
    <n v="5.6486000000000001"/>
    <n v="1379539"/>
  </r>
  <r>
    <s v="P219"/>
    <s v="Twitter"/>
    <d v="2025-01-28T00:00:00"/>
    <s v="Reel"/>
    <s v="Check out our latest reel on twitter!"/>
    <n v="1188"/>
    <n v="470"/>
    <n v="174"/>
    <n v="7128"/>
    <n v="6145"/>
    <n v="270"/>
    <s v="#TeslaCoInnovation"/>
    <x v="2"/>
    <n v="53484"/>
    <n v="12307"/>
    <n v="5.6557999999999993"/>
    <n v="1060357"/>
  </r>
  <r>
    <s v="P220"/>
    <s v="Instagram"/>
    <d v="2024-06-02T00:00:00"/>
    <s v="Story"/>
    <s v="Check out our latest story on instagram!"/>
    <n v="84"/>
    <n v="897"/>
    <n v="85"/>
    <n v="588"/>
    <n v="8"/>
    <n v="12"/>
    <s v="#EVRevolution"/>
    <x v="4"/>
    <n v="58311"/>
    <n v="10307"/>
    <n v="5.7155999999999993"/>
    <n v="1164373"/>
  </r>
  <r>
    <s v="P221"/>
    <s v="Facebook"/>
    <d v="2025-03-23T00:00:00"/>
    <s v="Video"/>
    <s v="Check out our latest video on facebook!"/>
    <n v="4453"/>
    <n v="111"/>
    <n v="420"/>
    <n v="31171"/>
    <n v="30565"/>
    <n v="23"/>
    <s v="#TeslaCoInnovation"/>
    <x v="4"/>
    <n v="50862"/>
    <n v="15305"/>
    <n v="5.6486000000000001"/>
    <n v="1379539"/>
  </r>
  <r>
    <s v="P222"/>
    <s v="Facebook"/>
    <d v="2024-10-08T00:00:00"/>
    <s v="Reel"/>
    <s v="Check out our latest reel on facebook!"/>
    <n v="1814"/>
    <n v="653"/>
    <n v="363"/>
    <n v="25396"/>
    <n v="25286"/>
    <n v="39"/>
    <s v="#FutureOfDriving"/>
    <x v="0"/>
    <n v="50862"/>
    <n v="15305"/>
    <n v="5.6486000000000001"/>
    <n v="1379539"/>
  </r>
  <r>
    <s v="P223"/>
    <s v="Twitter"/>
    <d v="2024-11-12T00:00:00"/>
    <s v="Image"/>
    <s v="Check out our latest image on twitter!"/>
    <n v="3338"/>
    <n v="277"/>
    <n v="118"/>
    <n v="60084"/>
    <n v="59842"/>
    <n v="252"/>
    <s v="#TeslaCoInnovation"/>
    <x v="4"/>
    <n v="53484"/>
    <n v="12307"/>
    <n v="5.6557999999999993"/>
    <n v="1060357"/>
  </r>
  <r>
    <s v="P224"/>
    <s v="Facebook"/>
    <d v="2025-05-13T00:00:00"/>
    <s v="Image"/>
    <s v="Check out our latest image on facebook!"/>
    <n v="602"/>
    <n v="594"/>
    <n v="156"/>
    <n v="4214"/>
    <n v="3363"/>
    <n v="164"/>
    <s v="#TeslaCoInnovation"/>
    <x v="3"/>
    <n v="50862"/>
    <n v="15305"/>
    <n v="5.6486000000000001"/>
    <n v="1379539"/>
  </r>
  <r>
    <s v="P225"/>
    <s v="Twitter"/>
    <d v="2024-06-20T00:00:00"/>
    <s v="Carousel"/>
    <s v="Check out our latest carousel on twitter!"/>
    <n v="4672"/>
    <n v="325"/>
    <n v="32"/>
    <n v="88768"/>
    <n v="87833"/>
    <n v="118"/>
    <s v="#EVRevolution"/>
    <x v="4"/>
    <n v="53484"/>
    <n v="12307"/>
    <n v="5.6557999999999993"/>
    <n v="1060357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#TeslaCoInnovation"/>
    <x v="4"/>
    <n v="58311"/>
    <n v="10307"/>
    <n v="5.7155999999999993"/>
    <n v="1164373"/>
  </r>
  <r>
    <s v="P227"/>
    <s v="Instagram"/>
    <d v="2024-06-12T00:00:00"/>
    <s v="Text"/>
    <s v="Check out our latest text on instagram!"/>
    <n v="246"/>
    <n v="149"/>
    <n v="130"/>
    <n v="4674"/>
    <n v="4390"/>
    <n v="217"/>
    <s v="#FutureOfDriving"/>
    <x v="3"/>
    <n v="58311"/>
    <n v="10307"/>
    <n v="5.7155999999999993"/>
    <n v="1164373"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#EVRevolution"/>
    <x v="0"/>
    <n v="58311"/>
    <n v="10307"/>
    <n v="5.7155999999999993"/>
    <n v="1164373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#TeslaCoInnovation"/>
    <x v="4"/>
    <n v="58311"/>
    <n v="10307"/>
    <n v="5.7155999999999993"/>
    <n v="1164373"/>
  </r>
  <r>
    <s v="P230"/>
    <s v="Facebook"/>
    <d v="2024-07-15T00:00:00"/>
    <s v="Reel"/>
    <s v="Check out our latest reel on facebook!"/>
    <n v="3663"/>
    <n v="17"/>
    <n v="295"/>
    <n v="51282"/>
    <n v="50567"/>
    <n v="84"/>
    <s v="#EVRevolution"/>
    <x v="3"/>
    <n v="50862"/>
    <n v="15305"/>
    <n v="5.6486000000000001"/>
    <n v="1379539"/>
  </r>
  <r>
    <s v="P231"/>
    <s v="Instagram"/>
    <d v="2025-05-01T00:00:00"/>
    <s v="Text"/>
    <s v="Check out our latest text on instagram!"/>
    <n v="1430"/>
    <n v="376"/>
    <n v="33"/>
    <n v="21450"/>
    <n v="20509"/>
    <n v="251"/>
    <s v="#FutureOfDriving"/>
    <x v="0"/>
    <n v="58311"/>
    <n v="10307"/>
    <n v="5.7155999999999993"/>
    <n v="1164373"/>
  </r>
  <r>
    <s v="P232"/>
    <s v="Twitter"/>
    <d v="2025-04-29T00:00:00"/>
    <s v="Story"/>
    <s v="Check out our latest story on twitter!"/>
    <n v="249"/>
    <n v="592"/>
    <n v="230"/>
    <n v="1494"/>
    <n v="1044"/>
    <n v="201"/>
    <s v="#EVRevolution"/>
    <x v="2"/>
    <n v="53484"/>
    <n v="12307"/>
    <n v="5.6557999999999993"/>
    <n v="1060357"/>
  </r>
  <r>
    <s v="P233"/>
    <s v="Facebook"/>
    <d v="2025-03-08T00:00:00"/>
    <s v="Image"/>
    <s v="Check out our latest image on facebook!"/>
    <n v="2382"/>
    <n v="265"/>
    <n v="134"/>
    <n v="38112"/>
    <n v="37437"/>
    <n v="249"/>
    <s v="#FutureOfDriving"/>
    <x v="2"/>
    <n v="50862"/>
    <n v="15305"/>
    <n v="5.6486000000000001"/>
    <n v="1379539"/>
  </r>
  <r>
    <s v="P234"/>
    <s v="Facebook"/>
    <d v="2024-06-01T00:00:00"/>
    <s v="Text"/>
    <s v="Check out our latest text on facebook!"/>
    <n v="1272"/>
    <n v="465"/>
    <n v="99"/>
    <n v="24168"/>
    <n v="23719"/>
    <n v="42"/>
    <s v="#TeslaCoInnovation"/>
    <x v="4"/>
    <n v="50862"/>
    <n v="15305"/>
    <n v="5.6486000000000001"/>
    <n v="1379539"/>
  </r>
  <r>
    <s v="P235"/>
    <s v="Facebook"/>
    <d v="2024-12-22T00:00:00"/>
    <s v="Image"/>
    <s v="Check out our latest image on facebook!"/>
    <n v="3196"/>
    <n v="941"/>
    <n v="376"/>
    <n v="35156"/>
    <n v="34444"/>
    <n v="241"/>
    <s v="#TeslaCoInnovation"/>
    <x v="3"/>
    <n v="50862"/>
    <n v="15305"/>
    <n v="5.6486000000000001"/>
    <n v="1379539"/>
  </r>
  <r>
    <s v="P236"/>
    <s v="Facebook"/>
    <d v="2024-08-19T00:00:00"/>
    <s v="Text"/>
    <s v="Check out our latest text on facebook!"/>
    <n v="1257"/>
    <n v="19"/>
    <n v="351"/>
    <n v="12570"/>
    <n v="11660"/>
    <n v="194"/>
    <s v="#FutureOfDriving"/>
    <x v="1"/>
    <n v="50862"/>
    <n v="15305"/>
    <n v="5.6486000000000001"/>
    <n v="1379539"/>
  </r>
  <r>
    <s v="P237"/>
    <s v="Instagram"/>
    <d v="2024-10-22T00:00:00"/>
    <s v="Story"/>
    <s v="Check out our latest story on instagram!"/>
    <n v="3770"/>
    <n v="917"/>
    <n v="129"/>
    <n v="71630"/>
    <n v="71322"/>
    <n v="76"/>
    <s v="#FutureOfDriving"/>
    <x v="0"/>
    <n v="58311"/>
    <n v="10307"/>
    <n v="5.7155999999999993"/>
    <n v="1164373"/>
  </r>
  <r>
    <s v="P238"/>
    <s v="Twitter"/>
    <d v="2024-07-16T00:00:00"/>
    <s v="Text"/>
    <s v="Check out our latest text on twitter!"/>
    <n v="4725"/>
    <n v="400"/>
    <n v="362"/>
    <n v="75600"/>
    <n v="74927"/>
    <n v="43"/>
    <s v="#FutureOfDriving"/>
    <x v="2"/>
    <n v="53484"/>
    <n v="12307"/>
    <n v="5.6557999999999993"/>
    <n v="1060357"/>
  </r>
  <r>
    <s v="P239"/>
    <s v="YouTube"/>
    <d v="2025-02-24T00:00:00"/>
    <s v="Text"/>
    <s v="Check out our latest text on youtube!"/>
    <n v="4188"/>
    <n v="942"/>
    <n v="118"/>
    <n v="20940"/>
    <n v="20471"/>
    <n v="102"/>
    <s v="#FutureOfDriving"/>
    <x v="4"/>
    <n v="47471"/>
    <n v="12104"/>
    <n v="5.5587999999999997"/>
    <n v="1228647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#EVRevolution"/>
    <x v="3"/>
    <n v="53484"/>
    <n v="12307"/>
    <n v="5.6557999999999993"/>
    <n v="1060357"/>
  </r>
  <r>
    <s v="P241"/>
    <s v="Facebook"/>
    <d v="2025-01-18T00:00:00"/>
    <s v="Story"/>
    <s v="Check out our latest story on facebook!"/>
    <n v="4321"/>
    <n v="874"/>
    <n v="172"/>
    <n v="30247"/>
    <n v="29254"/>
    <n v="122"/>
    <s v="#TeslaCoInnovation"/>
    <x v="2"/>
    <n v="50862"/>
    <n v="15305"/>
    <n v="5.6486000000000001"/>
    <n v="1379539"/>
  </r>
  <r>
    <s v="P242"/>
    <s v="Facebook"/>
    <d v="2024-07-07T00:00:00"/>
    <s v="Reel"/>
    <s v="Check out our latest reel on facebook!"/>
    <n v="4767"/>
    <n v="190"/>
    <n v="340"/>
    <n v="28602"/>
    <n v="28044"/>
    <n v="210"/>
    <s v="#EVRevolution"/>
    <x v="3"/>
    <n v="50862"/>
    <n v="15305"/>
    <n v="5.6486000000000001"/>
    <n v="1379539"/>
  </r>
  <r>
    <s v="P243"/>
    <s v="Twitter"/>
    <d v="2025-03-06T00:00:00"/>
    <s v="Image"/>
    <s v="Check out our latest image on twitter!"/>
    <n v="3592"/>
    <n v="911"/>
    <n v="375"/>
    <n v="50288"/>
    <n v="49490"/>
    <n v="32"/>
    <s v="#FutureOfDriving"/>
    <x v="2"/>
    <n v="53484"/>
    <n v="12307"/>
    <n v="5.6557999999999993"/>
    <n v="1060357"/>
  </r>
  <r>
    <s v="P244"/>
    <s v="YouTube"/>
    <d v="2024-10-25T00:00:00"/>
    <s v="Video"/>
    <s v="Check out our latest video on youtube!"/>
    <n v="4661"/>
    <n v="935"/>
    <n v="433"/>
    <n v="23305"/>
    <n v="22583"/>
    <n v="63"/>
    <s v="#FutureOfDriving"/>
    <x v="3"/>
    <n v="47471"/>
    <n v="12104"/>
    <n v="5.5587999999999997"/>
    <n v="1228647"/>
  </r>
  <r>
    <s v="P245"/>
    <s v="Facebook"/>
    <d v="2025-01-12T00:00:00"/>
    <s v="Reel"/>
    <s v="Check out our latest reel on facebook!"/>
    <n v="4134"/>
    <n v="824"/>
    <n v="99"/>
    <n v="41340"/>
    <n v="41050"/>
    <n v="177"/>
    <s v="#EVRevolution"/>
    <x v="0"/>
    <n v="50862"/>
    <n v="15305"/>
    <n v="5.6486000000000001"/>
    <n v="1379539"/>
  </r>
  <r>
    <s v="P246"/>
    <s v="Facebook"/>
    <d v="2024-10-11T00:00:00"/>
    <s v="Image"/>
    <s v="Check out our latest image on facebook!"/>
    <n v="400"/>
    <n v="680"/>
    <n v="434"/>
    <n v="6400"/>
    <n v="5472"/>
    <n v="160"/>
    <s v="#FutureOfDriving"/>
    <x v="1"/>
    <n v="50862"/>
    <n v="15305"/>
    <n v="5.6486000000000001"/>
    <n v="1379539"/>
  </r>
  <r>
    <s v="P247"/>
    <s v="Facebook"/>
    <d v="2024-08-27T00:00:00"/>
    <s v="Reel"/>
    <s v="Check out our latest reel on facebook!"/>
    <n v="3960"/>
    <n v="266"/>
    <n v="8"/>
    <n v="35640"/>
    <n v="34850"/>
    <n v="208"/>
    <s v="#FutureOfDriving"/>
    <x v="4"/>
    <n v="50862"/>
    <n v="15305"/>
    <n v="5.6486000000000001"/>
    <n v="1379539"/>
  </r>
  <r>
    <s v="P248"/>
    <s v="Facebook"/>
    <d v="2025-02-02T00:00:00"/>
    <s v="Story"/>
    <s v="Check out our latest story on facebook!"/>
    <n v="886"/>
    <n v="126"/>
    <n v="153"/>
    <n v="4430"/>
    <n v="4037"/>
    <n v="212"/>
    <s v="#EVRevolution"/>
    <x v="4"/>
    <n v="50862"/>
    <n v="15305"/>
    <n v="5.6486000000000001"/>
    <n v="1379539"/>
  </r>
  <r>
    <s v="P249"/>
    <s v="Twitter"/>
    <d v="2024-07-18T00:00:00"/>
    <s v="Image"/>
    <s v="Check out our latest image on twitter!"/>
    <n v="827"/>
    <n v="77"/>
    <n v="402"/>
    <n v="14886"/>
    <n v="14129"/>
    <n v="254"/>
    <s v="#EVRevolution"/>
    <x v="1"/>
    <n v="53484"/>
    <n v="12307"/>
    <n v="5.6557999999999993"/>
    <n v="1060357"/>
  </r>
  <r>
    <s v="P250"/>
    <s v="Facebook"/>
    <d v="2024-06-22T00:00:00"/>
    <s v="Reel"/>
    <s v="Check out our latest reel on facebook!"/>
    <n v="3813"/>
    <n v="935"/>
    <n v="274"/>
    <n v="68634"/>
    <n v="68488"/>
    <n v="251"/>
    <s v="#FutureOfDriving"/>
    <x v="4"/>
    <n v="50862"/>
    <n v="15305"/>
    <n v="5.6486000000000001"/>
    <n v="1379539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#FutureOfDriving"/>
    <x v="4"/>
    <n v="58311"/>
    <n v="10307"/>
    <n v="5.7155999999999993"/>
    <n v="1164373"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#FutureOfDriving"/>
    <x v="3"/>
    <n v="50862"/>
    <n v="15305"/>
    <n v="5.6486000000000001"/>
    <n v="1379539"/>
  </r>
  <r>
    <s v="P253"/>
    <s v="Twitter"/>
    <d v="2024-08-03T00:00:00"/>
    <s v="Reel"/>
    <s v="Check out our latest reel on twitter!"/>
    <n v="3791"/>
    <n v="593"/>
    <n v="228"/>
    <n v="53074"/>
    <n v="52613"/>
    <n v="205"/>
    <s v="#EVRevolution"/>
    <x v="4"/>
    <n v="53484"/>
    <n v="12307"/>
    <n v="5.6557999999999993"/>
    <n v="1060357"/>
  </r>
  <r>
    <s v="P254"/>
    <s v="Twitter"/>
    <d v="2025-01-14T00:00:00"/>
    <s v="Image"/>
    <s v="Check out our latest image on twitter!"/>
    <n v="2692"/>
    <n v="115"/>
    <n v="64"/>
    <n v="21536"/>
    <n v="21120"/>
    <n v="224"/>
    <s v="#FutureOfDriving"/>
    <x v="1"/>
    <n v="53484"/>
    <n v="12307"/>
    <n v="5.6557999999999993"/>
    <n v="1060357"/>
  </r>
  <r>
    <s v="P255"/>
    <s v="Facebook"/>
    <d v="2025-04-03T00:00:00"/>
    <s v="Story"/>
    <s v="Check out our latest story on facebook!"/>
    <n v="3767"/>
    <n v="514"/>
    <n v="238"/>
    <n v="37670"/>
    <n v="36807"/>
    <n v="226"/>
    <s v="#FutureOfDriving"/>
    <x v="2"/>
    <n v="50862"/>
    <n v="15305"/>
    <n v="5.6486000000000001"/>
    <n v="1379539"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#EVRevolution"/>
    <x v="1"/>
    <n v="47471"/>
    <n v="12104"/>
    <n v="5.5587999999999997"/>
    <n v="1228647"/>
  </r>
  <r>
    <s v="P257"/>
    <s v="Facebook"/>
    <d v="2025-04-06T00:00:00"/>
    <s v="Image"/>
    <s v="Check out our latest image on facebook!"/>
    <n v="3090"/>
    <n v="697"/>
    <n v="164"/>
    <n v="49440"/>
    <n v="48524"/>
    <n v="25"/>
    <s v="#EVRevolution"/>
    <x v="1"/>
    <n v="50862"/>
    <n v="15305"/>
    <n v="5.6486000000000001"/>
    <n v="1379539"/>
  </r>
  <r>
    <s v="P258"/>
    <s v="Instagram"/>
    <d v="2024-08-05T00:00:00"/>
    <s v="Story"/>
    <s v="Check out our latest story on instagram!"/>
    <n v="3601"/>
    <n v="695"/>
    <n v="75"/>
    <n v="21606"/>
    <n v="21454"/>
    <n v="172"/>
    <s v="#EVRevolution"/>
    <x v="1"/>
    <n v="58311"/>
    <n v="10307"/>
    <n v="5.7155999999999993"/>
    <n v="1164373"/>
  </r>
  <r>
    <s v="P259"/>
    <s v="Facebook"/>
    <d v="2025-02-10T00:00:00"/>
    <s v="Text"/>
    <s v="Check out our latest text on facebook!"/>
    <n v="562"/>
    <n v="158"/>
    <n v="149"/>
    <n v="3372"/>
    <n v="2940"/>
    <n v="93"/>
    <s v="#TeslaCoInnovation"/>
    <x v="0"/>
    <n v="50862"/>
    <n v="15305"/>
    <n v="5.6486000000000001"/>
    <n v="1379539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#TeslaCoInnovation"/>
    <x v="3"/>
    <n v="58311"/>
    <n v="10307"/>
    <n v="5.7155999999999993"/>
    <n v="1164373"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#EVRevolution"/>
    <x v="0"/>
    <n v="58311"/>
    <n v="10307"/>
    <n v="5.7155999999999993"/>
    <n v="1164373"/>
  </r>
  <r>
    <s v="P262"/>
    <s v="YouTube"/>
    <d v="2025-01-18T00:00:00"/>
    <s v="Image"/>
    <s v="Check out our latest image on youtube!"/>
    <n v="1206"/>
    <n v="238"/>
    <n v="36"/>
    <n v="9648"/>
    <n v="9417"/>
    <n v="237"/>
    <s v="#TeslaCoInnovation"/>
    <x v="4"/>
    <n v="47471"/>
    <n v="12104"/>
    <n v="5.5587999999999997"/>
    <n v="1228647"/>
  </r>
  <r>
    <s v="P263"/>
    <s v="Instagram"/>
    <d v="2024-08-20T00:00:00"/>
    <s v="Reel"/>
    <s v="Check out our latest reel on instagram!"/>
    <n v="2603"/>
    <n v="690"/>
    <n v="205"/>
    <n v="13015"/>
    <n v="12130"/>
    <n v="20"/>
    <s v="#FutureOfDriving"/>
    <x v="1"/>
    <n v="58311"/>
    <n v="10307"/>
    <n v="5.7155999999999993"/>
    <n v="1164373"/>
  </r>
  <r>
    <s v="P264"/>
    <s v="Twitter"/>
    <d v="2025-01-30T00:00:00"/>
    <s v="Image"/>
    <s v="Check out our latest image on twitter!"/>
    <n v="59"/>
    <n v="163"/>
    <n v="93"/>
    <n v="590"/>
    <n v="475"/>
    <n v="293"/>
    <s v="#TeslaCoInnovation"/>
    <x v="1"/>
    <n v="53484"/>
    <n v="12307"/>
    <n v="5.6557999999999993"/>
    <n v="1060357"/>
  </r>
  <r>
    <s v="P265"/>
    <s v="Twitter"/>
    <d v="2025-02-20T00:00:00"/>
    <s v="Carousel"/>
    <s v="Check out our latest carousel on twitter!"/>
    <n v="1877"/>
    <n v="745"/>
    <n v="225"/>
    <n v="11262"/>
    <n v="10967"/>
    <n v="41"/>
    <s v="#EVRevolution"/>
    <x v="2"/>
    <n v="53484"/>
    <n v="12307"/>
    <n v="5.6557999999999993"/>
    <n v="1060357"/>
  </r>
  <r>
    <s v="P266"/>
    <s v="Facebook"/>
    <d v="2024-11-25T00:00:00"/>
    <s v="Story"/>
    <s v="Check out our latest story on facebook!"/>
    <n v="4182"/>
    <n v="640"/>
    <n v="240"/>
    <n v="50184"/>
    <n v="49351"/>
    <n v="10"/>
    <s v="#TeslaCoInnovation"/>
    <x v="3"/>
    <n v="50862"/>
    <n v="15305"/>
    <n v="5.6486000000000001"/>
    <n v="1379539"/>
  </r>
  <r>
    <s v="P267"/>
    <s v="Twitter"/>
    <d v="2024-10-04T00:00:00"/>
    <s v="Reel"/>
    <s v="Check out our latest reel on twitter!"/>
    <n v="4187"/>
    <n v="66"/>
    <n v="31"/>
    <n v="66992"/>
    <n v="66614"/>
    <n v="62"/>
    <s v="#FutureOfDriving"/>
    <x v="4"/>
    <n v="53484"/>
    <n v="12307"/>
    <n v="5.6557999999999993"/>
    <n v="1060357"/>
  </r>
  <r>
    <s v="P268"/>
    <s v="Instagram"/>
    <d v="2025-04-13T00:00:00"/>
    <s v="Reel"/>
    <s v="Check out our latest reel on instagram!"/>
    <n v="4579"/>
    <n v="125"/>
    <n v="300"/>
    <n v="59527"/>
    <n v="59400"/>
    <n v="269"/>
    <s v="#EVRevolution"/>
    <x v="0"/>
    <n v="58311"/>
    <n v="10307"/>
    <n v="5.7155999999999993"/>
    <n v="1164373"/>
  </r>
  <r>
    <s v="P269"/>
    <s v="Instagram"/>
    <d v="2024-11-05T00:00:00"/>
    <s v="Video"/>
    <s v="Check out our latest video on instagram!"/>
    <n v="4561"/>
    <n v="51"/>
    <n v="441"/>
    <n v="22805"/>
    <n v="21890"/>
    <n v="45"/>
    <s v="#TeslaCoInnovation"/>
    <x v="1"/>
    <n v="58311"/>
    <n v="10307"/>
    <n v="5.7155999999999993"/>
    <n v="1164373"/>
  </r>
  <r>
    <s v="P270"/>
    <s v="YouTube"/>
    <d v="2025-01-15T00:00:00"/>
    <s v="Reel"/>
    <s v="Check out our latest reel on youtube!"/>
    <n v="3774"/>
    <n v="239"/>
    <n v="39"/>
    <n v="60384"/>
    <n v="59490"/>
    <n v="241"/>
    <s v="#TeslaCoInnovation"/>
    <x v="3"/>
    <n v="47471"/>
    <n v="12104"/>
    <n v="5.5587999999999997"/>
    <n v="1228647"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#EVRevolution"/>
    <x v="1"/>
    <n v="58311"/>
    <n v="10307"/>
    <n v="5.7155999999999993"/>
    <n v="1164373"/>
  </r>
  <r>
    <s v="P272"/>
    <s v="Instagram"/>
    <d v="2025-03-27T00:00:00"/>
    <s v="Text"/>
    <s v="Check out our latest text on instagram!"/>
    <n v="4941"/>
    <n v="414"/>
    <n v="266"/>
    <n v="39528"/>
    <n v="39154"/>
    <n v="217"/>
    <s v="#TeslaCoInnovation"/>
    <x v="3"/>
    <n v="58311"/>
    <n v="10307"/>
    <n v="5.7155999999999993"/>
    <n v="1164373"/>
  </r>
  <r>
    <s v="P273"/>
    <s v="YouTube"/>
    <d v="2024-10-12T00:00:00"/>
    <s v="Story"/>
    <s v="Check out our latest story on youtube!"/>
    <n v="3641"/>
    <n v="226"/>
    <n v="46"/>
    <n v="40051"/>
    <n v="39319"/>
    <n v="296"/>
    <s v="#EVRevolution"/>
    <x v="2"/>
    <n v="47471"/>
    <n v="12104"/>
    <n v="5.5587999999999997"/>
    <n v="1228647"/>
  </r>
  <r>
    <s v="P274"/>
    <s v="Twitter"/>
    <d v="2025-01-01T00:00:00"/>
    <s v="Carousel"/>
    <s v="Check out our latest carousel on twitter!"/>
    <n v="3535"/>
    <n v="494"/>
    <n v="152"/>
    <n v="53025"/>
    <n v="52791"/>
    <n v="44"/>
    <s v="#TeslaCoInnovation"/>
    <x v="2"/>
    <n v="53484"/>
    <n v="12307"/>
    <n v="5.6557999999999993"/>
    <n v="1060357"/>
  </r>
  <r>
    <s v="P275"/>
    <s v="Facebook"/>
    <d v="2024-08-05T00:00:00"/>
    <s v="Reel"/>
    <s v="Check out our latest reel on facebook!"/>
    <n v="1741"/>
    <n v="831"/>
    <n v="345"/>
    <n v="17410"/>
    <n v="16844"/>
    <n v="58"/>
    <s v="#EVRevolution"/>
    <x v="3"/>
    <n v="50862"/>
    <n v="15305"/>
    <n v="5.6486000000000001"/>
    <n v="1379539"/>
  </r>
  <r>
    <s v="P276"/>
    <s v="Twitter"/>
    <d v="2024-06-07T00:00:00"/>
    <s v="Carousel"/>
    <s v="Check out our latest carousel on twitter!"/>
    <n v="1556"/>
    <n v="195"/>
    <n v="131"/>
    <n v="9336"/>
    <n v="8875"/>
    <n v="137"/>
    <s v="#TeslaCoInnovation"/>
    <x v="1"/>
    <n v="53484"/>
    <n v="12307"/>
    <n v="5.6557999999999993"/>
    <n v="1060357"/>
  </r>
  <r>
    <s v="P277"/>
    <s v="Facebook"/>
    <d v="2025-04-06T00:00:00"/>
    <s v="Image"/>
    <s v="Check out our latest image on facebook!"/>
    <n v="4236"/>
    <n v="711"/>
    <n v="298"/>
    <n v="21180"/>
    <n v="20516"/>
    <n v="238"/>
    <s v="#FutureOfDriving"/>
    <x v="0"/>
    <n v="50862"/>
    <n v="15305"/>
    <n v="5.6486000000000001"/>
    <n v="1379539"/>
  </r>
  <r>
    <s v="P278"/>
    <s v="Twitter"/>
    <d v="2024-11-26T00:00:00"/>
    <s v="Text"/>
    <s v="Check out our latest text on twitter!"/>
    <n v="4516"/>
    <n v="836"/>
    <n v="169"/>
    <n v="49676"/>
    <n v="49257"/>
    <n v="282"/>
    <s v="#EVRevolution"/>
    <x v="2"/>
    <n v="53484"/>
    <n v="12307"/>
    <n v="5.6557999999999993"/>
    <n v="1060357"/>
  </r>
  <r>
    <s v="P279"/>
    <s v="YouTube"/>
    <d v="2024-09-02T00:00:00"/>
    <s v="Image"/>
    <s v="Check out our latest image on youtube!"/>
    <n v="4905"/>
    <n v="845"/>
    <n v="129"/>
    <n v="98100"/>
    <n v="97772"/>
    <n v="279"/>
    <s v="#TeslaCoInnovation"/>
    <x v="1"/>
    <n v="47471"/>
    <n v="12104"/>
    <n v="5.5587999999999997"/>
    <n v="1228647"/>
  </r>
  <r>
    <s v="P280"/>
    <s v="YouTube"/>
    <d v="2024-10-21T00:00:00"/>
    <s v="Video"/>
    <s v="Check out our latest video on youtube!"/>
    <n v="4275"/>
    <n v="680"/>
    <n v="385"/>
    <n v="64125"/>
    <n v="63650"/>
    <n v="104"/>
    <s v="#EVRevolution"/>
    <x v="2"/>
    <n v="47471"/>
    <n v="12104"/>
    <n v="5.5587999999999997"/>
    <n v="1228647"/>
  </r>
  <r>
    <s v="P281"/>
    <s v="YouTube"/>
    <d v="2025-03-22T00:00:00"/>
    <s v="Image"/>
    <s v="Check out our latest image on youtube!"/>
    <n v="3166"/>
    <n v="90"/>
    <n v="341"/>
    <n v="56988"/>
    <n v="56125"/>
    <n v="135"/>
    <s v="#EVRevolution"/>
    <x v="1"/>
    <n v="47471"/>
    <n v="12104"/>
    <n v="5.5587999999999997"/>
    <n v="1228647"/>
  </r>
  <r>
    <s v="P282"/>
    <s v="Instagram"/>
    <d v="2024-10-03T00:00:00"/>
    <s v="Video"/>
    <s v="Check out our latest video on instagram!"/>
    <n v="1488"/>
    <n v="417"/>
    <n v="168"/>
    <n v="19344"/>
    <n v="18395"/>
    <n v="30"/>
    <s v="#FutureOfDriving"/>
    <x v="3"/>
    <n v="58311"/>
    <n v="10307"/>
    <n v="5.7155999999999993"/>
    <n v="1164373"/>
  </r>
  <r>
    <s v="P283"/>
    <s v="Twitter"/>
    <d v="2025-05-09T00:00:00"/>
    <s v="Reel"/>
    <s v="Check out our latest reel on twitter!"/>
    <n v="3367"/>
    <n v="302"/>
    <n v="57"/>
    <n v="63973"/>
    <n v="63789"/>
    <n v="157"/>
    <s v="#FutureOfDriving"/>
    <x v="1"/>
    <n v="53484"/>
    <n v="12307"/>
    <n v="5.6557999999999993"/>
    <n v="1060357"/>
  </r>
  <r>
    <s v="P284"/>
    <s v="Twitter"/>
    <d v="2024-09-17T00:00:00"/>
    <s v="Text"/>
    <s v="Check out our latest text on twitter!"/>
    <n v="571"/>
    <n v="190"/>
    <n v="352"/>
    <n v="9707"/>
    <n v="9418"/>
    <n v="231"/>
    <s v="#TeslaCoInnovation"/>
    <x v="2"/>
    <n v="53484"/>
    <n v="12307"/>
    <n v="5.6557999999999993"/>
    <n v="1060357"/>
  </r>
  <r>
    <s v="P285"/>
    <s v="YouTube"/>
    <d v="2024-07-18T00:00:00"/>
    <s v="Text"/>
    <s v="Check out our latest text on youtube!"/>
    <n v="4021"/>
    <n v="794"/>
    <n v="77"/>
    <n v="36189"/>
    <n v="35505"/>
    <n v="174"/>
    <s v="#EVRevolution"/>
    <x v="4"/>
    <n v="47471"/>
    <n v="12104"/>
    <n v="5.5587999999999997"/>
    <n v="1228647"/>
  </r>
  <r>
    <s v="P286"/>
    <s v="YouTube"/>
    <d v="2024-09-25T00:00:00"/>
    <s v="Video"/>
    <s v="Check out our latest video on youtube!"/>
    <n v="3389"/>
    <n v="344"/>
    <n v="229"/>
    <n v="20334"/>
    <n v="19443"/>
    <n v="228"/>
    <s v="#FutureOfDriving"/>
    <x v="3"/>
    <n v="47471"/>
    <n v="12104"/>
    <n v="5.5587999999999997"/>
    <n v="1228647"/>
  </r>
  <r>
    <s v="P287"/>
    <s v="Instagram"/>
    <d v="2024-08-15T00:00:00"/>
    <s v="Reel"/>
    <s v="Check out our latest reel on instagram!"/>
    <n v="1164"/>
    <n v="616"/>
    <n v="324"/>
    <n v="6984"/>
    <n v="6636"/>
    <n v="82"/>
    <s v="#EVRevolution"/>
    <x v="0"/>
    <n v="58311"/>
    <n v="10307"/>
    <n v="5.7155999999999993"/>
    <n v="1164373"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#FutureOfDriving"/>
    <x v="3"/>
    <n v="47471"/>
    <n v="12104"/>
    <n v="5.5587999999999997"/>
    <n v="1228647"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#FutureOfDriving"/>
    <x v="4"/>
    <n v="50862"/>
    <n v="15305"/>
    <n v="5.6486000000000001"/>
    <n v="1379539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#EVRevolution"/>
    <x v="2"/>
    <n v="58311"/>
    <n v="10307"/>
    <n v="5.7155999999999993"/>
    <n v="1164373"/>
  </r>
  <r>
    <s v="P291"/>
    <s v="Facebook"/>
    <d v="2024-11-06T00:00:00"/>
    <s v="Video"/>
    <s v="Check out our latest video on facebook!"/>
    <n v="4663"/>
    <n v="145"/>
    <n v="225"/>
    <n v="69945"/>
    <n v="69596"/>
    <n v="35"/>
    <s v="#EVRevolution"/>
    <x v="2"/>
    <n v="50862"/>
    <n v="15305"/>
    <n v="5.6486000000000001"/>
    <n v="1379539"/>
  </r>
  <r>
    <s v="P292"/>
    <s v="Facebook"/>
    <d v="2024-11-17T00:00:00"/>
    <s v="Text"/>
    <s v="Check out our latest text on facebook!"/>
    <n v="880"/>
    <n v="297"/>
    <n v="345"/>
    <n v="12320"/>
    <n v="11978"/>
    <n v="238"/>
    <s v="#TeslaCoInnovation"/>
    <x v="4"/>
    <n v="50862"/>
    <n v="15305"/>
    <n v="5.6486000000000001"/>
    <n v="1379539"/>
  </r>
  <r>
    <s v="P293"/>
    <s v="Facebook"/>
    <d v="2025-05-14T00:00:00"/>
    <s v="Text"/>
    <s v="Check out our latest text on facebook!"/>
    <n v="2634"/>
    <n v="726"/>
    <n v="241"/>
    <n v="28974"/>
    <n v="28102"/>
    <n v="277"/>
    <s v="#EVRevolution"/>
    <x v="0"/>
    <n v="50862"/>
    <n v="15305"/>
    <n v="5.6486000000000001"/>
    <n v="1379539"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#EVRevolution"/>
    <x v="3"/>
    <n v="50862"/>
    <n v="15305"/>
    <n v="5.6486000000000001"/>
    <n v="1379539"/>
  </r>
  <r>
    <s v="P295"/>
    <s v="Twitter"/>
    <d v="2025-05-06T00:00:00"/>
    <s v="Image"/>
    <s v="Check out our latest image on twitter!"/>
    <n v="1952"/>
    <n v="344"/>
    <n v="287"/>
    <n v="15616"/>
    <n v="15403"/>
    <n v="235"/>
    <s v="#FutureOfDriving"/>
    <x v="1"/>
    <n v="53484"/>
    <n v="12307"/>
    <n v="5.6557999999999993"/>
    <n v="1060357"/>
  </r>
  <r>
    <s v="P296"/>
    <s v="Twitter"/>
    <d v="2025-02-11T00:00:00"/>
    <s v="Video"/>
    <s v="Check out our latest video on twitter!"/>
    <n v="3440"/>
    <n v="13"/>
    <n v="20"/>
    <n v="58480"/>
    <n v="58146"/>
    <n v="210"/>
    <s v="#TeslaCoInnovation"/>
    <x v="2"/>
    <n v="53484"/>
    <n v="12307"/>
    <n v="5.6557999999999993"/>
    <n v="1060357"/>
  </r>
  <r>
    <s v="P297"/>
    <s v="Twitter"/>
    <d v="2024-12-24T00:00:00"/>
    <s v="Text"/>
    <s v="Check out our latest text on twitter!"/>
    <n v="2166"/>
    <n v="354"/>
    <n v="117"/>
    <n v="10830"/>
    <n v="10245"/>
    <n v="24"/>
    <s v="#EVRevolution"/>
    <x v="2"/>
    <n v="53484"/>
    <n v="12307"/>
    <n v="5.6557999999999993"/>
    <n v="1060357"/>
  </r>
  <r>
    <s v="P298"/>
    <s v="Facebook"/>
    <d v="2024-10-24T00:00:00"/>
    <s v="Image"/>
    <s v="Check out our latest image on facebook!"/>
    <n v="4303"/>
    <n v="451"/>
    <n v="286"/>
    <n v="86060"/>
    <n v="85823"/>
    <n v="14"/>
    <s v="#TeslaCoInnovation"/>
    <x v="3"/>
    <n v="50862"/>
    <n v="15305"/>
    <n v="5.6486000000000001"/>
    <n v="1379539"/>
  </r>
  <r>
    <s v="P299"/>
    <s v="Facebook"/>
    <d v="2024-08-26T00:00:00"/>
    <s v="Image"/>
    <s v="Check out our latest image on facebook!"/>
    <n v="2581"/>
    <n v="517"/>
    <n v="117"/>
    <n v="23229"/>
    <n v="22331"/>
    <n v="70"/>
    <s v="#FutureOfDriving"/>
    <x v="3"/>
    <n v="50862"/>
    <n v="15305"/>
    <n v="5.6486000000000001"/>
    <n v="1379539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#TeslaCoInnovation"/>
    <x v="0"/>
    <n v="53484"/>
    <n v="12307"/>
    <n v="5.6557999999999993"/>
    <n v="1060357"/>
  </r>
  <r>
    <m/>
    <m/>
    <m/>
    <m/>
    <m/>
    <m/>
    <m/>
    <m/>
    <m/>
    <m/>
    <m/>
    <m/>
    <x v="4"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Check out our latest reel on twitter!"/>
    <n v="1461"/>
    <n v="184"/>
    <n v="344"/>
    <n v="21915"/>
    <n v="21675"/>
    <n v="15"/>
    <s v="#FutureOfDriving"/>
    <x v="0"/>
    <n v="53484"/>
    <n v="12307"/>
    <n v="5.6557999999999993"/>
    <n v="1060357"/>
    <n v="1.3919840204761227E-3"/>
    <n v="41177"/>
  </r>
  <r>
    <s v="P002"/>
    <s v="Twitter"/>
    <d v="2025-04-03T00:00:00"/>
    <s v="Text"/>
    <s v="Check out our latest text on twitter!"/>
    <n v="4054"/>
    <n v="389"/>
    <n v="493"/>
    <n v="64864"/>
    <n v="64383"/>
    <n v="117"/>
    <s v="#TeslaCoInnovation"/>
    <x v="1"/>
    <n v="53484"/>
    <n v="12307"/>
    <n v="5.6557999999999993"/>
    <n v="1060357"/>
    <n v="3.9335808600311026E-3"/>
    <n v="41177"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#EVRevolution"/>
    <x v="2"/>
    <n v="58311"/>
    <n v="10307"/>
    <n v="5.7155999999999993"/>
    <n v="1164373"/>
    <n v="2.1745609010171141E-3"/>
    <n v="48004"/>
  </r>
  <r>
    <s v="P003"/>
    <s v="YouTube"/>
    <d v="2025-05-12T00:00:00"/>
    <s v="Reel"/>
    <s v="Check out our latest reel on youtube!"/>
    <n v="2795"/>
    <n v="105"/>
    <n v="49"/>
    <n v="53105"/>
    <n v="52307"/>
    <n v="204"/>
    <s v="#TeslaCoInnovation"/>
    <x v="3"/>
    <n v="47471"/>
    <n v="12104"/>
    <n v="5.5587999999999997"/>
    <n v="1228647"/>
    <n v="2.4408963681187518E-3"/>
    <n v="35367"/>
  </r>
  <r>
    <s v="P005"/>
    <s v="YouTube"/>
    <d v="2024-06-26T00:00:00"/>
    <s v="Reel"/>
    <s v="Check out our latest reel on youtube!"/>
    <n v="3557"/>
    <n v="687"/>
    <n v="424"/>
    <n v="71140"/>
    <n v="70701"/>
    <n v="224"/>
    <s v="#EVRevolution"/>
    <x v="0"/>
    <n v="47471"/>
    <n v="12104"/>
    <n v="5.5587999999999997"/>
    <n v="1228647"/>
    <n v="3.0773688455675227E-3"/>
    <n v="35367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#TeslaCoInnovation"/>
    <x v="1"/>
    <n v="50862"/>
    <n v="15305"/>
    <n v="5.6486000000000001"/>
    <n v="1379539"/>
    <n v="2.3203403455792117E-3"/>
    <n v="35557"/>
  </r>
  <r>
    <s v="P007"/>
    <s v="Twitter"/>
    <d v="2024-06-24T00:00:00"/>
    <s v="Carousel"/>
    <s v="Check out our latest carousel on twitter!"/>
    <n v="3860"/>
    <n v="201"/>
    <n v="279"/>
    <n v="61760"/>
    <n v="61660"/>
    <n v="235"/>
    <s v="#TeslaCoInnovation"/>
    <x v="1"/>
    <n v="53484"/>
    <n v="12307"/>
    <n v="5.6557999999999993"/>
    <n v="1060357"/>
    <n v="3.8619068860770477E-3"/>
    <n v="41177"/>
  </r>
  <r>
    <s v="P008"/>
    <s v="YouTube"/>
    <d v="2024-07-13T00:00:00"/>
    <s v="Image"/>
    <s v="Check out our latest image on youtube!"/>
    <n v="3929"/>
    <n v="262"/>
    <n v="278"/>
    <n v="43219"/>
    <n v="42841"/>
    <n v="39"/>
    <s v="#EVRevolution"/>
    <x v="2"/>
    <n v="47471"/>
    <n v="12104"/>
    <n v="5.5587999999999997"/>
    <n v="1228647"/>
    <n v="3.2295687858270115E-3"/>
    <n v="35367"/>
  </r>
  <r>
    <s v="P009"/>
    <s v="Facebook"/>
    <d v="2024-08-30T00:00:00"/>
    <s v="Text"/>
    <s v="Check out our latest text on facebook!"/>
    <n v="3784"/>
    <n v="808"/>
    <n v="404"/>
    <n v="56760"/>
    <n v="56343"/>
    <n v="131"/>
    <s v="#TeslaCoInnovation"/>
    <x v="1"/>
    <n v="50862"/>
    <n v="15305"/>
    <n v="5.6486000000000001"/>
    <n v="1379539"/>
    <n v="2.8379045463738247E-3"/>
    <n v="35557"/>
  </r>
  <r>
    <s v="P010"/>
    <s v="Facebook"/>
    <d v="2025-03-11T00:00:00"/>
    <s v="Image"/>
    <s v="Check out our latest image on facebook!"/>
    <n v="4241"/>
    <n v="902"/>
    <n v="47"/>
    <n v="72097"/>
    <n v="71598"/>
    <n v="167"/>
    <s v="#TeslaCoInnovation"/>
    <x v="1"/>
    <n v="50862"/>
    <n v="15305"/>
    <n v="5.6486000000000001"/>
    <n v="1379539"/>
    <n v="3.1952703040653437E-3"/>
    <n v="35557"/>
  </r>
  <r>
    <s v="P011"/>
    <s v="Instagram"/>
    <d v="2025-02-02T00:00:00"/>
    <s v="Story"/>
    <s v="Check out our latest story on instagram!"/>
    <n v="1792"/>
    <n v="614"/>
    <n v="497"/>
    <n v="25088"/>
    <n v="24675"/>
    <n v="65"/>
    <s v="#FutureOfDriving"/>
    <x v="2"/>
    <n v="58311"/>
    <n v="10307"/>
    <n v="5.7155999999999993"/>
    <n v="1164373"/>
    <n v="1.5948497603431202E-3"/>
    <n v="48004"/>
  </r>
  <r>
    <s v="P012"/>
    <s v="Facebook"/>
    <d v="2024-07-21T00:00:00"/>
    <s v="Reel"/>
    <s v="Check out our latest reel on facebook!"/>
    <n v="1946"/>
    <n v="686"/>
    <n v="377"/>
    <n v="23352"/>
    <n v="22982"/>
    <n v="213"/>
    <s v="#FutureOfDriving"/>
    <x v="3"/>
    <n v="50862"/>
    <n v="15305"/>
    <n v="5.6486000000000001"/>
    <n v="1379539"/>
    <n v="1.5650155595456163E-3"/>
    <n v="35557"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#EVRevolution"/>
    <x v="0"/>
    <n v="47471"/>
    <n v="12104"/>
    <n v="5.5587999999999997"/>
    <n v="1228647"/>
    <n v="1.0458658996440799E-3"/>
    <n v="35367"/>
  </r>
  <r>
    <s v="P014"/>
    <s v="Facebook"/>
    <d v="2025-02-16T00:00:00"/>
    <s v="Story"/>
    <s v="Check out our latest story on facebook!"/>
    <n v="4242"/>
    <n v="555"/>
    <n v="131"/>
    <n v="33936"/>
    <n v="33802"/>
    <n v="265"/>
    <s v="#FutureOfDriving"/>
    <x v="4"/>
    <n v="50862"/>
    <n v="15305"/>
    <n v="5.6486000000000001"/>
    <n v="1379539"/>
    <n v="3.2670334075368657E-3"/>
    <n v="35557"/>
  </r>
  <r>
    <s v="P015"/>
    <s v="Facebook"/>
    <d v="2024-10-24T00:00:00"/>
    <s v="Video"/>
    <s v="Check out our latest video on facebook!"/>
    <n v="3888"/>
    <n v="604"/>
    <n v="128"/>
    <n v="77760"/>
    <n v="77167"/>
    <n v="20"/>
    <s v="#FutureOfDriving"/>
    <x v="0"/>
    <n v="50862"/>
    <n v="15305"/>
    <n v="5.6486000000000001"/>
    <n v="1379539"/>
    <n v="2.8328303875425052E-3"/>
    <n v="35557"/>
  </r>
  <r>
    <s v="P016"/>
    <s v="Facebook"/>
    <d v="2024-08-26T00:00:00"/>
    <s v="Text"/>
    <s v="Check out our latest text on facebook!"/>
    <n v="3452"/>
    <n v="377"/>
    <n v="360"/>
    <n v="55232"/>
    <n v="55075"/>
    <n v="87"/>
    <s v="#FutureOfDriving"/>
    <x v="3"/>
    <n v="50862"/>
    <n v="15305"/>
    <n v="5.6486000000000001"/>
    <n v="1379539"/>
    <n v="2.5653497291486505E-3"/>
    <n v="35557"/>
  </r>
  <r>
    <s v="P017"/>
    <s v="Facebook"/>
    <d v="2025-05-05T00:00:00"/>
    <s v="Text"/>
    <s v="Check out our latest text on facebook!"/>
    <n v="4441"/>
    <n v="511"/>
    <n v="70"/>
    <n v="53292"/>
    <n v="53082"/>
    <n v="159"/>
    <s v="#EVRevolution"/>
    <x v="2"/>
    <n v="50862"/>
    <n v="15305"/>
    <n v="5.6486000000000001"/>
    <n v="1379539"/>
    <n v="3.3344472320101133E-3"/>
    <n v="35557"/>
  </r>
  <r>
    <s v="P018"/>
    <s v="Instagram"/>
    <d v="2024-08-19T00:00:00"/>
    <s v="Reel"/>
    <s v="Check out our latest reel on instagram!"/>
    <n v="3000"/>
    <n v="382"/>
    <n v="325"/>
    <n v="36000"/>
    <n v="35819"/>
    <n v="19"/>
    <s v="#FutureOfDriving"/>
    <x v="0"/>
    <n v="58311"/>
    <n v="10307"/>
    <n v="5.7155999999999993"/>
    <n v="1164373"/>
    <n v="2.5928117536219062E-3"/>
    <n v="48004"/>
  </r>
  <r>
    <s v="P019"/>
    <s v="Instagram"/>
    <d v="2024-06-23T00:00:00"/>
    <s v="Video"/>
    <s v="Check out our latest video on instagram!"/>
    <n v="1071"/>
    <n v="519"/>
    <n v="22"/>
    <n v="16065"/>
    <n v="15865"/>
    <n v="103"/>
    <s v="#TeslaCoInnovation"/>
    <x v="2"/>
    <n v="58311"/>
    <n v="10307"/>
    <n v="5.7155999999999993"/>
    <n v="1164373"/>
    <n v="1.0082679691129904E-3"/>
    <n v="48004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#TeslaCoInnovation"/>
    <x v="0"/>
    <n v="58311"/>
    <n v="10307"/>
    <n v="5.7155999999999993"/>
    <n v="1164373"/>
    <n v="3.5031729523099559E-3"/>
    <n v="48004"/>
  </r>
  <r>
    <s v="P021"/>
    <s v="Instagram"/>
    <d v="2025-01-04T00:00:00"/>
    <s v="Reel"/>
    <s v="Check out our latest reel on instagram!"/>
    <n v="4838"/>
    <n v="640"/>
    <n v="128"/>
    <n v="72570"/>
    <n v="72396"/>
    <n v="83"/>
    <s v="#FutureOfDriving"/>
    <x v="2"/>
    <n v="58311"/>
    <n v="10307"/>
    <n v="5.7155999999999993"/>
    <n v="1164373"/>
    <n v="4.2263089233432931E-3"/>
    <n v="48004"/>
  </r>
  <r>
    <s v="P022"/>
    <s v="Facebook"/>
    <d v="2025-02-27T00:00:00"/>
    <s v="Text"/>
    <s v="Check out our latest text on facebook!"/>
    <n v="1570"/>
    <n v="187"/>
    <n v="260"/>
    <n v="25120"/>
    <n v="24613"/>
    <n v="133"/>
    <s v="#TeslaCoInnovation"/>
    <x v="2"/>
    <n v="50862"/>
    <n v="15305"/>
    <n v="5.6486000000000001"/>
    <n v="1379539"/>
    <n v="1.2344703556767876E-3"/>
    <n v="35557"/>
  </r>
  <r>
    <s v="P023"/>
    <s v="Facebook"/>
    <d v="2024-11-06T00:00:00"/>
    <s v="Video"/>
    <s v="Check out our latest video on facebook!"/>
    <n v="1606"/>
    <n v="547"/>
    <n v="316"/>
    <n v="32120"/>
    <n v="31736"/>
    <n v="225"/>
    <s v="#TeslaCoInnovation"/>
    <x v="1"/>
    <n v="50862"/>
    <n v="15305"/>
    <n v="5.6486000000000001"/>
    <n v="1379539"/>
    <n v="1.3272549743066342E-3"/>
    <n v="35557"/>
  </r>
  <r>
    <s v="P024"/>
    <s v="Facebook"/>
    <d v="2025-01-23T00:00:00"/>
    <s v="Video"/>
    <s v="Check out our latest video on facebook!"/>
    <n v="3961"/>
    <n v="761"/>
    <n v="131"/>
    <n v="67337"/>
    <n v="66615"/>
    <n v="161"/>
    <s v="#FutureOfDriving"/>
    <x v="3"/>
    <n v="50862"/>
    <n v="15305"/>
    <n v="5.6486000000000001"/>
    <n v="1379539"/>
    <n v="2.9879546718142801E-3"/>
    <n v="35557"/>
  </r>
  <r>
    <s v="P025"/>
    <s v="Twitter"/>
    <d v="2025-04-10T00:00:00"/>
    <s v="Carousel"/>
    <s v="Check out our latest carousel on twitter!"/>
    <n v="3128"/>
    <n v="211"/>
    <n v="197"/>
    <n v="59432"/>
    <n v="59182"/>
    <n v="238"/>
    <s v="#EVRevolution"/>
    <x v="4"/>
    <n v="53484"/>
    <n v="12307"/>
    <n v="5.6557999999999993"/>
    <n v="1060357"/>
    <n v="3.1744025832809138E-3"/>
    <n v="41177"/>
  </r>
  <r>
    <s v="P026"/>
    <s v="YouTube"/>
    <d v="2025-04-05T00:00:00"/>
    <s v="Reel"/>
    <s v="Check out our latest reel on youtube!"/>
    <n v="3009"/>
    <n v="413"/>
    <n v="358"/>
    <n v="42126"/>
    <n v="41309"/>
    <n v="211"/>
    <s v="#FutureOfDriving"/>
    <x v="1"/>
    <n v="47471"/>
    <n v="12104"/>
    <n v="5.5587999999999997"/>
    <n v="1228647"/>
    <n v="2.6207690247890564E-3"/>
    <n v="35367"/>
  </r>
  <r>
    <s v="P027"/>
    <s v="YouTube"/>
    <d v="2024-09-17T00:00:00"/>
    <s v="Text"/>
    <s v="Check out our latest text on youtube!"/>
    <n v="2076"/>
    <n v="195"/>
    <n v="104"/>
    <n v="33216"/>
    <n v="32244"/>
    <n v="51"/>
    <s v="#FutureOfDriving"/>
    <x v="2"/>
    <n v="47471"/>
    <n v="12104"/>
    <n v="5.5587999999999997"/>
    <n v="1228647"/>
    <n v="1.7311725825237029E-3"/>
    <n v="35367"/>
  </r>
  <r>
    <s v="P028"/>
    <s v="Instagram"/>
    <d v="2025-03-04T00:00:00"/>
    <s v="Video"/>
    <s v="Check out our latest video on instagram!"/>
    <n v="432"/>
    <n v="624"/>
    <n v="123"/>
    <n v="6912"/>
    <n v="6259"/>
    <n v="79"/>
    <s v="#FutureOfDriving"/>
    <x v="2"/>
    <n v="58311"/>
    <n v="10307"/>
    <n v="5.7155999999999993"/>
    <n v="1164373"/>
    <n v="4.3886280427320114E-4"/>
    <n v="48004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#FutureOfDriving"/>
    <x v="3"/>
    <n v="58311"/>
    <n v="10307"/>
    <n v="5.7155999999999993"/>
    <n v="1164373"/>
    <n v="2.393562887493956E-3"/>
    <n v="48004"/>
  </r>
  <r>
    <s v="P030"/>
    <s v="Instagram"/>
    <d v="2025-02-25T00:00:00"/>
    <s v="Video"/>
    <s v="Check out our latest video on instagram!"/>
    <n v="3095"/>
    <n v="39"/>
    <n v="78"/>
    <n v="55710"/>
    <n v="54808"/>
    <n v="93"/>
    <s v="#EVRevolution"/>
    <x v="4"/>
    <n v="58311"/>
    <n v="10307"/>
    <n v="5.7155999999999993"/>
    <n v="1164373"/>
    <n v="2.737954246620284E-3"/>
    <n v="48004"/>
  </r>
  <r>
    <s v="P031"/>
    <s v="Instagram"/>
    <d v="2024-12-16T00:00:00"/>
    <s v="Text"/>
    <s v="Check out our latest text on instagram!"/>
    <n v="438"/>
    <n v="153"/>
    <n v="275"/>
    <n v="3066"/>
    <n v="2701"/>
    <n v="282"/>
    <s v="#TeslaCoInnovation"/>
    <x v="1"/>
    <n v="58311"/>
    <n v="10307"/>
    <n v="5.7155999999999993"/>
    <n v="1164373"/>
    <n v="6.1835855005225988E-4"/>
    <n v="48004"/>
  </r>
  <r>
    <s v="P032"/>
    <s v="Twitter"/>
    <d v="2024-07-31T00:00:00"/>
    <s v="Carousel"/>
    <s v="Check out our latest carousel on twitter!"/>
    <n v="2278"/>
    <n v="10"/>
    <n v="321"/>
    <n v="13668"/>
    <n v="12676"/>
    <n v="275"/>
    <s v="#EVRevolution"/>
    <x v="0"/>
    <n v="53484"/>
    <n v="12307"/>
    <n v="5.6557999999999993"/>
    <n v="1060357"/>
    <n v="2.4076796776934563E-3"/>
    <n v="41177"/>
  </r>
  <r>
    <s v="P033"/>
    <s v="Facebook"/>
    <d v="2024-08-21T00:00:00"/>
    <s v="Image"/>
    <s v="Check out our latest image on facebook!"/>
    <n v="1407"/>
    <n v="400"/>
    <n v="351"/>
    <n v="16884"/>
    <n v="15954"/>
    <n v="113"/>
    <s v="#TeslaCoInnovation"/>
    <x v="0"/>
    <n v="50862"/>
    <n v="15305"/>
    <n v="5.6486000000000001"/>
    <n v="1379539"/>
    <n v="1.1018173462294288E-3"/>
    <n v="35557"/>
  </r>
  <r>
    <s v="P034"/>
    <s v="Facebook"/>
    <d v="2025-03-26T00:00:00"/>
    <s v="Text"/>
    <s v="Check out our latest text on facebook!"/>
    <n v="1652"/>
    <n v="89"/>
    <n v="357"/>
    <n v="29736"/>
    <n v="28771"/>
    <n v="215"/>
    <s v="#TeslaCoInnovation"/>
    <x v="3"/>
    <n v="50862"/>
    <n v="15305"/>
    <n v="5.6486000000000001"/>
    <n v="1379539"/>
    <n v="1.3533506482962788E-3"/>
    <n v="35557"/>
  </r>
  <r>
    <s v="P035"/>
    <s v="Instagram"/>
    <d v="2024-11-30T00:00:00"/>
    <s v="Video"/>
    <s v="Check out our latest video on instagram!"/>
    <n v="3775"/>
    <n v="16"/>
    <n v="239"/>
    <n v="33975"/>
    <n v="33310"/>
    <n v="271"/>
    <s v="#FutureOfDriving"/>
    <x v="1"/>
    <n v="58311"/>
    <n v="10307"/>
    <n v="5.7155999999999993"/>
    <n v="1164373"/>
    <n v="3.4748315187658938E-3"/>
    <n v="48004"/>
  </r>
  <r>
    <s v="P036"/>
    <s v="Instagram"/>
    <d v="2025-04-19T00:00:00"/>
    <s v="Story"/>
    <s v="Check out our latest story on instagram!"/>
    <n v="4518"/>
    <n v="285"/>
    <n v="383"/>
    <n v="67770"/>
    <n v="67621"/>
    <n v="31"/>
    <s v="#EVRevolution"/>
    <x v="1"/>
    <n v="58311"/>
    <n v="10307"/>
    <n v="5.7155999999999993"/>
    <n v="1164373"/>
    <n v="3.9068236724829584E-3"/>
    <n v="48004"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#EVRevolution"/>
    <x v="1"/>
    <n v="50862"/>
    <n v="15305"/>
    <n v="5.6486000000000001"/>
    <n v="1379539"/>
    <n v="2.2181322891197714E-3"/>
    <n v="35557"/>
  </r>
  <r>
    <s v="P038"/>
    <s v="YouTube"/>
    <d v="2025-02-17T00:00:00"/>
    <s v="Reel"/>
    <s v="Check out our latest reel on youtube!"/>
    <n v="3138"/>
    <n v="123"/>
    <n v="291"/>
    <n v="28242"/>
    <n v="27550"/>
    <n v="87"/>
    <s v="#TeslaCoInnovation"/>
    <x v="2"/>
    <n v="47471"/>
    <n v="12104"/>
    <n v="5.5587999999999997"/>
    <n v="1228647"/>
    <n v="2.6248385419082943E-3"/>
    <n v="35367"/>
  </r>
  <r>
    <s v="P039"/>
    <s v="Facebook"/>
    <d v="2024-11-25T00:00:00"/>
    <s v="Image"/>
    <s v="Check out our latest image on facebook!"/>
    <n v="3564"/>
    <n v="629"/>
    <n v="177"/>
    <n v="60588"/>
    <n v="59627"/>
    <n v="92"/>
    <s v="#TeslaCoInnovation"/>
    <x v="4"/>
    <n v="50862"/>
    <n v="15305"/>
    <n v="5.6486000000000001"/>
    <n v="1379539"/>
    <n v="2.6501606696149945E-3"/>
    <n v="35557"/>
  </r>
  <r>
    <s v="P040"/>
    <s v="Twitter"/>
    <d v="2025-03-07T00:00:00"/>
    <s v="Image"/>
    <s v="Check out our latest image on twitter!"/>
    <n v="4750"/>
    <n v="151"/>
    <n v="415"/>
    <n v="38000"/>
    <n v="37792"/>
    <n v="299"/>
    <s v="#EVRevolution"/>
    <x v="2"/>
    <n v="53484"/>
    <n v="12307"/>
    <n v="5.6557999999999993"/>
    <n v="1060357"/>
    <n v="4.7616038749213711E-3"/>
    <n v="41177"/>
  </r>
  <r>
    <s v="P041"/>
    <s v="Instagram"/>
    <d v="2025-03-08T00:00:00"/>
    <s v="Reel"/>
    <s v="Check out our latest reel on instagram!"/>
    <n v="456"/>
    <n v="629"/>
    <n v="428"/>
    <n v="8208"/>
    <n v="7377"/>
    <n v="205"/>
    <s v="#FutureOfDriving"/>
    <x v="2"/>
    <n v="58311"/>
    <n v="10307"/>
    <n v="5.7155999999999993"/>
    <n v="1164373"/>
    <n v="5.6768750220075525E-4"/>
    <n v="48004"/>
  </r>
  <r>
    <s v="P042"/>
    <s v="YouTube"/>
    <d v="2025-03-05T00:00:00"/>
    <s v="Reel"/>
    <s v="Check out our latest reel on youtube!"/>
    <n v="1543"/>
    <n v="820"/>
    <n v="333"/>
    <n v="12344"/>
    <n v="11496"/>
    <n v="241"/>
    <s v="#EVRevolution"/>
    <x v="4"/>
    <n v="47471"/>
    <n v="12104"/>
    <n v="5.5587999999999997"/>
    <n v="1228647"/>
    <n v="1.4520037081439991E-3"/>
    <n v="35367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#TeslaCoInnovation"/>
    <x v="3"/>
    <n v="58311"/>
    <n v="10307"/>
    <n v="5.7155999999999993"/>
    <n v="1164373"/>
    <n v="1.9847591794038507E-3"/>
    <n v="48004"/>
  </r>
  <r>
    <s v="P044"/>
    <s v="Twitter"/>
    <d v="2025-03-02T00:00:00"/>
    <s v="Image"/>
    <s v="Check out our latest image on twitter!"/>
    <n v="2358"/>
    <n v="784"/>
    <n v="344"/>
    <n v="35370"/>
    <n v="34475"/>
    <n v="216"/>
    <s v="#TeslaCoInnovation"/>
    <x v="4"/>
    <n v="53484"/>
    <n v="12307"/>
    <n v="5.6557999999999993"/>
    <n v="1060357"/>
    <n v="2.427484328391287E-3"/>
    <n v="41177"/>
  </r>
  <r>
    <s v="P045"/>
    <s v="Facebook"/>
    <d v="2024-11-01T00:00:00"/>
    <s v="Video"/>
    <s v="Check out our latest video on facebook!"/>
    <n v="3371"/>
    <n v="106"/>
    <n v="327"/>
    <n v="50565"/>
    <n v="49816"/>
    <n v="176"/>
    <s v="#FutureOfDriving"/>
    <x v="0"/>
    <n v="50862"/>
    <n v="15305"/>
    <n v="5.6486000000000001"/>
    <n v="1379539"/>
    <n v="2.571148767813016E-3"/>
    <n v="35557"/>
  </r>
  <r>
    <s v="P046"/>
    <s v="Twitter"/>
    <d v="2025-05-02T00:00:00"/>
    <s v="Video"/>
    <s v="Check out our latest video on twitter!"/>
    <n v="1108"/>
    <n v="177"/>
    <n v="212"/>
    <n v="8864"/>
    <n v="8710"/>
    <n v="97"/>
    <s v="#TeslaCoInnovation"/>
    <x v="2"/>
    <n v="53484"/>
    <n v="12307"/>
    <n v="5.6557999999999993"/>
    <n v="1060357"/>
    <n v="1.1364097186136368E-3"/>
    <n v="41177"/>
  </r>
  <r>
    <s v="P047"/>
    <s v="Twitter"/>
    <d v="2025-02-24T00:00:00"/>
    <s v="Carousel"/>
    <s v="Check out our latest carousel on twitter!"/>
    <n v="2704"/>
    <n v="752"/>
    <n v="153"/>
    <n v="21632"/>
    <n v="20792"/>
    <n v="127"/>
    <s v="#FutureOfDriving"/>
    <x v="4"/>
    <n v="53484"/>
    <n v="12307"/>
    <n v="5.6557999999999993"/>
    <n v="1060357"/>
    <n v="2.6698555297885525E-3"/>
    <n v="41177"/>
  </r>
  <r>
    <s v="P048"/>
    <s v="Twitter"/>
    <d v="2025-03-11T00:00:00"/>
    <s v="Story"/>
    <s v="Check out our latest story on twitter!"/>
    <n v="1950"/>
    <n v="295"/>
    <n v="478"/>
    <n v="37050"/>
    <n v="36272"/>
    <n v="119"/>
    <s v="#TeslaCoInnovation"/>
    <x v="4"/>
    <n v="53484"/>
    <n v="12307"/>
    <n v="5.6557999999999993"/>
    <n v="1060357"/>
    <n v="1.951229633038684E-3"/>
    <n v="41177"/>
  </r>
  <r>
    <s v="P049"/>
    <s v="Twitter"/>
    <d v="2024-06-10T00:00:00"/>
    <s v="Story"/>
    <s v="Check out our latest story on twitter!"/>
    <n v="2164"/>
    <n v="549"/>
    <n v="274"/>
    <n v="28132"/>
    <n v="27361"/>
    <n v="177"/>
    <s v="#TeslaCoInnovation"/>
    <x v="2"/>
    <n v="53484"/>
    <n v="12307"/>
    <n v="5.6557999999999993"/>
    <n v="1060357"/>
    <n v="2.2077470135058288E-3"/>
    <n v="41177"/>
  </r>
  <r>
    <s v="P050"/>
    <s v="YouTube"/>
    <d v="2024-07-03T00:00:00"/>
    <s v="Story"/>
    <s v="Check out our latest story on youtube!"/>
    <n v="2754"/>
    <n v="130"/>
    <n v="90"/>
    <n v="22032"/>
    <n v="21288"/>
    <n v="112"/>
    <s v="#TeslaCoInnovation"/>
    <x v="3"/>
    <n v="47471"/>
    <n v="12104"/>
    <n v="5.5587999999999997"/>
    <n v="1228647"/>
    <n v="2.3326472127470298E-3"/>
    <n v="35367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#FutureOfDriving"/>
    <x v="1"/>
    <n v="50862"/>
    <n v="15305"/>
    <n v="5.6486000000000001"/>
    <n v="1379539"/>
    <n v="1.7578335951357663E-3"/>
    <n v="35557"/>
  </r>
  <r>
    <s v="P052"/>
    <s v="Facebook"/>
    <d v="2025-01-03T00:00:00"/>
    <s v="Image"/>
    <s v="Check out our latest image on facebook!"/>
    <n v="947"/>
    <n v="338"/>
    <n v="350"/>
    <n v="10417"/>
    <n v="9730"/>
    <n v="34"/>
    <s v="#TeslaCoInnovation"/>
    <x v="2"/>
    <n v="50862"/>
    <n v="15305"/>
    <n v="5.6486000000000001"/>
    <n v="1379539"/>
    <n v="7.1110711621780902E-4"/>
    <n v="35557"/>
  </r>
  <r>
    <s v="P053"/>
    <s v="YouTube"/>
    <d v="2025-02-24T00:00:00"/>
    <s v="Carousel"/>
    <s v="Check out our latest carousel on youtube!"/>
    <n v="804"/>
    <n v="639"/>
    <n v="43"/>
    <n v="4020"/>
    <n v="3144"/>
    <n v="11"/>
    <s v="#EVRevolution"/>
    <x v="4"/>
    <n v="47471"/>
    <n v="12104"/>
    <n v="5.5587999999999997"/>
    <n v="1228647"/>
    <n v="6.6333129043573945E-4"/>
    <n v="35367"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#FutureOfDriving"/>
    <x v="1"/>
    <n v="47471"/>
    <n v="12104"/>
    <n v="5.5587999999999997"/>
    <n v="1228647"/>
    <n v="1.4145641506470125E-3"/>
    <n v="35367"/>
  </r>
  <r>
    <s v="P055"/>
    <s v="Facebook"/>
    <d v="2024-06-17T00:00:00"/>
    <s v="Image"/>
    <s v="Check out our latest image on facebook!"/>
    <n v="1226"/>
    <n v="119"/>
    <n v="7"/>
    <n v="14712"/>
    <n v="14049"/>
    <n v="123"/>
    <s v="#EVRevolution"/>
    <x v="2"/>
    <n v="50862"/>
    <n v="15305"/>
    <n v="5.6486000000000001"/>
    <n v="1379539"/>
    <n v="9.7786289477861808E-4"/>
    <n v="35557"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#FutureOfDriving"/>
    <x v="3"/>
    <n v="50862"/>
    <n v="15305"/>
    <n v="5.6486000000000001"/>
    <n v="1379539"/>
    <n v="2.1789887781353046E-3"/>
    <n v="35557"/>
  </r>
  <r>
    <s v="P057"/>
    <s v="Twitter"/>
    <d v="2024-10-21T00:00:00"/>
    <s v="Video"/>
    <s v="Check out our latest video on twitter!"/>
    <n v="2825"/>
    <n v="535"/>
    <n v="295"/>
    <n v="45200"/>
    <n v="44739"/>
    <n v="169"/>
    <s v="#TeslaCoInnovation"/>
    <x v="0"/>
    <n v="53484"/>
    <n v="12307"/>
    <n v="5.6557999999999993"/>
    <n v="1060357"/>
    <n v="2.8235773423479073E-3"/>
    <n v="41177"/>
  </r>
  <r>
    <s v="P058"/>
    <s v="Instagram"/>
    <d v="2025-04-15T00:00:00"/>
    <s v="Reel"/>
    <s v="Check out our latest reel on instagram!"/>
    <n v="103"/>
    <n v="770"/>
    <n v="19"/>
    <n v="1030"/>
    <n v="410"/>
    <n v="262"/>
    <s v="#TeslaCoInnovation"/>
    <x v="2"/>
    <n v="58311"/>
    <n v="10307"/>
    <n v="5.7155999999999993"/>
    <n v="1164373"/>
    <n v="3.1347343162371511E-4"/>
    <n v="48004"/>
  </r>
  <r>
    <s v="P059"/>
    <s v="Instagram"/>
    <d v="2024-06-22T00:00:00"/>
    <s v="Text"/>
    <s v="Check out our latest text on instagram!"/>
    <n v="2180"/>
    <n v="263"/>
    <n v="387"/>
    <n v="30520"/>
    <n v="30059"/>
    <n v="174"/>
    <s v="#EVRevolution"/>
    <x v="4"/>
    <n v="58311"/>
    <n v="10307"/>
    <n v="5.7155999999999993"/>
    <n v="1164373"/>
    <n v="2.021688926143083E-3"/>
    <n v="48004"/>
  </r>
  <r>
    <s v="P060"/>
    <s v="Instagram"/>
    <d v="2025-01-28T00:00:00"/>
    <s v="Video"/>
    <s v="Check out our latest video on instagram!"/>
    <n v="904"/>
    <n v="973"/>
    <n v="63"/>
    <n v="11752"/>
    <n v="11580"/>
    <n v="84"/>
    <s v="#EVRevolution"/>
    <x v="3"/>
    <n v="58311"/>
    <n v="10307"/>
    <n v="5.7155999999999993"/>
    <n v="1164373"/>
    <n v="8.4852534368282334E-4"/>
    <n v="48004"/>
  </r>
  <r>
    <s v="P061"/>
    <s v="Twitter"/>
    <d v="2024-09-05T00:00:00"/>
    <s v="Video"/>
    <s v="Check out our latest video on twitter!"/>
    <n v="4886"/>
    <n v="983"/>
    <n v="409"/>
    <n v="43974"/>
    <n v="43239"/>
    <n v="65"/>
    <s v="#TeslaCoInnovation"/>
    <x v="0"/>
    <n v="53484"/>
    <n v="12307"/>
    <n v="5.6557999999999993"/>
    <n v="1060357"/>
    <n v="4.6691821716648265E-3"/>
    <n v="41177"/>
  </r>
  <r>
    <s v="P062"/>
    <s v="Twitter"/>
    <d v="2024-11-22T00:00:00"/>
    <s v="Carousel"/>
    <s v="Check out our latest carousel on twitter!"/>
    <n v="53"/>
    <n v="81"/>
    <n v="379"/>
    <n v="954"/>
    <n v="7"/>
    <n v="148"/>
    <s v="#TeslaCoInnovation"/>
    <x v="3"/>
    <n v="53484"/>
    <n v="12307"/>
    <n v="5.6557999999999993"/>
    <n v="1060357"/>
    <n v="1.8955879953638257E-4"/>
    <n v="41177"/>
  </r>
  <r>
    <s v="P063"/>
    <s v="Twitter"/>
    <d v="2024-07-31T00:00:00"/>
    <s v="Carousel"/>
    <s v="Check out our latest carousel on twitter!"/>
    <n v="4507"/>
    <n v="217"/>
    <n v="13"/>
    <n v="90140"/>
    <n v="89591"/>
    <n v="125"/>
    <s v="#FutureOfDriving"/>
    <x v="3"/>
    <n v="53484"/>
    <n v="12307"/>
    <n v="5.6557999999999993"/>
    <n v="1060357"/>
    <n v="4.3683400967787266E-3"/>
    <n v="41177"/>
  </r>
  <r>
    <s v="P064"/>
    <s v="Facebook"/>
    <d v="2024-08-17T00:00:00"/>
    <s v="Image"/>
    <s v="Check out our latest image on facebook!"/>
    <n v="2878"/>
    <n v="248"/>
    <n v="416"/>
    <n v="43170"/>
    <n v="42667"/>
    <n v="75"/>
    <s v="#FutureOfDriving"/>
    <x v="3"/>
    <n v="50862"/>
    <n v="15305"/>
    <n v="5.6486000000000001"/>
    <n v="1379539"/>
    <n v="2.1405701469838839E-3"/>
    <n v="35557"/>
  </r>
  <r>
    <s v="P065"/>
    <s v="Instagram"/>
    <d v="2025-03-28T00:00:00"/>
    <s v="Story"/>
    <s v="Check out our latest story on instagram!"/>
    <n v="1881"/>
    <n v="501"/>
    <n v="99"/>
    <n v="20691"/>
    <n v="19987"/>
    <n v="289"/>
    <s v="#EVRevolution"/>
    <x v="4"/>
    <n v="58311"/>
    <n v="10307"/>
    <n v="5.7155999999999993"/>
    <n v="1164373"/>
    <n v="1.8636639633519499E-3"/>
    <n v="48004"/>
  </r>
  <r>
    <s v="P066"/>
    <s v="Twitter"/>
    <d v="2024-07-26T00:00:00"/>
    <s v="Carousel"/>
    <s v="Check out our latest carousel on twitter!"/>
    <n v="432"/>
    <n v="171"/>
    <n v="280"/>
    <n v="3024"/>
    <n v="2285"/>
    <n v="184"/>
    <s v="#EVRevolution"/>
    <x v="0"/>
    <n v="53484"/>
    <n v="12307"/>
    <n v="5.6557999999999993"/>
    <n v="1060357"/>
    <n v="5.8093642046970972E-4"/>
    <n v="41177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#EVRevolution"/>
    <x v="3"/>
    <n v="50862"/>
    <n v="15305"/>
    <n v="5.6486000000000001"/>
    <n v="1379539"/>
    <n v="3.4881217566157972E-3"/>
    <n v="35557"/>
  </r>
  <r>
    <s v="P068"/>
    <s v="Instagram"/>
    <d v="2024-12-08T00:00:00"/>
    <s v="Story"/>
    <s v="Check out our latest story on instagram!"/>
    <n v="2610"/>
    <n v="126"/>
    <n v="288"/>
    <n v="15660"/>
    <n v="15145"/>
    <n v="73"/>
    <s v="#EVRevolution"/>
    <x v="4"/>
    <n v="58311"/>
    <n v="10307"/>
    <n v="5.7155999999999993"/>
    <n v="1164373"/>
    <n v="2.304244430264185E-3"/>
    <n v="48004"/>
  </r>
  <r>
    <s v="P069"/>
    <s v="Twitter"/>
    <d v="2025-03-08T00:00:00"/>
    <s v="Text"/>
    <s v="Check out our latest text on twitter!"/>
    <n v="1292"/>
    <n v="626"/>
    <n v="496"/>
    <n v="25840"/>
    <n v="24916"/>
    <n v="149"/>
    <s v="#FutureOfDriving"/>
    <x v="3"/>
    <n v="53484"/>
    <n v="12307"/>
    <n v="5.6557999999999993"/>
    <n v="1060357"/>
    <n v="1.358976269313071E-3"/>
    <n v="41177"/>
  </r>
  <r>
    <s v="P070"/>
    <s v="Facebook"/>
    <d v="2025-04-02T00:00:00"/>
    <s v="Video"/>
    <s v="Check out our latest video on facebook!"/>
    <n v="199"/>
    <n v="772"/>
    <n v="400"/>
    <n v="3582"/>
    <n v="2988"/>
    <n v="43"/>
    <s v="#TeslaCoInnovation"/>
    <x v="4"/>
    <n v="50862"/>
    <n v="15305"/>
    <n v="5.6486000000000001"/>
    <n v="1379539"/>
    <n v="1.754209195970538E-4"/>
    <n v="35557"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#TeslaCoInnovation"/>
    <x v="1"/>
    <n v="47471"/>
    <n v="12104"/>
    <n v="5.5587999999999997"/>
    <n v="1228647"/>
    <n v="2.2610237114484471E-3"/>
    <n v="35367"/>
  </r>
  <r>
    <s v="P072"/>
    <s v="YouTube"/>
    <d v="2025-03-03T00:00:00"/>
    <s v="Reel"/>
    <s v="Check out our latest reel on youtube!"/>
    <n v="296"/>
    <n v="60"/>
    <n v="141"/>
    <n v="5624"/>
    <n v="5239"/>
    <n v="88"/>
    <s v="#EVRevolution"/>
    <x v="1"/>
    <n v="47471"/>
    <n v="12104"/>
    <n v="5.5587999999999997"/>
    <n v="1228647"/>
    <n v="3.1253891475745274E-4"/>
    <n v="35367"/>
  </r>
  <r>
    <s v="P073"/>
    <s v="Facebook"/>
    <d v="2024-10-18T00:00:00"/>
    <s v="Story"/>
    <s v="Check out our latest story on facebook!"/>
    <n v="4126"/>
    <n v="426"/>
    <n v="486"/>
    <n v="78394"/>
    <n v="77798"/>
    <n v="88"/>
    <s v="#FutureOfDriving"/>
    <x v="2"/>
    <n v="50862"/>
    <n v="15305"/>
    <n v="5.6486000000000001"/>
    <n v="1379539"/>
    <n v="3.0546436164544822E-3"/>
    <n v="35557"/>
  </r>
  <r>
    <s v="P074"/>
    <s v="YouTube"/>
    <d v="2024-10-28T00:00:00"/>
    <s v="Reel"/>
    <s v="Check out our latest reel on youtube!"/>
    <n v="1855"/>
    <n v="200"/>
    <n v="174"/>
    <n v="16695"/>
    <n v="16330"/>
    <n v="123"/>
    <s v="#TeslaCoInnovation"/>
    <x v="3"/>
    <n v="47471"/>
    <n v="12104"/>
    <n v="5.5587999999999997"/>
    <n v="1228647"/>
    <n v="1.6099009723704206E-3"/>
    <n v="35367"/>
  </r>
  <r>
    <s v="P075"/>
    <s v="Instagram"/>
    <d v="2024-08-01T00:00:00"/>
    <s v="Reel"/>
    <s v="Check out our latest reel on instagram!"/>
    <n v="1674"/>
    <n v="929"/>
    <n v="37"/>
    <n v="21762"/>
    <n v="20998"/>
    <n v="255"/>
    <s v="#TeslaCoInnovation"/>
    <x v="2"/>
    <n v="58311"/>
    <n v="10307"/>
    <n v="5.7155999999999993"/>
    <n v="1164373"/>
    <n v="1.6566856153483463E-3"/>
    <n v="48004"/>
  </r>
  <r>
    <s v="P076"/>
    <s v="Twitter"/>
    <d v="2024-11-07T00:00:00"/>
    <s v="Story"/>
    <s v="Check out our latest story on twitter!"/>
    <n v="1121"/>
    <n v="135"/>
    <n v="18"/>
    <n v="15694"/>
    <n v="14957"/>
    <n v="99"/>
    <s v="#TeslaCoInnovation"/>
    <x v="2"/>
    <n v="53484"/>
    <n v="12307"/>
    <n v="5.6557999999999993"/>
    <n v="1060357"/>
    <n v="1.150555897683516E-3"/>
    <n v="41177"/>
  </r>
  <r>
    <s v="P077"/>
    <s v="Facebook"/>
    <d v="2025-03-04T00:00:00"/>
    <s v="Story"/>
    <s v="Check out our latest story on facebook!"/>
    <n v="1249"/>
    <n v="116"/>
    <n v="420"/>
    <n v="8743"/>
    <n v="8538"/>
    <n v="63"/>
    <s v="#TeslaCoInnovation"/>
    <x v="4"/>
    <n v="50862"/>
    <n v="15305"/>
    <n v="5.6486000000000001"/>
    <n v="1379539"/>
    <n v="9.5104234095592802E-4"/>
    <n v="35557"/>
  </r>
  <r>
    <s v="P078"/>
    <s v="Twitter"/>
    <d v="2024-06-17T00:00:00"/>
    <s v="Image"/>
    <s v="Check out our latest image on twitter!"/>
    <n v="954"/>
    <n v="324"/>
    <n v="288"/>
    <n v="19080"/>
    <n v="18859"/>
    <n v="21"/>
    <s v="#FutureOfDriving"/>
    <x v="2"/>
    <n v="53484"/>
    <n v="12307"/>
    <n v="5.6557999999999993"/>
    <n v="1060357"/>
    <n v="9.1950163954215424E-4"/>
    <n v="41177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#EVRevolution"/>
    <x v="1"/>
    <n v="58311"/>
    <n v="10307"/>
    <n v="5.7155999999999993"/>
    <n v="1164373"/>
    <n v="2.86334361926977E-3"/>
    <n v="48004"/>
  </r>
  <r>
    <s v="P080"/>
    <s v="Instagram"/>
    <d v="2024-06-13T00:00:00"/>
    <s v="Story"/>
    <s v="Check out our latest story on instagram!"/>
    <n v="2103"/>
    <n v="892"/>
    <n v="103"/>
    <n v="39957"/>
    <n v="39466"/>
    <n v="28"/>
    <s v="#FutureOfDriving"/>
    <x v="4"/>
    <n v="58311"/>
    <n v="10307"/>
    <n v="5.7155999999999993"/>
    <n v="1164373"/>
    <n v="1.8301695418907859E-3"/>
    <n v="48004"/>
  </r>
  <r>
    <s v="P081"/>
    <s v="Instagram"/>
    <d v="2024-10-19T00:00:00"/>
    <s v="Story"/>
    <s v="Check out our latest story on instagram!"/>
    <n v="1816"/>
    <n v="29"/>
    <n v="41"/>
    <n v="19976"/>
    <n v="19262"/>
    <n v="283"/>
    <s v="#TeslaCoInnovation"/>
    <x v="3"/>
    <n v="58311"/>
    <n v="10307"/>
    <n v="5.7155999999999993"/>
    <n v="1164373"/>
    <n v="1.802686939666241E-3"/>
    <n v="48004"/>
  </r>
  <r>
    <s v="P082"/>
    <s v="Instagram"/>
    <d v="2024-07-24T00:00:00"/>
    <s v="Image"/>
    <s v="Check out our latest image on instagram!"/>
    <n v="725"/>
    <n v="88"/>
    <n v="428"/>
    <n v="14500"/>
    <n v="13637"/>
    <n v="200"/>
    <s v="#FutureOfDriving"/>
    <x v="3"/>
    <n v="58311"/>
    <n v="10307"/>
    <n v="5.7155999999999993"/>
    <n v="1164373"/>
    <n v="7.9441897055325058E-4"/>
    <n v="48004"/>
  </r>
  <r>
    <s v="P083"/>
    <s v="YouTube"/>
    <d v="2024-10-15T00:00:00"/>
    <s v="Video"/>
    <s v="Check out our latest video on youtube!"/>
    <n v="1094"/>
    <n v="472"/>
    <n v="21"/>
    <n v="9846"/>
    <n v="9609"/>
    <n v="112"/>
    <s v="#EVRevolution"/>
    <x v="4"/>
    <n v="47471"/>
    <n v="12104"/>
    <n v="5.5587999999999997"/>
    <n v="1228647"/>
    <n v="9.8156752916012482E-4"/>
    <n v="35367"/>
  </r>
  <r>
    <s v="P084"/>
    <s v="Facebook"/>
    <d v="2024-12-09T00:00:00"/>
    <s v="Image"/>
    <s v="Check out our latest image on facebook!"/>
    <n v="1841"/>
    <n v="851"/>
    <n v="342"/>
    <n v="34979"/>
    <n v="34154"/>
    <n v="255"/>
    <s v="#FutureOfDriving"/>
    <x v="2"/>
    <n v="50862"/>
    <n v="15305"/>
    <n v="5.6486000000000001"/>
    <n v="1379539"/>
    <n v="1.5193481300637387E-3"/>
    <n v="35557"/>
  </r>
  <r>
    <s v="P085"/>
    <s v="Instagram"/>
    <d v="2025-04-19T00:00:00"/>
    <s v="Image"/>
    <s v="Check out our latest image on instagram!"/>
    <n v="4177"/>
    <n v="569"/>
    <n v="55"/>
    <n v="25062"/>
    <n v="24847"/>
    <n v="230"/>
    <s v="#FutureOfDriving"/>
    <x v="0"/>
    <n v="58311"/>
    <n v="10307"/>
    <n v="5.7155999999999993"/>
    <n v="1164373"/>
    <n v="3.7848696251115408E-3"/>
    <n v="48004"/>
  </r>
  <r>
    <s v="P086"/>
    <s v="YouTube"/>
    <d v="2025-01-27T00:00:00"/>
    <s v="Text"/>
    <s v="Check out our latest text on youtube!"/>
    <n v="3428"/>
    <n v="305"/>
    <n v="85"/>
    <n v="58276"/>
    <n v="58052"/>
    <n v="242"/>
    <s v="#EVRevolution"/>
    <x v="2"/>
    <n v="47471"/>
    <n v="12104"/>
    <n v="5.5587999999999997"/>
    <n v="1228647"/>
    <n v="2.9870255655204464E-3"/>
    <n v="35367"/>
  </r>
  <r>
    <s v="P087"/>
    <s v="Twitter"/>
    <d v="2024-06-06T00:00:00"/>
    <s v="Video"/>
    <s v="Check out our latest video on twitter!"/>
    <n v="1436"/>
    <n v="765"/>
    <n v="496"/>
    <n v="12924"/>
    <n v="12701"/>
    <n v="197"/>
    <s v="#FutureOfDriving"/>
    <x v="3"/>
    <n v="53484"/>
    <n v="12307"/>
    <n v="5.6557999999999993"/>
    <n v="1060357"/>
    <n v="1.540047361407526E-3"/>
    <n v="41177"/>
  </r>
  <r>
    <s v="P088"/>
    <s v="Facebook"/>
    <d v="2024-07-07T00:00:00"/>
    <s v="Story"/>
    <s v="Check out our latest story on facebook!"/>
    <n v="302"/>
    <n v="47"/>
    <n v="430"/>
    <n v="5738"/>
    <n v="4890"/>
    <n v="25"/>
    <s v="#TeslaCoInnovation"/>
    <x v="2"/>
    <n v="50862"/>
    <n v="15305"/>
    <n v="5.6486000000000001"/>
    <n v="1379539"/>
    <n v="2.3703570540593632E-4"/>
    <n v="35557"/>
  </r>
  <r>
    <s v="P089"/>
    <s v="Twitter"/>
    <d v="2025-01-10T00:00:00"/>
    <s v="Image"/>
    <s v="Check out our latest image on twitter!"/>
    <n v="2214"/>
    <n v="249"/>
    <n v="152"/>
    <n v="15498"/>
    <n v="14800"/>
    <n v="180"/>
    <s v="#EVRevolution"/>
    <x v="4"/>
    <n v="53484"/>
    <n v="12307"/>
    <n v="5.6557999999999993"/>
    <n v="1060357"/>
    <n v="2.2577301795527354E-3"/>
    <n v="41177"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#TeslaCoInnovation"/>
    <x v="2"/>
    <n v="58311"/>
    <n v="10307"/>
    <n v="5.7155999999999993"/>
    <n v="1164373"/>
    <n v="3.5710206265518007E-3"/>
    <n v="48004"/>
  </r>
  <r>
    <s v="P091"/>
    <s v="Facebook"/>
    <d v="2025-03-24T00:00:00"/>
    <s v="Image"/>
    <s v="Check out our latest image on facebook!"/>
    <n v="1263"/>
    <n v="397"/>
    <n v="357"/>
    <n v="25260"/>
    <n v="24615"/>
    <n v="137"/>
    <s v="#EVRevolution"/>
    <x v="2"/>
    <n v="50862"/>
    <n v="15305"/>
    <n v="5.6486000000000001"/>
    <n v="1379539"/>
    <n v="1.0148317662639476E-3"/>
    <n v="35557"/>
  </r>
  <r>
    <s v="P092"/>
    <s v="Twitter"/>
    <d v="2024-10-21T00:00:00"/>
    <s v="Story"/>
    <s v="Check out our latest story on twitter!"/>
    <n v="3801"/>
    <n v="967"/>
    <n v="401"/>
    <n v="38010"/>
    <n v="37625"/>
    <n v="236"/>
    <s v="#FutureOfDriving"/>
    <x v="3"/>
    <n v="53484"/>
    <n v="12307"/>
    <n v="5.6557999999999993"/>
    <n v="1060357"/>
    <n v="3.8072083270068477E-3"/>
    <n v="41177"/>
  </r>
  <r>
    <s v="P093"/>
    <s v="Instagram"/>
    <d v="2024-12-11T00:00:00"/>
    <s v="Video"/>
    <s v="Check out our latest video on instagram!"/>
    <n v="1431"/>
    <n v="951"/>
    <n v="26"/>
    <n v="8586"/>
    <n v="8396"/>
    <n v="150"/>
    <s v="#EVRevolution"/>
    <x v="3"/>
    <n v="58311"/>
    <n v="10307"/>
    <n v="5.7155999999999993"/>
    <n v="1164373"/>
    <n v="1.3578123161564206E-3"/>
    <n v="48004"/>
  </r>
  <r>
    <s v="P094"/>
    <s v="Instagram"/>
    <d v="2024-11-07T00:00:00"/>
    <s v="Image"/>
    <s v="Check out our latest image on instagram!"/>
    <n v="2647"/>
    <n v="304"/>
    <n v="170"/>
    <n v="18529"/>
    <n v="17841"/>
    <n v="46"/>
    <s v="#FutureOfDriving"/>
    <x v="3"/>
    <n v="58311"/>
    <n v="10307"/>
    <n v="5.7155999999999993"/>
    <n v="1164373"/>
    <n v="2.3128327434593552E-3"/>
    <n v="48004"/>
  </r>
  <r>
    <s v="P095"/>
    <s v="Instagram"/>
    <d v="2024-11-08T00:00:00"/>
    <s v="Text"/>
    <s v="Check out our latest text on instagram!"/>
    <n v="3182"/>
    <n v="559"/>
    <n v="160"/>
    <n v="57276"/>
    <n v="56890"/>
    <n v="163"/>
    <s v="#FutureOfDriving"/>
    <x v="2"/>
    <n v="58311"/>
    <n v="10307"/>
    <n v="5.7155999999999993"/>
    <n v="1164373"/>
    <n v="2.8727907637844572E-3"/>
    <n v="48004"/>
  </r>
  <r>
    <s v="P096"/>
    <s v="Twitter"/>
    <d v="2024-09-10T00:00:00"/>
    <s v="Image"/>
    <s v="Check out our latest image on twitter!"/>
    <n v="1238"/>
    <n v="366"/>
    <n v="444"/>
    <n v="19808"/>
    <n v="19334"/>
    <n v="123"/>
    <s v="#FutureOfDriving"/>
    <x v="4"/>
    <n v="53484"/>
    <n v="12307"/>
    <n v="5.6557999999999993"/>
    <n v="1060357"/>
    <n v="1.2835299809403815E-3"/>
    <n v="41177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#TeslaCoInnovation"/>
    <x v="1"/>
    <n v="58311"/>
    <n v="10307"/>
    <n v="5.7155999999999993"/>
    <n v="1164373"/>
    <n v="4.1009195506938071E-3"/>
    <n v="48004"/>
  </r>
  <r>
    <s v="P098"/>
    <s v="Twitter"/>
    <d v="2024-06-10T00:00:00"/>
    <s v="Story"/>
    <s v="Check out our latest story on twitter!"/>
    <n v="1575"/>
    <n v="771"/>
    <n v="486"/>
    <n v="25200"/>
    <n v="24826"/>
    <n v="17"/>
    <s v="#FutureOfDriving"/>
    <x v="2"/>
    <n v="53484"/>
    <n v="12307"/>
    <n v="5.6557999999999993"/>
    <n v="1060357"/>
    <n v="1.5013811386165225E-3"/>
    <n v="41177"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#FutureOfDriving"/>
    <x v="3"/>
    <n v="47471"/>
    <n v="12104"/>
    <n v="5.5587999999999997"/>
    <n v="1228647"/>
    <n v="3.5355964731936837E-3"/>
    <n v="35367"/>
  </r>
  <r>
    <s v="P100"/>
    <s v="YouTube"/>
    <d v="2025-02-10T00:00:00"/>
    <s v="Video"/>
    <s v="Check out our latest video on youtube!"/>
    <n v="1766"/>
    <n v="92"/>
    <n v="424"/>
    <n v="24724"/>
    <n v="24333"/>
    <n v="52"/>
    <s v="#EVRevolution"/>
    <x v="4"/>
    <n v="47471"/>
    <n v="12104"/>
    <n v="5.5587999999999997"/>
    <n v="1228647"/>
    <n v="1.4796764245548152E-3"/>
    <n v="35367"/>
  </r>
  <r>
    <s v="P101"/>
    <s v="YouTube"/>
    <d v="2024-10-18T00:00:00"/>
    <s v="Video"/>
    <s v="Check out our latest video on youtube!"/>
    <n v="4450"/>
    <n v="983"/>
    <n v="143"/>
    <n v="75650"/>
    <n v="75008"/>
    <n v="12"/>
    <s v="#FutureOfDriving"/>
    <x v="3"/>
    <n v="47471"/>
    <n v="12104"/>
    <n v="5.5587999999999997"/>
    <n v="1228647"/>
    <n v="3.6316370772076926E-3"/>
    <n v="35367"/>
  </r>
  <r>
    <s v="P102"/>
    <s v="Twitter"/>
    <d v="2024-09-18T00:00:00"/>
    <s v="Reel"/>
    <s v="Check out our latest reel on twitter!"/>
    <n v="1000"/>
    <n v="978"/>
    <n v="162"/>
    <n v="6000"/>
    <n v="5221"/>
    <n v="223"/>
    <s v="#EVRevolution"/>
    <x v="1"/>
    <n v="53484"/>
    <n v="12307"/>
    <n v="5.6557999999999993"/>
    <n v="1060357"/>
    <n v="1.153385133497492E-3"/>
    <n v="41177"/>
  </r>
  <r>
    <s v="P103"/>
    <s v="Facebook"/>
    <d v="2024-06-11T00:00:00"/>
    <s v="Image"/>
    <s v="Check out our latest image on facebook!"/>
    <n v="3689"/>
    <n v="48"/>
    <n v="306"/>
    <n v="40579"/>
    <n v="39588"/>
    <n v="212"/>
    <s v="#EVRevolution"/>
    <x v="1"/>
    <n v="50862"/>
    <n v="15305"/>
    <n v="5.6486000000000001"/>
    <n v="1379539"/>
    <n v="2.8277562287111853E-3"/>
    <n v="35557"/>
  </r>
  <r>
    <s v="P104"/>
    <s v="YouTube"/>
    <d v="2025-03-23T00:00:00"/>
    <s v="Story"/>
    <s v="Check out our latest story on youtube!"/>
    <n v="3655"/>
    <n v="568"/>
    <n v="286"/>
    <n v="32895"/>
    <n v="32015"/>
    <n v="199"/>
    <s v="#TeslaCoInnovation"/>
    <x v="3"/>
    <n v="47471"/>
    <n v="12104"/>
    <n v="5.5587999999999997"/>
    <n v="1228647"/>
    <n v="3.1367837955083924E-3"/>
    <n v="35367"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#FutureOfDriving"/>
    <x v="0"/>
    <n v="58311"/>
    <n v="10307"/>
    <n v="5.7155999999999993"/>
    <n v="1164373"/>
    <n v="4.5518059934402462E-4"/>
    <n v="48004"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#TeslaCoInnovation"/>
    <x v="2"/>
    <n v="58311"/>
    <n v="10307"/>
    <n v="5.7155999999999993"/>
    <n v="1164373"/>
    <n v="4.2228735980652252E-3"/>
    <n v="48004"/>
  </r>
  <r>
    <s v="P107"/>
    <s v="YouTube"/>
    <d v="2024-06-21T00:00:00"/>
    <s v="Image"/>
    <s v="Check out our latest image on youtube!"/>
    <n v="4832"/>
    <n v="893"/>
    <n v="10"/>
    <n v="91808"/>
    <n v="91296"/>
    <n v="182"/>
    <s v="#TeslaCoInnovation"/>
    <x v="4"/>
    <n v="47471"/>
    <n v="12104"/>
    <n v="5.5587999999999997"/>
    <n v="1228647"/>
    <n v="4.0809117671715307E-3"/>
    <n v="35367"/>
  </r>
  <r>
    <s v="P108"/>
    <s v="Twitter"/>
    <d v="2025-03-25T00:00:00"/>
    <s v="Video"/>
    <s v="Check out our latest video on twitter!"/>
    <n v="4050"/>
    <n v="871"/>
    <n v="347"/>
    <n v="52650"/>
    <n v="51755"/>
    <n v="209"/>
    <s v="#TeslaCoInnovation"/>
    <x v="1"/>
    <n v="53484"/>
    <n v="12307"/>
    <n v="5.6557999999999993"/>
    <n v="1060357"/>
    <n v="4.0165717772410615E-3"/>
    <n v="41177"/>
  </r>
  <r>
    <s v="P109"/>
    <s v="Twitter"/>
    <d v="2024-08-08T00:00:00"/>
    <s v="Story"/>
    <s v="Check out our latest story on twitter!"/>
    <n v="3649"/>
    <n v="215"/>
    <n v="413"/>
    <n v="25543"/>
    <n v="24963"/>
    <n v="167"/>
    <s v="#FutureOfDriving"/>
    <x v="3"/>
    <n v="53484"/>
    <n v="12307"/>
    <n v="5.6557999999999993"/>
    <n v="1060357"/>
    <n v="3.5987879553772929E-3"/>
    <n v="41177"/>
  </r>
  <r>
    <s v="P110"/>
    <s v="Instagram"/>
    <d v="2024-07-29T00:00:00"/>
    <s v="Reel"/>
    <s v="Check out our latest reel on instagram!"/>
    <n v="3523"/>
    <n v="753"/>
    <n v="482"/>
    <n v="38753"/>
    <n v="38579"/>
    <n v="270"/>
    <s v="#EVRevolution"/>
    <x v="1"/>
    <n v="58311"/>
    <n v="10307"/>
    <n v="5.7155999999999993"/>
    <n v="1164373"/>
    <n v="3.2575471949280858E-3"/>
    <n v="48004"/>
  </r>
  <r>
    <s v="P111"/>
    <s v="YouTube"/>
    <d v="2024-11-23T00:00:00"/>
    <s v="Image"/>
    <s v="Check out our latest image on youtube!"/>
    <n v="2719"/>
    <n v="17"/>
    <n v="285"/>
    <n v="40785"/>
    <n v="40281"/>
    <n v="40"/>
    <s v="#TeslaCoInnovation"/>
    <x v="1"/>
    <n v="47471"/>
    <n v="12104"/>
    <n v="5.5587999999999997"/>
    <n v="1228647"/>
    <n v="2.2455595463953437E-3"/>
    <n v="35367"/>
  </r>
  <r>
    <s v="P112"/>
    <s v="Twitter"/>
    <d v="2024-10-05T00:00:00"/>
    <s v="Story"/>
    <s v="Check out our latest story on twitter!"/>
    <n v="1957"/>
    <n v="877"/>
    <n v="238"/>
    <n v="17613"/>
    <n v="16865"/>
    <n v="297"/>
    <s v="#FutureOfDriving"/>
    <x v="3"/>
    <n v="53484"/>
    <n v="12307"/>
    <n v="5.6557999999999993"/>
    <n v="1060357"/>
    <n v="2.1256991749005289E-3"/>
    <n v="41177"/>
  </r>
  <r>
    <s v="P113"/>
    <s v="Twitter"/>
    <d v="2024-10-02T00:00:00"/>
    <s v="Carousel"/>
    <s v="Check out our latest carousel on twitter!"/>
    <n v="4419"/>
    <n v="236"/>
    <n v="369"/>
    <n v="44190"/>
    <n v="43582"/>
    <n v="10"/>
    <s v="#EVRevolution"/>
    <x v="0"/>
    <n v="53484"/>
    <n v="12307"/>
    <n v="5.6557999999999993"/>
    <n v="1060357"/>
    <n v="4.1768951400330268E-3"/>
    <n v="41177"/>
  </r>
  <r>
    <s v="P114"/>
    <s v="Twitter"/>
    <d v="2024-11-14T00:00:00"/>
    <s v="Story"/>
    <s v="Check out our latest story on twitter!"/>
    <n v="4000"/>
    <n v="689"/>
    <n v="488"/>
    <n v="40000"/>
    <n v="39569"/>
    <n v="44"/>
    <s v="#FutureOfDriving"/>
    <x v="0"/>
    <n v="53484"/>
    <n v="12307"/>
    <n v="5.6557999999999993"/>
    <n v="1060357"/>
    <n v="3.8138098772394582E-3"/>
    <n v="41177"/>
  </r>
  <r>
    <s v="P115"/>
    <s v="Twitter"/>
    <d v="2025-05-11T00:00:00"/>
    <s v="Image"/>
    <s v="Check out our latest image on twitter!"/>
    <n v="2493"/>
    <n v="97"/>
    <n v="44"/>
    <n v="42381"/>
    <n v="41991"/>
    <n v="242"/>
    <s v="#TeslaCoInnovation"/>
    <x v="2"/>
    <n v="53484"/>
    <n v="12307"/>
    <n v="5.6557999999999993"/>
    <n v="1060357"/>
    <n v="2.579319983741325E-3"/>
    <n v="41177"/>
  </r>
  <r>
    <s v="P116"/>
    <s v="YouTube"/>
    <d v="2025-03-18T00:00:00"/>
    <s v="Reel"/>
    <s v="Check out our latest reel on youtube!"/>
    <n v="3704"/>
    <n v="186"/>
    <n v="458"/>
    <n v="25928"/>
    <n v="25081"/>
    <n v="131"/>
    <s v="#TeslaCoInnovation"/>
    <x v="4"/>
    <n v="47471"/>
    <n v="12104"/>
    <n v="5.5587999999999997"/>
    <n v="1228647"/>
    <n v="3.1213196304552895E-3"/>
    <n v="35367"/>
  </r>
  <r>
    <s v="P117"/>
    <s v="Twitter"/>
    <d v="2024-11-04T00:00:00"/>
    <s v="Image"/>
    <s v="Check out our latest image on twitter!"/>
    <n v="1606"/>
    <n v="451"/>
    <n v="405"/>
    <n v="20878"/>
    <n v="20190"/>
    <n v="219"/>
    <s v="#EVRevolution"/>
    <x v="2"/>
    <n v="53484"/>
    <n v="12307"/>
    <n v="5.6557999999999993"/>
    <n v="1060357"/>
    <n v="1.721118453501981E-3"/>
    <n v="41177"/>
  </r>
  <r>
    <s v="P118"/>
    <s v="Facebook"/>
    <d v="2024-11-04T00:00:00"/>
    <s v="Image"/>
    <s v="Check out our latest image on facebook!"/>
    <n v="4551"/>
    <n v="714"/>
    <n v="207"/>
    <n v="68265"/>
    <n v="67754"/>
    <n v="57"/>
    <s v="#FutureOfDriving"/>
    <x v="3"/>
    <n v="50862"/>
    <n v="15305"/>
    <n v="5.6486000000000001"/>
    <n v="1379539"/>
    <n v="3.3402462706744788E-3"/>
    <n v="35557"/>
  </r>
  <r>
    <s v="P119"/>
    <s v="Instagram"/>
    <d v="2025-02-07T00:00:00"/>
    <s v="Reel"/>
    <s v="Check out our latest reel on instagram!"/>
    <n v="1970"/>
    <n v="675"/>
    <n v="478"/>
    <n v="9850"/>
    <n v="8924"/>
    <n v="117"/>
    <s v="#FutureOfDriving"/>
    <x v="4"/>
    <n v="58311"/>
    <n v="10307"/>
    <n v="5.7155999999999993"/>
    <n v="1164373"/>
    <n v="1.7923809638320366E-3"/>
    <n v="48004"/>
  </r>
  <r>
    <s v="P120"/>
    <s v="Facebook"/>
    <d v="2024-10-21T00:00:00"/>
    <s v="Story"/>
    <s v="Check out our latest story on facebook!"/>
    <n v="780"/>
    <n v="928"/>
    <n v="301"/>
    <n v="8580"/>
    <n v="8081"/>
    <n v="91"/>
    <s v="#EVRevolution"/>
    <x v="3"/>
    <n v="50862"/>
    <n v="15305"/>
    <n v="5.6486000000000001"/>
    <n v="1379539"/>
    <n v="6.3137033458278457E-4"/>
    <n v="35557"/>
  </r>
  <r>
    <s v="P121"/>
    <s v="Instagram"/>
    <d v="2024-07-29T00:00:00"/>
    <s v="Story"/>
    <s v="Check out our latest story on instagram!"/>
    <n v="498"/>
    <n v="701"/>
    <n v="412"/>
    <n v="4980"/>
    <n v="4185"/>
    <n v="185"/>
    <s v="#FutureOfDriving"/>
    <x v="4"/>
    <n v="58311"/>
    <n v="10307"/>
    <n v="5.7155999999999993"/>
    <n v="1164373"/>
    <n v="5.8658179123012989E-4"/>
    <n v="48004"/>
  </r>
  <r>
    <s v="P122"/>
    <s v="Instagram"/>
    <d v="2024-10-02T00:00:00"/>
    <s v="Text"/>
    <s v="Check out our latest text on instagram!"/>
    <n v="3432"/>
    <n v="869"/>
    <n v="123"/>
    <n v="54912"/>
    <n v="53916"/>
    <n v="264"/>
    <s v="#EVRevolution"/>
    <x v="1"/>
    <n v="58311"/>
    <n v="10307"/>
    <n v="5.7155999999999993"/>
    <n v="1164373"/>
    <n v="3.174240556934934E-3"/>
    <n v="48004"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#EVRevolution"/>
    <x v="0"/>
    <n v="58311"/>
    <n v="10307"/>
    <n v="5.7155999999999993"/>
    <n v="1164373"/>
    <n v="3.8819175642169647E-3"/>
    <n v="48004"/>
  </r>
  <r>
    <s v="P124"/>
    <s v="YouTube"/>
    <d v="2025-04-06T00:00:00"/>
    <s v="Carousel"/>
    <s v="Check out our latest carousel on youtube!"/>
    <n v="736"/>
    <n v="771"/>
    <n v="225"/>
    <n v="5152"/>
    <n v="4706"/>
    <n v="19"/>
    <s v="#EVRevolution"/>
    <x v="0"/>
    <n v="47471"/>
    <n v="12104"/>
    <n v="5.5587999999999997"/>
    <n v="1228647"/>
    <n v="6.1449708500488744E-4"/>
    <n v="35367"/>
  </r>
  <r>
    <s v="P125"/>
    <s v="Twitter"/>
    <d v="2024-09-08T00:00:00"/>
    <s v="Carousel"/>
    <s v="Check out our latest carousel on twitter!"/>
    <n v="3811"/>
    <n v="866"/>
    <n v="216"/>
    <n v="34299"/>
    <n v="34088"/>
    <n v="233"/>
    <s v="#TeslaCoInnovation"/>
    <x v="2"/>
    <n v="53484"/>
    <n v="12307"/>
    <n v="5.6557999999999993"/>
    <n v="1060357"/>
    <n v="3.8138098772394582E-3"/>
    <n v="41177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#FutureOfDriving"/>
    <x v="4"/>
    <n v="58311"/>
    <n v="10307"/>
    <n v="5.7155999999999993"/>
    <n v="1164373"/>
    <n v="3.6929746739232188E-3"/>
    <n v="48004"/>
  </r>
  <r>
    <s v="P127"/>
    <s v="Facebook"/>
    <d v="2025-01-27T00:00:00"/>
    <s v="Reel"/>
    <s v="Check out our latest reel on facebook!"/>
    <n v="3452"/>
    <n v="652"/>
    <n v="442"/>
    <n v="65588"/>
    <n v="65049"/>
    <n v="158"/>
    <s v="#FutureOfDriving"/>
    <x v="3"/>
    <n v="50862"/>
    <n v="15305"/>
    <n v="5.6486000000000001"/>
    <n v="1379539"/>
    <n v="2.6168161972948936E-3"/>
    <n v="35557"/>
  </r>
  <r>
    <s v="P128"/>
    <s v="Twitter"/>
    <d v="2025-01-10T00:00:00"/>
    <s v="Image"/>
    <s v="Check out our latest image on twitter!"/>
    <n v="3092"/>
    <n v="106"/>
    <n v="291"/>
    <n v="27828"/>
    <n v="27217"/>
    <n v="102"/>
    <s v="#FutureOfDriving"/>
    <x v="4"/>
    <n v="53484"/>
    <n v="12307"/>
    <n v="5.6557999999999993"/>
    <n v="1060357"/>
    <n v="3.0121930632796313E-3"/>
    <n v="41177"/>
  </r>
  <r>
    <s v="P129"/>
    <s v="Twitter"/>
    <d v="2024-07-21T00:00:00"/>
    <s v="Text"/>
    <s v="Check out our latest text on twitter!"/>
    <n v="2147"/>
    <n v="430"/>
    <n v="393"/>
    <n v="17176"/>
    <n v="16483"/>
    <n v="170"/>
    <s v="#TeslaCoInnovation"/>
    <x v="4"/>
    <n v="53484"/>
    <n v="12307"/>
    <n v="5.6557999999999993"/>
    <n v="1060357"/>
    <n v="2.1851131269940219E-3"/>
    <n v="41177"/>
  </r>
  <r>
    <s v="P130"/>
    <s v="YouTube"/>
    <d v="2024-09-29T00:00:00"/>
    <s v="Reel"/>
    <s v="Check out our latest reel on youtube!"/>
    <n v="2936"/>
    <n v="439"/>
    <n v="44"/>
    <n v="38168"/>
    <n v="37571"/>
    <n v="22"/>
    <s v="#EVRevolution"/>
    <x v="2"/>
    <n v="47471"/>
    <n v="12104"/>
    <n v="5.5587999999999997"/>
    <n v="1228647"/>
    <n v="2.4075263277410029E-3"/>
    <n v="35367"/>
  </r>
  <r>
    <s v="P131"/>
    <s v="Instagram"/>
    <d v="2024-10-21T00:00:00"/>
    <s v="Reel"/>
    <s v="Check out our latest reel on instagram!"/>
    <n v="4840"/>
    <n v="658"/>
    <n v="211"/>
    <n v="43560"/>
    <n v="43225"/>
    <n v="57"/>
    <s v="#FutureOfDriving"/>
    <x v="3"/>
    <n v="58311"/>
    <n v="10307"/>
    <n v="5.7155999999999993"/>
    <n v="1164373"/>
    <n v="4.2056969716748839E-3"/>
    <n v="48004"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#FutureOfDriving"/>
    <x v="1"/>
    <n v="58311"/>
    <n v="10307"/>
    <n v="5.7155999999999993"/>
    <n v="1164373"/>
    <n v="1.8318872045298199E-3"/>
    <n v="48004"/>
  </r>
  <r>
    <s v="P133"/>
    <s v="Facebook"/>
    <d v="2025-02-06T00:00:00"/>
    <s v="Image"/>
    <s v="Check out our latest image on facebook!"/>
    <n v="2072"/>
    <n v="532"/>
    <n v="71"/>
    <n v="37296"/>
    <n v="36467"/>
    <n v="25"/>
    <s v="#TeslaCoInnovation"/>
    <x v="2"/>
    <n v="50862"/>
    <n v="15305"/>
    <n v="5.6486000000000001"/>
    <n v="1379539"/>
    <n v="1.5200730098967844E-3"/>
    <n v="35557"/>
  </r>
  <r>
    <s v="P134"/>
    <s v="Twitter"/>
    <d v="2025-04-24T00:00:00"/>
    <s v="Reel"/>
    <s v="Check out our latest reel on twitter!"/>
    <n v="3731"/>
    <n v="115"/>
    <n v="135"/>
    <n v="55965"/>
    <n v="55436"/>
    <n v="103"/>
    <s v="#TeslaCoInnovation"/>
    <x v="0"/>
    <n v="53484"/>
    <n v="12307"/>
    <n v="5.6557999999999993"/>
    <n v="1060357"/>
    <n v="3.6157633702611478E-3"/>
    <n v="41177"/>
  </r>
  <r>
    <s v="P135"/>
    <s v="Facebook"/>
    <d v="2024-11-28T00:00:00"/>
    <s v="Text"/>
    <s v="Check out our latest text on facebook!"/>
    <n v="4213"/>
    <n v="253"/>
    <n v="434"/>
    <n v="75834"/>
    <n v="75437"/>
    <n v="272"/>
    <s v="#FutureOfDriving"/>
    <x v="2"/>
    <n v="50862"/>
    <n v="15305"/>
    <n v="5.6486000000000001"/>
    <n v="1379539"/>
    <n v="3.2510860512098608E-3"/>
    <n v="35557"/>
  </r>
  <r>
    <s v="P136"/>
    <s v="Instagram"/>
    <d v="2024-07-11T00:00:00"/>
    <s v="Text"/>
    <s v="Check out our latest text on instagram!"/>
    <n v="3134"/>
    <n v="888"/>
    <n v="444"/>
    <n v="21938"/>
    <n v="21337"/>
    <n v="130"/>
    <s v="#EVRevolution"/>
    <x v="2"/>
    <n v="58311"/>
    <n v="10307"/>
    <n v="5.7155999999999993"/>
    <n v="1164373"/>
    <n v="2.8032254269035784E-3"/>
    <n v="48004"/>
  </r>
  <r>
    <s v="P137"/>
    <s v="Facebook"/>
    <d v="2024-07-31T00:00:00"/>
    <s v="Video"/>
    <s v="Check out our latest video on facebook!"/>
    <n v="3008"/>
    <n v="94"/>
    <n v="37"/>
    <n v="15040"/>
    <n v="14639"/>
    <n v="277"/>
    <s v="#FutureOfDriving"/>
    <x v="4"/>
    <n v="50862"/>
    <n v="15305"/>
    <n v="5.6486000000000001"/>
    <n v="1379539"/>
    <n v="2.3812302515550483E-3"/>
    <n v="35557"/>
  </r>
  <r>
    <s v="P138"/>
    <s v="Twitter"/>
    <d v="2025-03-29T00:00:00"/>
    <s v="Image"/>
    <s v="Check out our latest image on twitter!"/>
    <n v="305"/>
    <n v="187"/>
    <n v="243"/>
    <n v="4575"/>
    <n v="3704"/>
    <n v="234"/>
    <s v="#FutureOfDriving"/>
    <x v="3"/>
    <n v="53484"/>
    <n v="12307"/>
    <n v="5.6557999999999993"/>
    <n v="1060357"/>
    <n v="5.0831936791099596E-4"/>
    <n v="41177"/>
  </r>
  <r>
    <s v="P139"/>
    <s v="YouTube"/>
    <d v="2024-10-29T00:00:00"/>
    <s v="Text"/>
    <s v="Check out our latest text on youtube!"/>
    <n v="2746"/>
    <n v="156"/>
    <n v="203"/>
    <n v="32952"/>
    <n v="32147"/>
    <n v="147"/>
    <s v="#EVRevolution"/>
    <x v="0"/>
    <n v="47471"/>
    <n v="12104"/>
    <n v="5.5587999999999997"/>
    <n v="1228647"/>
    <n v="2.3546226051909132E-3"/>
    <n v="35367"/>
  </r>
  <r>
    <s v="P140"/>
    <s v="Facebook"/>
    <d v="2024-07-15T00:00:00"/>
    <s v="Image"/>
    <s v="Check out our latest image on facebook!"/>
    <n v="2291"/>
    <n v="78"/>
    <n v="485"/>
    <n v="18328"/>
    <n v="18101"/>
    <n v="10"/>
    <s v="#EVRevolution"/>
    <x v="1"/>
    <n v="50862"/>
    <n v="15305"/>
    <n v="5.6486000000000001"/>
    <n v="1379539"/>
    <n v="1.6679484958381024E-3"/>
    <n v="35557"/>
  </r>
  <r>
    <s v="P141"/>
    <s v="Twitter"/>
    <d v="2024-08-31T00:00:00"/>
    <s v="Image"/>
    <s v="Check out our latest image on twitter!"/>
    <n v="3170"/>
    <n v="857"/>
    <n v="379"/>
    <n v="19020"/>
    <n v="18559"/>
    <n v="240"/>
    <s v="#FutureOfDriving"/>
    <x v="4"/>
    <n v="53484"/>
    <n v="12307"/>
    <n v="5.6557999999999993"/>
    <n v="1060357"/>
    <n v="3.2158980418858932E-3"/>
    <n v="41177"/>
  </r>
  <r>
    <s v="P142"/>
    <s v="YouTube"/>
    <d v="2025-03-25T00:00:00"/>
    <s v="Story"/>
    <s v="Check out our latest story on youtube!"/>
    <n v="2070"/>
    <n v="275"/>
    <n v="386"/>
    <n v="39330"/>
    <n v="38627"/>
    <n v="114"/>
    <s v="#FutureOfDriving"/>
    <x v="2"/>
    <n v="47471"/>
    <n v="12104"/>
    <n v="5.5587999999999997"/>
    <n v="1228647"/>
    <n v="1.7775650776830122E-3"/>
    <n v="35367"/>
  </r>
  <r>
    <s v="P143"/>
    <s v="YouTube"/>
    <d v="2024-10-02T00:00:00"/>
    <s v="Carousel"/>
    <s v="Check out our latest carousel on youtube!"/>
    <n v="80"/>
    <n v="362"/>
    <n v="80"/>
    <n v="1040"/>
    <n v="349"/>
    <n v="117"/>
    <s v="#TeslaCoInnovation"/>
    <x v="3"/>
    <n v="47471"/>
    <n v="12104"/>
    <n v="5.5587999999999997"/>
    <n v="1228647"/>
    <n v="1.6033897449796401E-4"/>
    <n v="35367"/>
  </r>
  <r>
    <s v="P144"/>
    <s v="YouTube"/>
    <d v="2024-10-28T00:00:00"/>
    <s v="Story"/>
    <s v="Check out our latest story on youtube!"/>
    <n v="4929"/>
    <n v="749"/>
    <n v="452"/>
    <n v="93651"/>
    <n v="92810"/>
    <n v="66"/>
    <s v="#EVRevolution"/>
    <x v="2"/>
    <n v="47471"/>
    <n v="12104"/>
    <n v="5.5587999999999997"/>
    <n v="1228647"/>
    <n v="4.0654476021184278E-3"/>
    <n v="35367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#TeslaCoInnovation"/>
    <x v="2"/>
    <n v="58311"/>
    <n v="10307"/>
    <n v="5.7155999999999993"/>
    <n v="1164373"/>
    <n v="1.7348392654243957E-3"/>
    <n v="48004"/>
  </r>
  <r>
    <s v="P146"/>
    <s v="YouTube"/>
    <d v="2024-06-05T00:00:00"/>
    <s v="Reel"/>
    <s v="Check out our latest reel on youtube!"/>
    <n v="3065"/>
    <n v="772"/>
    <n v="142"/>
    <n v="18390"/>
    <n v="17875"/>
    <n v="200"/>
    <s v="#EVRevolution"/>
    <x v="4"/>
    <n v="47471"/>
    <n v="12104"/>
    <n v="5.5587999999999997"/>
    <n v="1228647"/>
    <n v="2.6573946788621956E-3"/>
    <n v="35367"/>
  </r>
  <r>
    <s v="P147"/>
    <s v="Instagram"/>
    <d v="2024-10-21T00:00:00"/>
    <s v="Reel"/>
    <s v="Check out our latest reel on instagram!"/>
    <n v="3256"/>
    <n v="459"/>
    <n v="266"/>
    <n v="26048"/>
    <n v="25529"/>
    <n v="143"/>
    <s v="#TeslaCoInnovation"/>
    <x v="1"/>
    <n v="58311"/>
    <n v="10307"/>
    <n v="5.7155999999999993"/>
    <n v="1164373"/>
    <n v="2.9191676550383767E-3"/>
    <n v="48004"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#EVRevolution"/>
    <x v="2"/>
    <n v="58311"/>
    <n v="10307"/>
    <n v="5.7155999999999993"/>
    <n v="1164373"/>
    <n v="3.700704155798872E-3"/>
    <n v="48004"/>
  </r>
  <r>
    <s v="P149"/>
    <s v="Twitter"/>
    <d v="2024-06-16T00:00:00"/>
    <s v="Video"/>
    <s v="Check out our latest video on twitter!"/>
    <n v="1702"/>
    <n v="750"/>
    <n v="179"/>
    <n v="34040"/>
    <n v="33174"/>
    <n v="76"/>
    <s v="#EVRevolution"/>
    <x v="0"/>
    <n v="53484"/>
    <n v="12307"/>
    <n v="5.6557999999999993"/>
    <n v="1060357"/>
    <n v="1.6767937590830258E-3"/>
    <n v="41177"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#TeslaCoInnovation"/>
    <x v="2"/>
    <n v="47471"/>
    <n v="12104"/>
    <n v="5.5587999999999997"/>
    <n v="1228647"/>
    <n v="3.7317471983409393E-3"/>
    <n v="35367"/>
  </r>
  <r>
    <s v="P151"/>
    <s v="Instagram"/>
    <d v="2024-07-26T00:00:00"/>
    <s v="Image"/>
    <s v="Check out our latest image on instagram!"/>
    <n v="3559"/>
    <n v="59"/>
    <n v="289"/>
    <n v="35590"/>
    <n v="35105"/>
    <n v="122"/>
    <s v="#EVRevolution"/>
    <x v="0"/>
    <n v="58311"/>
    <n v="10307"/>
    <n v="5.7155999999999993"/>
    <n v="1164373"/>
    <n v="3.1613580871421789E-3"/>
    <n v="48004"/>
  </r>
  <r>
    <s v="P152"/>
    <s v="Facebook"/>
    <d v="2025-04-22T00:00:00"/>
    <s v="Image"/>
    <s v="Check out our latest image on facebook!"/>
    <n v="4804"/>
    <n v="550"/>
    <n v="270"/>
    <n v="28824"/>
    <n v="28370"/>
    <n v="47"/>
    <s v="#EVRevolution"/>
    <x v="2"/>
    <n v="50862"/>
    <n v="15305"/>
    <n v="5.6486000000000001"/>
    <n v="1379539"/>
    <n v="3.5163920701045785E-3"/>
    <n v="35557"/>
  </r>
  <r>
    <s v="P153"/>
    <s v="Twitter"/>
    <d v="2025-01-01T00:00:00"/>
    <s v="Video"/>
    <s v="Check out our latest video on twitter!"/>
    <n v="754"/>
    <n v="197"/>
    <n v="257"/>
    <n v="6786"/>
    <n v="6221"/>
    <n v="212"/>
    <s v="#TeslaCoInnovation"/>
    <x v="3"/>
    <n v="53484"/>
    <n v="12307"/>
    <n v="5.6557999999999993"/>
    <n v="1060357"/>
    <n v="9.1101393210022666E-4"/>
    <n v="41177"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#FutureOfDriving"/>
    <x v="2"/>
    <n v="58311"/>
    <n v="10307"/>
    <n v="5.7155999999999993"/>
    <n v="1164373"/>
    <n v="9.0091405417336192E-4"/>
    <n v="48004"/>
  </r>
  <r>
    <s v="P155"/>
    <s v="YouTube"/>
    <d v="2024-12-21T00:00:00"/>
    <s v="Image"/>
    <s v="Check out our latest image on youtube!"/>
    <n v="2283"/>
    <n v="210"/>
    <n v="130"/>
    <n v="22830"/>
    <n v="22617"/>
    <n v="143"/>
    <s v="#FutureOfDriving"/>
    <x v="1"/>
    <n v="47471"/>
    <n v="12104"/>
    <n v="5.5587999999999997"/>
    <n v="1228647"/>
    <n v="1.9745297062541151E-3"/>
    <n v="35367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#FutureOfDriving"/>
    <x v="1"/>
    <n v="50862"/>
    <n v="15305"/>
    <n v="5.6486000000000001"/>
    <n v="1379539"/>
    <n v="2.6037683603000713E-3"/>
    <n v="35557"/>
  </r>
  <r>
    <s v="P157"/>
    <s v="YouTube"/>
    <d v="2024-07-23T00:00:00"/>
    <s v="Story"/>
    <s v="Check out our latest story on youtube!"/>
    <n v="4775"/>
    <n v="173"/>
    <n v="206"/>
    <n v="47750"/>
    <n v="47544"/>
    <n v="187"/>
    <s v="#FutureOfDriving"/>
    <x v="1"/>
    <n v="47471"/>
    <n v="12104"/>
    <n v="5.5587999999999997"/>
    <n v="1228647"/>
    <n v="4.038588789131459E-3"/>
    <n v="35367"/>
  </r>
  <r>
    <s v="P158"/>
    <s v="Instagram"/>
    <d v="2024-08-11T00:00:00"/>
    <s v="Story"/>
    <s v="Check out our latest story on instagram!"/>
    <n v="1762"/>
    <n v="405"/>
    <n v="423"/>
    <n v="22906"/>
    <n v="21925"/>
    <n v="25"/>
    <s v="#TeslaCoInnovation"/>
    <x v="0"/>
    <n v="58311"/>
    <n v="10307"/>
    <n v="5.7155999999999993"/>
    <n v="1164373"/>
    <n v="1.5347315679769284E-3"/>
    <n v="48004"/>
  </r>
  <r>
    <s v="P159"/>
    <s v="Facebook"/>
    <d v="2024-11-25T00:00:00"/>
    <s v="Story"/>
    <s v="Check out our latest story on facebook!"/>
    <n v="2120"/>
    <n v="158"/>
    <n v="488"/>
    <n v="12720"/>
    <n v="12085"/>
    <n v="17"/>
    <s v="#FutureOfDriving"/>
    <x v="1"/>
    <n v="50862"/>
    <n v="15305"/>
    <n v="5.6486000000000001"/>
    <n v="1379539"/>
    <n v="1.5490682032186114E-3"/>
    <n v="35557"/>
  </r>
  <r>
    <s v="P160"/>
    <s v="Twitter"/>
    <d v="2024-08-24T00:00:00"/>
    <s v="Video"/>
    <s v="Check out our latest video on twitter!"/>
    <n v="1082"/>
    <n v="209"/>
    <n v="484"/>
    <n v="19476"/>
    <n v="18654"/>
    <n v="20"/>
    <s v="#TeslaCoInnovation"/>
    <x v="4"/>
    <n v="53484"/>
    <n v="12307"/>
    <n v="5.6557999999999993"/>
    <n v="1060357"/>
    <n v="1.0392726223337988E-3"/>
    <n v="41177"/>
  </r>
  <r>
    <s v="P161"/>
    <s v="Twitter"/>
    <d v="2025-02-19T00:00:00"/>
    <s v="Text"/>
    <s v="Check out our latest text on twitter!"/>
    <n v="4671"/>
    <n v="876"/>
    <n v="366"/>
    <n v="51381"/>
    <n v="50565"/>
    <n v="245"/>
    <s v="#TeslaCoInnovation"/>
    <x v="2"/>
    <n v="53484"/>
    <n v="12307"/>
    <n v="5.6557999999999993"/>
    <n v="1060357"/>
    <n v="4.6361744205017747E-3"/>
    <n v="41177"/>
  </r>
  <r>
    <s v="P162"/>
    <s v="Facebook"/>
    <d v="2025-04-01T00:00:00"/>
    <s v="Story"/>
    <s v="Check out our latest story on facebook!"/>
    <n v="3430"/>
    <n v="566"/>
    <n v="164"/>
    <n v="48020"/>
    <n v="47305"/>
    <n v="120"/>
    <s v="#FutureOfDriving"/>
    <x v="4"/>
    <n v="50862"/>
    <n v="15305"/>
    <n v="5.6486000000000001"/>
    <n v="1379539"/>
    <n v="2.5733234073121529E-3"/>
    <n v="35557"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#TeslaCoInnovation"/>
    <x v="1"/>
    <n v="58311"/>
    <n v="10307"/>
    <n v="5.7155999999999993"/>
    <n v="1164373"/>
    <n v="3.9789655033223891E-3"/>
    <n v="48004"/>
  </r>
  <r>
    <s v="P164"/>
    <s v="YouTube"/>
    <d v="2025-02-27T00:00:00"/>
    <s v="Text"/>
    <s v="Check out our latest text on youtube!"/>
    <n v="4934"/>
    <n v="971"/>
    <n v="156"/>
    <n v="39472"/>
    <n v="39025"/>
    <n v="169"/>
    <s v="#TeslaCoInnovation"/>
    <x v="2"/>
    <n v="47471"/>
    <n v="12104"/>
    <n v="5.5587999999999997"/>
    <n v="1228647"/>
    <n v="4.1533491718939615E-3"/>
    <n v="35367"/>
  </r>
  <r>
    <s v="P165"/>
    <s v="Twitter"/>
    <d v="2024-12-11T00:00:00"/>
    <s v="Text"/>
    <s v="Check out our latest text on twitter!"/>
    <n v="3239"/>
    <n v="43"/>
    <n v="211"/>
    <n v="22673"/>
    <n v="22171"/>
    <n v="230"/>
    <s v="#TeslaCoInnovation"/>
    <x v="1"/>
    <n v="53484"/>
    <n v="12307"/>
    <n v="5.6557999999999993"/>
    <n v="1060357"/>
    <n v="3.2715396795607518E-3"/>
    <n v="41177"/>
  </r>
  <r>
    <s v="P166"/>
    <s v="Twitter"/>
    <d v="2025-02-16T00:00:00"/>
    <s v="Reel"/>
    <s v="Check out our latest reel on twitter!"/>
    <n v="1076"/>
    <n v="313"/>
    <n v="306"/>
    <n v="11836"/>
    <n v="11596"/>
    <n v="104"/>
    <s v="#FutureOfDriving"/>
    <x v="0"/>
    <n v="53484"/>
    <n v="12307"/>
    <n v="5.6557999999999993"/>
    <n v="1060357"/>
    <n v="1.1128327534971711E-3"/>
    <n v="41177"/>
  </r>
  <r>
    <s v="P167"/>
    <s v="Instagram"/>
    <d v="2024-11-28T00:00:00"/>
    <s v="Text"/>
    <s v="Check out our latest text on instagram!"/>
    <n v="4771"/>
    <n v="818"/>
    <n v="56"/>
    <n v="57252"/>
    <n v="56378"/>
    <n v="150"/>
    <s v="#FutureOfDriving"/>
    <x v="4"/>
    <n v="58311"/>
    <n v="10307"/>
    <n v="5.7155999999999993"/>
    <n v="1164373"/>
    <n v="4.2263089233432931E-3"/>
    <n v="48004"/>
  </r>
  <r>
    <s v="P168"/>
    <s v="Facebook"/>
    <d v="2024-11-12T00:00:00"/>
    <s v="Text"/>
    <s v="Check out our latest text on facebook!"/>
    <n v="2418"/>
    <n v="754"/>
    <n v="54"/>
    <n v="43524"/>
    <n v="42743"/>
    <n v="182"/>
    <s v="#EVRevolution"/>
    <x v="0"/>
    <n v="50862"/>
    <n v="15305"/>
    <n v="5.6486000000000001"/>
    <n v="1379539"/>
    <n v="1.8846875659187599E-3"/>
    <n v="35557"/>
  </r>
  <r>
    <s v="P169"/>
    <s v="YouTube"/>
    <d v="2024-12-03T00:00:00"/>
    <s v="Video"/>
    <s v="Check out our latest video on youtube!"/>
    <n v="3809"/>
    <n v="273"/>
    <n v="200"/>
    <n v="34281"/>
    <n v="33534"/>
    <n v="83"/>
    <s v="#EVRevolution"/>
    <x v="0"/>
    <n v="47471"/>
    <n v="12104"/>
    <n v="5.5587999999999997"/>
    <n v="1228647"/>
    <n v="3.1677121256145986E-3"/>
    <n v="35367"/>
  </r>
  <r>
    <s v="P170"/>
    <s v="Twitter"/>
    <d v="2025-04-28T00:00:00"/>
    <s v="Text"/>
    <s v="Check out our latest text on twitter!"/>
    <n v="3577"/>
    <n v="596"/>
    <n v="493"/>
    <n v="67963"/>
    <n v="67839"/>
    <n v="53"/>
    <s v="#TeslaCoInnovation"/>
    <x v="3"/>
    <n v="53484"/>
    <n v="12307"/>
    <n v="5.6557999999999993"/>
    <n v="1060357"/>
    <n v="3.4233753349107894E-3"/>
    <n v="41177"/>
  </r>
  <r>
    <s v="P171"/>
    <s v="YouTube"/>
    <d v="2024-12-31T00:00:00"/>
    <s v="Video"/>
    <s v="Check out our latest video on youtube!"/>
    <n v="1018"/>
    <n v="447"/>
    <n v="332"/>
    <n v="18324"/>
    <n v="18164"/>
    <n v="38"/>
    <s v="#FutureOfDriving"/>
    <x v="1"/>
    <n v="47471"/>
    <n v="12104"/>
    <n v="5.5587999999999997"/>
    <n v="1228647"/>
    <n v="8.5948201558299492E-4"/>
    <n v="35367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#EVRevolution"/>
    <x v="3"/>
    <n v="50862"/>
    <n v="15305"/>
    <n v="5.6486000000000001"/>
    <n v="1379539"/>
    <n v="2.4058761658786016E-3"/>
    <n v="35557"/>
  </r>
  <r>
    <s v="P173"/>
    <s v="Twitter"/>
    <d v="2024-12-05T00:00:00"/>
    <s v="Video"/>
    <s v="Check out our latest video on twitter!"/>
    <n v="1330"/>
    <n v="925"/>
    <n v="35"/>
    <n v="15960"/>
    <n v="15379"/>
    <n v="229"/>
    <s v="#FutureOfDriving"/>
    <x v="3"/>
    <n v="53484"/>
    <n v="12307"/>
    <n v="5.6557999999999993"/>
    <n v="1060357"/>
    <n v="1.4702595446627882E-3"/>
    <n v="41177"/>
  </r>
  <r>
    <s v="P174"/>
    <s v="Facebook"/>
    <d v="2024-06-22T00:00:00"/>
    <s v="Text"/>
    <s v="Check out our latest text on facebook!"/>
    <n v="3828"/>
    <n v="148"/>
    <n v="253"/>
    <n v="30624"/>
    <n v="30229"/>
    <n v="235"/>
    <s v="#EVRevolution"/>
    <x v="4"/>
    <n v="50862"/>
    <n v="15305"/>
    <n v="5.6486000000000001"/>
    <n v="1379539"/>
    <n v="2.9451867616645849E-3"/>
    <n v="35557"/>
  </r>
  <r>
    <s v="P175"/>
    <s v="Instagram"/>
    <d v="2025-01-17T00:00:00"/>
    <s v="Reel"/>
    <s v="Check out our latest reel on instagram!"/>
    <n v="142"/>
    <n v="784"/>
    <n v="183"/>
    <n v="1704"/>
    <n v="995"/>
    <n v="154"/>
    <s v="#FutureOfDriving"/>
    <x v="2"/>
    <n v="58311"/>
    <n v="10307"/>
    <n v="5.7155999999999993"/>
    <n v="1164373"/>
    <n v="2.542140705770402E-4"/>
    <n v="48004"/>
  </r>
  <r>
    <s v="P176"/>
    <s v="Facebook"/>
    <d v="2024-06-20T00:00:00"/>
    <s v="Video"/>
    <s v="Check out our latest video on facebook!"/>
    <n v="3798"/>
    <n v="31"/>
    <n v="279"/>
    <n v="75960"/>
    <n v="75813"/>
    <n v="266"/>
    <s v="#TeslaCoInnovation"/>
    <x v="0"/>
    <n v="50862"/>
    <n v="15305"/>
    <n v="5.6486000000000001"/>
    <n v="1379539"/>
    <n v="2.9459116414976309E-3"/>
    <n v="35557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#TeslaCoInnovation"/>
    <x v="3"/>
    <n v="58311"/>
    <n v="10307"/>
    <n v="5.7155999999999993"/>
    <n v="1164373"/>
    <n v="2.706177487798154E-3"/>
    <n v="48004"/>
  </r>
  <r>
    <s v="P178"/>
    <s v="Instagram"/>
    <d v="2024-11-07T00:00:00"/>
    <s v="Video"/>
    <s v="Check out our latest video on instagram!"/>
    <n v="129"/>
    <n v="643"/>
    <n v="136"/>
    <n v="1290"/>
    <n v="839"/>
    <n v="238"/>
    <s v="#TeslaCoInnovation"/>
    <x v="2"/>
    <n v="58311"/>
    <n v="10307"/>
    <n v="5.7155999999999993"/>
    <n v="1164373"/>
    <n v="3.1519109426274912E-4"/>
    <n v="48004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#TeslaCoInnovation"/>
    <x v="4"/>
    <n v="50862"/>
    <n v="15305"/>
    <n v="5.6486000000000001"/>
    <n v="1379539"/>
    <n v="2.9633087574907268E-3"/>
    <n v="35557"/>
  </r>
  <r>
    <s v="P180"/>
    <s v="YouTube"/>
    <d v="2024-12-03T00:00:00"/>
    <s v="Text"/>
    <s v="Check out our latest text on youtube!"/>
    <n v="3711"/>
    <n v="352"/>
    <n v="290"/>
    <n v="48243"/>
    <n v="47579"/>
    <n v="11"/>
    <s v="#TeslaCoInnovation"/>
    <x v="0"/>
    <n v="47471"/>
    <n v="12104"/>
    <n v="5.5587999999999997"/>
    <n v="1228647"/>
    <n v="3.0293485435605181E-3"/>
    <n v="35367"/>
  </r>
  <r>
    <s v="P181"/>
    <s v="YouTube"/>
    <d v="2025-03-21T00:00:00"/>
    <s v="Image"/>
    <s v="Check out our latest image on youtube!"/>
    <n v="606"/>
    <n v="789"/>
    <n v="470"/>
    <n v="7878"/>
    <n v="7389"/>
    <n v="239"/>
    <s v="#EVRevolution"/>
    <x v="3"/>
    <n v="47471"/>
    <n v="12104"/>
    <n v="5.5587999999999997"/>
    <n v="1228647"/>
    <n v="6.8774839315116545E-4"/>
    <n v="35367"/>
  </r>
  <r>
    <s v="P182"/>
    <s v="Facebook"/>
    <d v="2024-07-31T00:00:00"/>
    <s v="Image"/>
    <s v="Check out our latest image on facebook!"/>
    <n v="4689"/>
    <n v="134"/>
    <n v="403"/>
    <n v="51579"/>
    <n v="50924"/>
    <n v="173"/>
    <s v="#TeslaCoInnovation"/>
    <x v="2"/>
    <n v="50862"/>
    <n v="15305"/>
    <n v="5.6486000000000001"/>
    <n v="1379539"/>
    <n v="3.524365748268081E-3"/>
    <n v="35557"/>
  </r>
  <r>
    <s v="P183"/>
    <s v="Instagram"/>
    <d v="2024-12-17T00:00:00"/>
    <s v="Story"/>
    <s v="Check out our latest story on instagram!"/>
    <n v="360"/>
    <n v="590"/>
    <n v="393"/>
    <n v="4680"/>
    <n v="4322"/>
    <n v="208"/>
    <s v="#FutureOfDriving"/>
    <x v="1"/>
    <n v="58311"/>
    <n v="10307"/>
    <n v="5.7155999999999993"/>
    <n v="1164373"/>
    <n v="4.8781618948567169E-4"/>
    <n v="48004"/>
  </r>
  <r>
    <s v="P184"/>
    <s v="Twitter"/>
    <d v="2024-07-28T00:00:00"/>
    <s v="Image"/>
    <s v="Check out our latest image on twitter!"/>
    <n v="3215"/>
    <n v="960"/>
    <n v="202"/>
    <n v="32150"/>
    <n v="31404"/>
    <n v="251"/>
    <s v="#EVRevolution"/>
    <x v="0"/>
    <n v="53484"/>
    <n v="12307"/>
    <n v="5.6557999999999993"/>
    <n v="1060357"/>
    <n v="3.2687104437467761E-3"/>
    <n v="41177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#EVRevolution"/>
    <x v="4"/>
    <n v="58311"/>
    <n v="10307"/>
    <n v="5.7155999999999993"/>
    <n v="1164373"/>
    <n v="3.9454710818612251E-3"/>
    <n v="48004"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#EVRevolution"/>
    <x v="3"/>
    <n v="50862"/>
    <n v="15305"/>
    <n v="5.6486000000000001"/>
    <n v="1379539"/>
    <n v="3.3025525193561035E-3"/>
    <n v="35557"/>
  </r>
  <r>
    <s v="P187"/>
    <s v="Twitter"/>
    <d v="2024-12-22T00:00:00"/>
    <s v="Reel"/>
    <s v="Check out our latest reel on twitter!"/>
    <n v="1644"/>
    <n v="546"/>
    <n v="150"/>
    <n v="27948"/>
    <n v="27184"/>
    <n v="300"/>
    <s v="#EVRevolution"/>
    <x v="3"/>
    <n v="53484"/>
    <n v="12307"/>
    <n v="5.6557999999999993"/>
    <n v="1060357"/>
    <n v="1.8333448074563568E-3"/>
    <n v="41177"/>
  </r>
  <r>
    <s v="P188"/>
    <s v="YouTube"/>
    <d v="2024-06-06T00:00:00"/>
    <s v="Reel"/>
    <s v="Check out our latest reel on youtube!"/>
    <n v="2728"/>
    <n v="533"/>
    <n v="215"/>
    <n v="40920"/>
    <n v="40816"/>
    <n v="137"/>
    <s v="#FutureOfDriving"/>
    <x v="1"/>
    <n v="47471"/>
    <n v="12104"/>
    <n v="5.5587999999999997"/>
    <n v="1228647"/>
    <n v="2.3318333093231823E-3"/>
    <n v="35367"/>
  </r>
  <r>
    <s v="P189"/>
    <s v="Facebook"/>
    <d v="2025-03-24T00:00:00"/>
    <s v="Reel"/>
    <s v="Check out our latest reel on facebook!"/>
    <n v="3360"/>
    <n v="525"/>
    <n v="500"/>
    <n v="60480"/>
    <n v="59610"/>
    <n v="192"/>
    <s v="#TeslaCoInnovation"/>
    <x v="0"/>
    <n v="50862"/>
    <n v="15305"/>
    <n v="5.6486000000000001"/>
    <n v="1379539"/>
    <n v="2.574773166978244E-3"/>
    <n v="35557"/>
  </r>
  <r>
    <s v="P190"/>
    <s v="YouTube"/>
    <d v="2024-10-04T00:00:00"/>
    <s v="Text"/>
    <s v="Check out our latest text on youtube!"/>
    <n v="1963"/>
    <n v="213"/>
    <n v="19"/>
    <n v="39260"/>
    <n v="38771"/>
    <n v="145"/>
    <s v="#FutureOfDriving"/>
    <x v="4"/>
    <n v="47471"/>
    <n v="12104"/>
    <n v="5.5587999999999997"/>
    <n v="1228647"/>
    <n v="1.7157084174705998E-3"/>
    <n v="35367"/>
  </r>
  <r>
    <s v="P191"/>
    <s v="YouTube"/>
    <d v="2024-12-03T00:00:00"/>
    <s v="Story"/>
    <s v="Check out our latest story on youtube!"/>
    <n v="4285"/>
    <n v="886"/>
    <n v="376"/>
    <n v="55705"/>
    <n v="55556"/>
    <n v="51"/>
    <s v="#FutureOfDriving"/>
    <x v="3"/>
    <n v="47471"/>
    <n v="12104"/>
    <n v="5.5587999999999997"/>
    <n v="1228647"/>
    <n v="3.5290852458029036E-3"/>
    <n v="35367"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#EVRevolution"/>
    <x v="4"/>
    <n v="58311"/>
    <n v="10307"/>
    <n v="5.7155999999999993"/>
    <n v="1164373"/>
    <n v="1.243587750660656E-3"/>
    <n v="48004"/>
  </r>
  <r>
    <s v="P193"/>
    <s v="Twitter"/>
    <d v="2024-09-11T00:00:00"/>
    <s v="Image"/>
    <s v="Check out our latest image on twitter!"/>
    <n v="4858"/>
    <n v="317"/>
    <n v="129"/>
    <n v="53438"/>
    <n v="52687"/>
    <n v="223"/>
    <s v="#EVRevolution"/>
    <x v="3"/>
    <n v="53484"/>
    <n v="12307"/>
    <n v="5.6557999999999993"/>
    <n v="1060357"/>
    <n v="4.7917823902704467E-3"/>
    <n v="41177"/>
  </r>
  <r>
    <s v="P194"/>
    <s v="YouTube"/>
    <d v="2024-10-02T00:00:00"/>
    <s v="Story"/>
    <s v="Check out our latest story on youtube!"/>
    <n v="4350"/>
    <n v="771"/>
    <n v="7"/>
    <n v="60900"/>
    <n v="60592"/>
    <n v="195"/>
    <s v="#EVRevolution"/>
    <x v="0"/>
    <n v="47471"/>
    <n v="12104"/>
    <n v="5.5587999999999997"/>
    <n v="1228647"/>
    <n v="3.6991910613870379E-3"/>
    <n v="35367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#FutureOfDriving"/>
    <x v="2"/>
    <n v="58311"/>
    <n v="10307"/>
    <n v="5.7155999999999993"/>
    <n v="1164373"/>
    <n v="1.027162258142365E-3"/>
    <n v="48004"/>
  </r>
  <r>
    <s v="P196"/>
    <s v="Instagram"/>
    <d v="2024-12-19T00:00:00"/>
    <s v="Text"/>
    <s v="Check out our latest text on instagram!"/>
    <n v="1813"/>
    <n v="623"/>
    <n v="72"/>
    <n v="19943"/>
    <n v="18959"/>
    <n v="85"/>
    <s v="#EVRevolution"/>
    <x v="3"/>
    <n v="58311"/>
    <n v="10307"/>
    <n v="5.7155999999999993"/>
    <n v="1164373"/>
    <n v="1.6300618444433184E-3"/>
    <n v="48004"/>
  </r>
  <r>
    <s v="P197"/>
    <s v="Twitter"/>
    <d v="2024-10-22T00:00:00"/>
    <s v="Reel"/>
    <s v="Check out our latest reel on twitter!"/>
    <n v="4782"/>
    <n v="721"/>
    <n v="82"/>
    <n v="86076"/>
    <n v="85339"/>
    <n v="19"/>
    <s v="#EVRevolution"/>
    <x v="0"/>
    <n v="53484"/>
    <n v="12307"/>
    <n v="5.6557999999999993"/>
    <n v="1060357"/>
    <n v="4.5277203809660329E-3"/>
    <n v="41177"/>
  </r>
  <r>
    <s v="P198"/>
    <s v="Twitter"/>
    <d v="2024-09-14T00:00:00"/>
    <s v="Image"/>
    <s v="Check out our latest image on twitter!"/>
    <n v="1048"/>
    <n v="374"/>
    <n v="450"/>
    <n v="9432"/>
    <n v="8882"/>
    <n v="158"/>
    <s v="#TeslaCoInnovation"/>
    <x v="3"/>
    <n v="53484"/>
    <n v="12307"/>
    <n v="5.6557999999999993"/>
    <n v="1060357"/>
    <n v="1.1373527972182954E-3"/>
    <n v="41177"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#TeslaCoInnovation"/>
    <x v="1"/>
    <n v="47471"/>
    <n v="12104"/>
    <n v="5.5587999999999997"/>
    <n v="1228647"/>
    <n v="2.2675349388392271E-3"/>
    <n v="35367"/>
  </r>
  <r>
    <s v="P200"/>
    <s v="Facebook"/>
    <d v="2025-04-07T00:00:00"/>
    <s v="Reel"/>
    <s v="Check out our latest reel on facebook!"/>
    <n v="3718"/>
    <n v="385"/>
    <n v="310"/>
    <n v="70642"/>
    <n v="69749"/>
    <n v="233"/>
    <s v="#TeslaCoInnovation"/>
    <x v="1"/>
    <n v="50862"/>
    <n v="15305"/>
    <n v="5.6486000000000001"/>
    <n v="1379539"/>
    <n v="2.8640002203634695E-3"/>
    <n v="35557"/>
  </r>
  <r>
    <s v="P201"/>
    <s v="Twitter"/>
    <d v="2025-01-15T00:00:00"/>
    <s v="Reel"/>
    <s v="Check out our latest reel on twitter!"/>
    <n v="802"/>
    <n v="262"/>
    <n v="244"/>
    <n v="14436"/>
    <n v="14280"/>
    <n v="49"/>
    <s v="#EVRevolution"/>
    <x v="0"/>
    <n v="53484"/>
    <n v="12307"/>
    <n v="5.6557999999999993"/>
    <n v="1060357"/>
    <n v="8.0255989256448532E-4"/>
    <n v="41177"/>
  </r>
  <r>
    <s v="P202"/>
    <s v="Facebook"/>
    <d v="2024-06-02T00:00:00"/>
    <s v="Image"/>
    <s v="Check out our latest image on facebook!"/>
    <n v="1871"/>
    <n v="252"/>
    <n v="335"/>
    <n v="29936"/>
    <n v="29576"/>
    <n v="288"/>
    <s v="#EVRevolution"/>
    <x v="3"/>
    <n v="50862"/>
    <n v="15305"/>
    <n v="5.6486000000000001"/>
    <n v="1379539"/>
    <n v="1.5650155595456163E-3"/>
    <n v="35557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#FutureOfDriving"/>
    <x v="0"/>
    <n v="58311"/>
    <n v="10307"/>
    <n v="5.7155999999999993"/>
    <n v="1164373"/>
    <n v="3.485996325919615E-3"/>
    <n v="48004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#FutureOfDriving"/>
    <x v="3"/>
    <n v="58311"/>
    <n v="10307"/>
    <n v="5.7155999999999993"/>
    <n v="1164373"/>
    <n v="2.0886777690654113E-3"/>
    <n v="48004"/>
  </r>
  <r>
    <s v="P205"/>
    <s v="Twitter"/>
    <d v="2025-04-24T00:00:00"/>
    <s v="Video"/>
    <s v="Check out our latest video on twitter!"/>
    <n v="3820"/>
    <n v="697"/>
    <n v="268"/>
    <n v="45840"/>
    <n v="45631"/>
    <n v="171"/>
    <s v="#TeslaCoInnovation"/>
    <x v="2"/>
    <n v="53484"/>
    <n v="12307"/>
    <n v="5.6557999999999993"/>
    <n v="1060357"/>
    <n v="3.7638267111925511E-3"/>
    <n v="41177"/>
  </r>
  <r>
    <s v="P206"/>
    <s v="Twitter"/>
    <d v="2024-06-24T00:00:00"/>
    <s v="Text"/>
    <s v="Check out our latest text on twitter!"/>
    <n v="941"/>
    <n v="121"/>
    <n v="458"/>
    <n v="14115"/>
    <n v="13838"/>
    <n v="87"/>
    <s v="#EVRevolution"/>
    <x v="0"/>
    <n v="53484"/>
    <n v="12307"/>
    <n v="5.6557999999999993"/>
    <n v="1060357"/>
    <n v="9.6948480558906101E-4"/>
    <n v="41177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#TeslaCoInnovation"/>
    <x v="3"/>
    <n v="53484"/>
    <n v="12307"/>
    <n v="5.6557999999999993"/>
    <n v="1060357"/>
    <n v="4.1523750963119027E-3"/>
    <n v="41177"/>
  </r>
  <r>
    <s v="P208"/>
    <s v="YouTube"/>
    <d v="2024-06-24T00:00:00"/>
    <s v="Video"/>
    <s v="Check out our latest video on youtube!"/>
    <n v="2949"/>
    <n v="476"/>
    <n v="403"/>
    <n v="44235"/>
    <n v="43705"/>
    <n v="135"/>
    <s v="#TeslaCoInnovation"/>
    <x v="1"/>
    <n v="47471"/>
    <n v="12104"/>
    <n v="5.5587999999999997"/>
    <n v="1228647"/>
    <n v="2.5100781591457923E-3"/>
    <n v="35367"/>
  </r>
  <r>
    <s v="P209"/>
    <s v="Twitter"/>
    <d v="2025-03-19T00:00:00"/>
    <s v="Video"/>
    <s v="Check out our latest video on twitter!"/>
    <n v="3160"/>
    <n v="204"/>
    <n v="297"/>
    <n v="44240"/>
    <n v="43666"/>
    <n v="49"/>
    <s v="#FutureOfDriving"/>
    <x v="2"/>
    <n v="53484"/>
    <n v="12307"/>
    <n v="5.6557999999999993"/>
    <n v="1060357"/>
    <n v="3.0263392423495105E-3"/>
    <n v="41177"/>
  </r>
  <r>
    <s v="P210"/>
    <s v="YouTube"/>
    <d v="2025-02-19T00:00:00"/>
    <s v="Image"/>
    <s v="Check out our latest image on youtube!"/>
    <n v="257"/>
    <n v="966"/>
    <n v="398"/>
    <n v="3341"/>
    <n v="2753"/>
    <n v="287"/>
    <s v="#FutureOfDriving"/>
    <x v="0"/>
    <n v="47471"/>
    <n v="12104"/>
    <n v="5.5587999999999997"/>
    <n v="1228647"/>
    <n v="4.4276346257305803E-4"/>
    <n v="35367"/>
  </r>
  <r>
    <s v="P211"/>
    <s v="Twitter"/>
    <d v="2024-07-18T00:00:00"/>
    <s v="Carousel"/>
    <s v="Check out our latest carousel on twitter!"/>
    <n v="2120"/>
    <n v="38"/>
    <n v="212"/>
    <n v="12720"/>
    <n v="12564"/>
    <n v="21"/>
    <s v="#FutureOfDriving"/>
    <x v="2"/>
    <n v="53484"/>
    <n v="12307"/>
    <n v="5.6557999999999993"/>
    <n v="1060357"/>
    <n v="2.0191312925741047E-3"/>
    <n v="41177"/>
  </r>
  <r>
    <s v="P212"/>
    <s v="YouTube"/>
    <d v="2025-03-03T00:00:00"/>
    <s v="Video"/>
    <s v="Check out our latest video on youtube!"/>
    <n v="3874"/>
    <n v="884"/>
    <n v="19"/>
    <n v="38740"/>
    <n v="38552"/>
    <n v="219"/>
    <s v="#TeslaCoInnovation"/>
    <x v="1"/>
    <n v="47471"/>
    <n v="12104"/>
    <n v="5.5587999999999997"/>
    <n v="1228647"/>
    <n v="3.3313067138079529E-3"/>
    <n v="35367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#EVRevolution"/>
    <x v="2"/>
    <n v="50862"/>
    <n v="15305"/>
    <n v="5.6486000000000001"/>
    <n v="1379539"/>
    <n v="2.1340462284864725E-3"/>
    <n v="35557"/>
  </r>
  <r>
    <s v="P214"/>
    <s v="Instagram"/>
    <d v="2024-12-23T00:00:00"/>
    <s v="Image"/>
    <s v="Check out our latest image on instagram!"/>
    <n v="521"/>
    <n v="746"/>
    <n v="315"/>
    <n v="4168"/>
    <n v="3399"/>
    <n v="282"/>
    <s v="#FutureOfDriving"/>
    <x v="1"/>
    <n v="58311"/>
    <n v="10307"/>
    <n v="5.7155999999999993"/>
    <n v="1164373"/>
    <n v="6.896415495721732E-4"/>
    <n v="48004"/>
  </r>
  <r>
    <s v="P215"/>
    <s v="Facebook"/>
    <d v="2025-05-06T00:00:00"/>
    <s v="Image"/>
    <s v="Check out our latest image on facebook!"/>
    <n v="4872"/>
    <n v="925"/>
    <n v="176"/>
    <n v="82824"/>
    <n v="82543"/>
    <n v="89"/>
    <s v="#EVRevolution"/>
    <x v="1"/>
    <n v="50862"/>
    <n v="15305"/>
    <n v="5.6486000000000001"/>
    <n v="1379539"/>
    <n v="3.596128851739603E-3"/>
    <n v="35557"/>
  </r>
  <r>
    <s v="P216"/>
    <s v="YouTube"/>
    <d v="2024-07-29T00:00:00"/>
    <s v="Story"/>
    <s v="Check out our latest story on youtube!"/>
    <n v="1509"/>
    <n v="88"/>
    <n v="163"/>
    <n v="30180"/>
    <n v="29689"/>
    <n v="119"/>
    <s v="#EVRevolution"/>
    <x v="1"/>
    <n v="47471"/>
    <n v="12104"/>
    <n v="5.5587999999999997"/>
    <n v="1228647"/>
    <n v="1.325034774023784E-3"/>
    <n v="35367"/>
  </r>
  <r>
    <s v="P217"/>
    <s v="Facebook"/>
    <d v="2024-12-03T00:00:00"/>
    <s v="Image"/>
    <s v="Check out our latest image on facebook!"/>
    <n v="4606"/>
    <n v="931"/>
    <n v="230"/>
    <n v="92120"/>
    <n v="91440"/>
    <n v="56"/>
    <s v="#TeslaCoInnovation"/>
    <x v="4"/>
    <n v="50862"/>
    <n v="15305"/>
    <n v="5.6486000000000001"/>
    <n v="1379539"/>
    <n v="3.3793897816589455E-3"/>
    <n v="35557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#TeslaCoInnovation"/>
    <x v="2"/>
    <n v="50862"/>
    <n v="15305"/>
    <n v="5.6486000000000001"/>
    <n v="1379539"/>
    <n v="1.5541423620499312E-3"/>
    <n v="35557"/>
  </r>
  <r>
    <s v="P219"/>
    <s v="Twitter"/>
    <d v="2025-01-28T00:00:00"/>
    <s v="Reel"/>
    <s v="Check out our latest reel on twitter!"/>
    <n v="1188"/>
    <n v="470"/>
    <n v="174"/>
    <n v="7128"/>
    <n v="6145"/>
    <n v="270"/>
    <s v="#TeslaCoInnovation"/>
    <x v="2"/>
    <n v="53484"/>
    <n v="12307"/>
    <n v="5.6557999999999993"/>
    <n v="1060357"/>
    <n v="1.3750086055922676E-3"/>
    <n v="41177"/>
  </r>
  <r>
    <s v="P220"/>
    <s v="Instagram"/>
    <d v="2024-06-02T00:00:00"/>
    <s v="Story"/>
    <s v="Check out our latest story on instagram!"/>
    <n v="84"/>
    <n v="897"/>
    <n v="85"/>
    <n v="588"/>
    <n v="8"/>
    <n v="12"/>
    <s v="#EVRevolution"/>
    <x v="4"/>
    <n v="58311"/>
    <n v="10307"/>
    <n v="5.7155999999999993"/>
    <n v="1164373"/>
    <n v="8.2447806673634647E-5"/>
    <n v="48004"/>
  </r>
  <r>
    <s v="P221"/>
    <s v="Facebook"/>
    <d v="2025-03-23T00:00:00"/>
    <s v="Video"/>
    <s v="Check out our latest video on facebook!"/>
    <n v="4453"/>
    <n v="111"/>
    <n v="420"/>
    <n v="31171"/>
    <n v="30565"/>
    <n v="23"/>
    <s v="#TeslaCoInnovation"/>
    <x v="4"/>
    <n v="50862"/>
    <n v="15305"/>
    <n v="5.6486000000000001"/>
    <n v="1379539"/>
    <n v="3.2445621327124494E-3"/>
    <n v="35557"/>
  </r>
  <r>
    <s v="P222"/>
    <s v="Facebook"/>
    <d v="2024-10-08T00:00:00"/>
    <s v="Reel"/>
    <s v="Check out our latest reel on facebook!"/>
    <n v="1814"/>
    <n v="653"/>
    <n v="363"/>
    <n v="25396"/>
    <n v="25286"/>
    <n v="39"/>
    <s v="#FutureOfDriving"/>
    <x v="0"/>
    <n v="50862"/>
    <n v="15305"/>
    <n v="5.6486000000000001"/>
    <n v="1379539"/>
    <n v="1.3432023306336391E-3"/>
    <n v="35557"/>
  </r>
  <r>
    <s v="P223"/>
    <s v="Twitter"/>
    <d v="2024-11-12T00:00:00"/>
    <s v="Image"/>
    <s v="Check out our latest image on twitter!"/>
    <n v="3338"/>
    <n v="277"/>
    <n v="118"/>
    <n v="60084"/>
    <n v="59842"/>
    <n v="252"/>
    <s v="#TeslaCoInnovation"/>
    <x v="4"/>
    <n v="53484"/>
    <n v="12307"/>
    <n v="5.6557999999999993"/>
    <n v="1060357"/>
    <n v="3.3856521907244448E-3"/>
    <n v="41177"/>
  </r>
  <r>
    <s v="P224"/>
    <s v="Facebook"/>
    <d v="2025-05-13T00:00:00"/>
    <s v="Image"/>
    <s v="Check out our latest image on facebook!"/>
    <n v="602"/>
    <n v="594"/>
    <n v="156"/>
    <n v="4214"/>
    <n v="3363"/>
    <n v="164"/>
    <s v="#TeslaCoInnovation"/>
    <x v="3"/>
    <n v="50862"/>
    <n v="15305"/>
    <n v="5.6486000000000001"/>
    <n v="1379539"/>
    <n v="5.5525795211298847E-4"/>
    <n v="35557"/>
  </r>
  <r>
    <s v="P225"/>
    <s v="Twitter"/>
    <d v="2024-06-20T00:00:00"/>
    <s v="Carousel"/>
    <s v="Check out our latest carousel on twitter!"/>
    <n v="4672"/>
    <n v="325"/>
    <n v="32"/>
    <n v="88768"/>
    <n v="87833"/>
    <n v="118"/>
    <s v="#EVRevolution"/>
    <x v="4"/>
    <n v="53484"/>
    <n v="12307"/>
    <n v="5.6557999999999993"/>
    <n v="1060357"/>
    <n v="4.517346516314788E-3"/>
    <n v="41177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#TeslaCoInnovation"/>
    <x v="4"/>
    <n v="58311"/>
    <n v="10307"/>
    <n v="5.7155999999999993"/>
    <n v="1164373"/>
    <n v="1.5991439169407054E-3"/>
    <n v="48004"/>
  </r>
  <r>
    <s v="P227"/>
    <s v="Instagram"/>
    <d v="2024-06-12T00:00:00"/>
    <s v="Text"/>
    <s v="Check out our latest text on instagram!"/>
    <n v="246"/>
    <n v="149"/>
    <n v="130"/>
    <n v="4674"/>
    <n v="4390"/>
    <n v="217"/>
    <s v="#FutureOfDriving"/>
    <x v="3"/>
    <n v="58311"/>
    <n v="10307"/>
    <n v="5.7155999999999993"/>
    <n v="1164373"/>
    <n v="3.9763890093638378E-4"/>
    <n v="48004"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#EVRevolution"/>
    <x v="0"/>
    <n v="58311"/>
    <n v="10307"/>
    <n v="5.7155999999999993"/>
    <n v="1164373"/>
    <n v="4.2967330915436889E-3"/>
    <n v="48004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#TeslaCoInnovation"/>
    <x v="4"/>
    <n v="58311"/>
    <n v="10307"/>
    <n v="5.7155999999999993"/>
    <n v="1164373"/>
    <n v="4.2228735980652252E-3"/>
    <n v="48004"/>
  </r>
  <r>
    <s v="P230"/>
    <s v="Facebook"/>
    <d v="2024-07-15T00:00:00"/>
    <s v="Reel"/>
    <s v="Check out our latest reel on facebook!"/>
    <n v="3663"/>
    <n v="17"/>
    <n v="295"/>
    <n v="51282"/>
    <n v="50567"/>
    <n v="84"/>
    <s v="#EVRevolution"/>
    <x v="3"/>
    <n v="50862"/>
    <n v="15305"/>
    <n v="5.6486000000000001"/>
    <n v="1379539"/>
    <n v="2.716124734422151E-3"/>
    <n v="35557"/>
  </r>
  <r>
    <s v="P231"/>
    <s v="Instagram"/>
    <d v="2025-05-01T00:00:00"/>
    <s v="Text"/>
    <s v="Check out our latest text on instagram!"/>
    <n v="1430"/>
    <n v="376"/>
    <n v="33"/>
    <n v="21450"/>
    <n v="20509"/>
    <n v="251"/>
    <s v="#FutureOfDriving"/>
    <x v="0"/>
    <n v="58311"/>
    <n v="10307"/>
    <n v="5.7155999999999993"/>
    <n v="1164373"/>
    <n v="1.4436954481081234E-3"/>
    <n v="48004"/>
  </r>
  <r>
    <s v="P232"/>
    <s v="Twitter"/>
    <d v="2025-04-29T00:00:00"/>
    <s v="Story"/>
    <s v="Check out our latest story on twitter!"/>
    <n v="249"/>
    <n v="592"/>
    <n v="230"/>
    <n v="1494"/>
    <n v="1044"/>
    <n v="201"/>
    <s v="#EVRevolution"/>
    <x v="2"/>
    <n v="53484"/>
    <n v="12307"/>
    <n v="5.6557999999999993"/>
    <n v="1060357"/>
    <n v="4.2438537209637888E-4"/>
    <n v="41177"/>
  </r>
  <r>
    <s v="P233"/>
    <s v="Facebook"/>
    <d v="2025-03-08T00:00:00"/>
    <s v="Image"/>
    <s v="Check out our latest image on facebook!"/>
    <n v="2382"/>
    <n v="265"/>
    <n v="134"/>
    <n v="38112"/>
    <n v="37437"/>
    <n v="249"/>
    <s v="#FutureOfDriving"/>
    <x v="2"/>
    <n v="50862"/>
    <n v="15305"/>
    <n v="5.6486000000000001"/>
    <n v="1379539"/>
    <n v="1.9071588407431758E-3"/>
    <n v="35557"/>
  </r>
  <r>
    <s v="P234"/>
    <s v="Facebook"/>
    <d v="2024-06-01T00:00:00"/>
    <s v="Text"/>
    <s v="Check out our latest text on facebook!"/>
    <n v="1272"/>
    <n v="465"/>
    <n v="99"/>
    <n v="24168"/>
    <n v="23719"/>
    <n v="42"/>
    <s v="#TeslaCoInnovation"/>
    <x v="4"/>
    <n v="50862"/>
    <n v="15305"/>
    <n v="5.6486000000000001"/>
    <n v="1379539"/>
    <n v="9.5249210062201938E-4"/>
    <n v="35557"/>
  </r>
  <r>
    <s v="P235"/>
    <s v="Facebook"/>
    <d v="2024-12-22T00:00:00"/>
    <s v="Image"/>
    <s v="Check out our latest image on facebook!"/>
    <n v="3196"/>
    <n v="941"/>
    <n v="376"/>
    <n v="35156"/>
    <n v="34444"/>
    <n v="241"/>
    <s v="#TeslaCoInnovation"/>
    <x v="3"/>
    <n v="50862"/>
    <n v="15305"/>
    <n v="5.6486000000000001"/>
    <n v="1379539"/>
    <n v="2.4914119861779915E-3"/>
    <n v="35557"/>
  </r>
  <r>
    <s v="P236"/>
    <s v="Facebook"/>
    <d v="2024-08-19T00:00:00"/>
    <s v="Text"/>
    <s v="Check out our latest text on facebook!"/>
    <n v="1257"/>
    <n v="19"/>
    <n v="351"/>
    <n v="12570"/>
    <n v="11660"/>
    <n v="194"/>
    <s v="#FutureOfDriving"/>
    <x v="1"/>
    <n v="50862"/>
    <n v="15305"/>
    <n v="5.6486000000000001"/>
    <n v="1379539"/>
    <n v="1.0518006377492771E-3"/>
    <n v="35557"/>
  </r>
  <r>
    <s v="P237"/>
    <s v="Instagram"/>
    <d v="2024-10-22T00:00:00"/>
    <s v="Story"/>
    <s v="Check out our latest story on instagram!"/>
    <n v="3770"/>
    <n v="917"/>
    <n v="129"/>
    <n v="71630"/>
    <n v="71322"/>
    <n v="76"/>
    <s v="#FutureOfDriving"/>
    <x v="0"/>
    <n v="58311"/>
    <n v="10307"/>
    <n v="5.7155999999999993"/>
    <n v="1164373"/>
    <n v="3.3030652548624883E-3"/>
    <n v="48004"/>
  </r>
  <r>
    <s v="P238"/>
    <s v="Twitter"/>
    <d v="2024-07-16T00:00:00"/>
    <s v="Text"/>
    <s v="Check out our latest text on twitter!"/>
    <n v="4725"/>
    <n v="400"/>
    <n v="362"/>
    <n v="75600"/>
    <n v="74927"/>
    <n v="43"/>
    <s v="#FutureOfDriving"/>
    <x v="2"/>
    <n v="53484"/>
    <n v="12307"/>
    <n v="5.6557999999999993"/>
    <n v="1060357"/>
    <n v="4.4965987870122983E-3"/>
    <n v="41177"/>
  </r>
  <r>
    <s v="P239"/>
    <s v="YouTube"/>
    <d v="2025-02-24T00:00:00"/>
    <s v="Text"/>
    <s v="Check out our latest text on youtube!"/>
    <n v="4188"/>
    <n v="942"/>
    <n v="118"/>
    <n v="20940"/>
    <n v="20471"/>
    <n v="102"/>
    <s v="#FutureOfDriving"/>
    <x v="4"/>
    <n v="47471"/>
    <n v="12104"/>
    <n v="5.5587999999999997"/>
    <n v="1228647"/>
    <n v="3.4916456883059169E-3"/>
    <n v="35367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#EVRevolution"/>
    <x v="3"/>
    <n v="53484"/>
    <n v="12307"/>
    <n v="5.6557999999999993"/>
    <n v="1060357"/>
    <n v="1.0128664214033576E-3"/>
    <n v="41177"/>
  </r>
  <r>
    <s v="P241"/>
    <s v="Facebook"/>
    <d v="2025-01-18T00:00:00"/>
    <s v="Story"/>
    <s v="Check out our latest story on facebook!"/>
    <n v="4321"/>
    <n v="874"/>
    <n v="172"/>
    <n v="30247"/>
    <n v="29254"/>
    <n v="122"/>
    <s v="#TeslaCoInnovation"/>
    <x v="2"/>
    <n v="50862"/>
    <n v="15305"/>
    <n v="5.6486000000000001"/>
    <n v="1379539"/>
    <n v="3.2206410982219421E-3"/>
    <n v="35557"/>
  </r>
  <r>
    <s v="P242"/>
    <s v="Facebook"/>
    <d v="2024-07-07T00:00:00"/>
    <s v="Reel"/>
    <s v="Check out our latest reel on facebook!"/>
    <n v="4767"/>
    <n v="190"/>
    <n v="340"/>
    <n v="28602"/>
    <n v="28044"/>
    <n v="210"/>
    <s v="#EVRevolution"/>
    <x v="3"/>
    <n v="50862"/>
    <n v="15305"/>
    <n v="5.6486000000000001"/>
    <n v="1379539"/>
    <n v="3.6077269290683339E-3"/>
    <n v="35557"/>
  </r>
  <r>
    <s v="P243"/>
    <s v="Twitter"/>
    <d v="2025-03-06T00:00:00"/>
    <s v="Image"/>
    <s v="Check out our latest image on twitter!"/>
    <n v="3592"/>
    <n v="911"/>
    <n v="375"/>
    <n v="50288"/>
    <n v="49490"/>
    <n v="32"/>
    <s v="#FutureOfDriving"/>
    <x v="2"/>
    <n v="53484"/>
    <n v="12307"/>
    <n v="5.6557999999999993"/>
    <n v="1060357"/>
    <n v="3.4177168632828379E-3"/>
    <n v="41177"/>
  </r>
  <r>
    <s v="P244"/>
    <s v="YouTube"/>
    <d v="2024-10-25T00:00:00"/>
    <s v="Video"/>
    <s v="Check out our latest video on youtube!"/>
    <n v="4661"/>
    <n v="935"/>
    <n v="433"/>
    <n v="23305"/>
    <n v="22583"/>
    <n v="63"/>
    <s v="#FutureOfDriving"/>
    <x v="3"/>
    <n v="47471"/>
    <n v="12104"/>
    <n v="5.5587999999999997"/>
    <n v="1228647"/>
    <n v="3.8448797742557462E-3"/>
    <n v="35367"/>
  </r>
  <r>
    <s v="P245"/>
    <s v="Facebook"/>
    <d v="2025-01-12T00:00:00"/>
    <s v="Reel"/>
    <s v="Check out our latest reel on facebook!"/>
    <n v="4134"/>
    <n v="824"/>
    <n v="99"/>
    <n v="41340"/>
    <n v="41050"/>
    <n v="177"/>
    <s v="#EVRevolution"/>
    <x v="0"/>
    <n v="50862"/>
    <n v="15305"/>
    <n v="5.6486000000000001"/>
    <n v="1379539"/>
    <n v="3.1249569602599127E-3"/>
    <n v="35557"/>
  </r>
  <r>
    <s v="P246"/>
    <s v="Facebook"/>
    <d v="2024-10-11T00:00:00"/>
    <s v="Image"/>
    <s v="Check out our latest image on facebook!"/>
    <n v="400"/>
    <n v="680"/>
    <n v="434"/>
    <n v="6400"/>
    <n v="5472"/>
    <n v="160"/>
    <s v="#FutureOfDriving"/>
    <x v="1"/>
    <n v="50862"/>
    <n v="15305"/>
    <n v="5.6486000000000001"/>
    <n v="1379539"/>
    <n v="4.0593270650557905E-4"/>
    <n v="35557"/>
  </r>
  <r>
    <s v="P247"/>
    <s v="Facebook"/>
    <d v="2024-08-27T00:00:00"/>
    <s v="Reel"/>
    <s v="Check out our latest reel on facebook!"/>
    <n v="3960"/>
    <n v="266"/>
    <n v="8"/>
    <n v="35640"/>
    <n v="34850"/>
    <n v="208"/>
    <s v="#FutureOfDriving"/>
    <x v="4"/>
    <n v="50862"/>
    <n v="15305"/>
    <n v="5.6486000000000001"/>
    <n v="1379539"/>
    <n v="3.0212991441343809E-3"/>
    <n v="35557"/>
  </r>
  <r>
    <s v="P248"/>
    <s v="Facebook"/>
    <d v="2025-02-02T00:00:00"/>
    <s v="Story"/>
    <s v="Check out our latest story on facebook!"/>
    <n v="886"/>
    <n v="126"/>
    <n v="153"/>
    <n v="4430"/>
    <n v="4037"/>
    <n v="212"/>
    <s v="#EVRevolution"/>
    <x v="4"/>
    <n v="50862"/>
    <n v="15305"/>
    <n v="5.6486000000000001"/>
    <n v="1379539"/>
    <n v="7.959180566841532E-4"/>
    <n v="35557"/>
  </r>
  <r>
    <s v="P249"/>
    <s v="Twitter"/>
    <d v="2024-07-18T00:00:00"/>
    <s v="Image"/>
    <s v="Check out our latest image on twitter!"/>
    <n v="827"/>
    <n v="77"/>
    <n v="402"/>
    <n v="14886"/>
    <n v="14129"/>
    <n v="254"/>
    <s v="#EVRevolution"/>
    <x v="1"/>
    <n v="53484"/>
    <n v="12307"/>
    <n v="5.6557999999999993"/>
    <n v="1060357"/>
    <n v="1.0194679716359679E-3"/>
    <n v="41177"/>
  </r>
  <r>
    <s v="P250"/>
    <s v="Facebook"/>
    <d v="2024-06-22T00:00:00"/>
    <s v="Reel"/>
    <s v="Check out our latest reel on facebook!"/>
    <n v="3813"/>
    <n v="935"/>
    <n v="274"/>
    <n v="68634"/>
    <n v="68488"/>
    <n v="251"/>
    <s v="#FutureOfDriving"/>
    <x v="4"/>
    <n v="50862"/>
    <n v="15305"/>
    <n v="5.6486000000000001"/>
    <n v="1379539"/>
    <n v="2.9459116414976309E-3"/>
    <n v="35557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#FutureOfDriving"/>
    <x v="4"/>
    <n v="58311"/>
    <n v="10307"/>
    <n v="5.7155999999999993"/>
    <n v="1164373"/>
    <n v="1.3449298463636653E-3"/>
    <n v="48004"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#FutureOfDriving"/>
    <x v="3"/>
    <n v="50862"/>
    <n v="15305"/>
    <n v="5.6486000000000001"/>
    <n v="1379539"/>
    <n v="1.5606662805473424E-3"/>
    <n v="35557"/>
  </r>
  <r>
    <s v="P253"/>
    <s v="Twitter"/>
    <d v="2024-08-03T00:00:00"/>
    <s v="Reel"/>
    <s v="Check out our latest reel on twitter!"/>
    <n v="3791"/>
    <n v="593"/>
    <n v="228"/>
    <n v="53074"/>
    <n v="52613"/>
    <n v="205"/>
    <s v="#EVRevolution"/>
    <x v="4"/>
    <n v="53484"/>
    <n v="12307"/>
    <n v="5.6557999999999993"/>
    <n v="1060357"/>
    <n v="3.7685421042158444E-3"/>
    <n v="41177"/>
  </r>
  <r>
    <s v="P254"/>
    <s v="Twitter"/>
    <d v="2025-01-14T00:00:00"/>
    <s v="Image"/>
    <s v="Check out our latest image on twitter!"/>
    <n v="2692"/>
    <n v="115"/>
    <n v="64"/>
    <n v="21536"/>
    <n v="21120"/>
    <n v="224"/>
    <s v="#FutureOfDriving"/>
    <x v="1"/>
    <n v="53484"/>
    <n v="12307"/>
    <n v="5.6557999999999993"/>
    <n v="1060357"/>
    <n v="2.7500172111845351E-3"/>
    <n v="41177"/>
  </r>
  <r>
    <s v="P255"/>
    <s v="Facebook"/>
    <d v="2025-04-03T00:00:00"/>
    <s v="Story"/>
    <s v="Check out our latest story on facebook!"/>
    <n v="3767"/>
    <n v="514"/>
    <n v="238"/>
    <n v="37670"/>
    <n v="36807"/>
    <n v="226"/>
    <s v="#FutureOfDriving"/>
    <x v="2"/>
    <n v="50862"/>
    <n v="15305"/>
    <n v="5.6486000000000001"/>
    <n v="1379539"/>
    <n v="2.8944451733513878E-3"/>
    <n v="35557"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#EVRevolution"/>
    <x v="1"/>
    <n v="47471"/>
    <n v="12104"/>
    <n v="5.5587999999999997"/>
    <n v="1228647"/>
    <n v="1.9460430864194516E-3"/>
    <n v="35367"/>
  </r>
  <r>
    <s v="P257"/>
    <s v="Facebook"/>
    <d v="2025-04-06T00:00:00"/>
    <s v="Image"/>
    <s v="Check out our latest image on facebook!"/>
    <n v="3090"/>
    <n v="697"/>
    <n v="164"/>
    <n v="49440"/>
    <n v="48524"/>
    <n v="25"/>
    <s v="#EVRevolution"/>
    <x v="1"/>
    <n v="50862"/>
    <n v="15305"/>
    <n v="5.6486000000000001"/>
    <n v="1379539"/>
    <n v="2.2580006799372836E-3"/>
    <n v="35557"/>
  </r>
  <r>
    <s v="P258"/>
    <s v="Instagram"/>
    <d v="2024-08-05T00:00:00"/>
    <s v="Story"/>
    <s v="Check out our latest story on instagram!"/>
    <n v="3601"/>
    <n v="695"/>
    <n v="75"/>
    <n v="21606"/>
    <n v="21454"/>
    <n v="172"/>
    <s v="#EVRevolution"/>
    <x v="1"/>
    <n v="58311"/>
    <n v="10307"/>
    <n v="5.7155999999999993"/>
    <n v="1164373"/>
    <n v="3.2403705685377453E-3"/>
    <n v="48004"/>
  </r>
  <r>
    <s v="P259"/>
    <s v="Facebook"/>
    <d v="2025-02-10T00:00:00"/>
    <s v="Text"/>
    <s v="Check out our latest text on facebook!"/>
    <n v="562"/>
    <n v="158"/>
    <n v="149"/>
    <n v="3372"/>
    <n v="2940"/>
    <n v="93"/>
    <s v="#TeslaCoInnovation"/>
    <x v="0"/>
    <n v="50862"/>
    <n v="15305"/>
    <n v="5.6486000000000001"/>
    <n v="1379539"/>
    <n v="4.7479629064491833E-4"/>
    <n v="35557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#TeslaCoInnovation"/>
    <x v="3"/>
    <n v="58311"/>
    <n v="10307"/>
    <n v="5.7155999999999993"/>
    <n v="1164373"/>
    <n v="3.7290455893429341E-3"/>
    <n v="48004"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#EVRevolution"/>
    <x v="0"/>
    <n v="58311"/>
    <n v="10307"/>
    <n v="5.7155999999999993"/>
    <n v="1164373"/>
    <n v="4.3139097179340294E-3"/>
    <n v="48004"/>
  </r>
  <r>
    <s v="P262"/>
    <s v="YouTube"/>
    <d v="2025-01-18T00:00:00"/>
    <s v="Image"/>
    <s v="Check out our latest image on youtube!"/>
    <n v="1206"/>
    <n v="238"/>
    <n v="36"/>
    <n v="9648"/>
    <n v="9417"/>
    <n v="237"/>
    <s v="#TeslaCoInnovation"/>
    <x v="4"/>
    <n v="47471"/>
    <n v="12104"/>
    <n v="5.5587999999999997"/>
    <n v="1228647"/>
    <n v="1.1744626406119904E-3"/>
    <n v="35367"/>
  </r>
  <r>
    <s v="P263"/>
    <s v="Instagram"/>
    <d v="2024-08-20T00:00:00"/>
    <s v="Reel"/>
    <s v="Check out our latest reel on instagram!"/>
    <n v="2603"/>
    <n v="690"/>
    <n v="205"/>
    <n v="13015"/>
    <n v="12130"/>
    <n v="20"/>
    <s v="#FutureOfDriving"/>
    <x v="1"/>
    <n v="58311"/>
    <n v="10307"/>
    <n v="5.7155999999999993"/>
    <n v="1164373"/>
    <n v="2.2527145510931636E-3"/>
    <n v="48004"/>
  </r>
  <r>
    <s v="P264"/>
    <s v="Twitter"/>
    <d v="2025-01-30T00:00:00"/>
    <s v="Image"/>
    <s v="Check out our latest image on twitter!"/>
    <n v="59"/>
    <n v="163"/>
    <n v="93"/>
    <n v="590"/>
    <n v="475"/>
    <n v="293"/>
    <s v="#TeslaCoInnovation"/>
    <x v="1"/>
    <n v="53484"/>
    <n v="12307"/>
    <n v="5.6557999999999993"/>
    <n v="1060357"/>
    <n v="3.3196366883983411E-4"/>
    <n v="41177"/>
  </r>
  <r>
    <s v="P265"/>
    <s v="Twitter"/>
    <d v="2025-02-20T00:00:00"/>
    <s v="Carousel"/>
    <s v="Check out our latest carousel on twitter!"/>
    <n v="1877"/>
    <n v="745"/>
    <n v="225"/>
    <n v="11262"/>
    <n v="10967"/>
    <n v="41"/>
    <s v="#EVRevolution"/>
    <x v="2"/>
    <n v="53484"/>
    <n v="12307"/>
    <n v="5.6557999999999993"/>
    <n v="1060357"/>
    <n v="1.8088247637352325E-3"/>
    <n v="41177"/>
  </r>
  <r>
    <s v="P266"/>
    <s v="Facebook"/>
    <d v="2024-11-25T00:00:00"/>
    <s v="Story"/>
    <s v="Check out our latest story on facebook!"/>
    <n v="4182"/>
    <n v="640"/>
    <n v="240"/>
    <n v="50184"/>
    <n v="49351"/>
    <n v="10"/>
    <s v="#TeslaCoInnovation"/>
    <x v="3"/>
    <n v="50862"/>
    <n v="15305"/>
    <n v="5.6486000000000001"/>
    <n v="1379539"/>
    <n v="3.0386962601274773E-3"/>
    <n v="35557"/>
  </r>
  <r>
    <s v="P267"/>
    <s v="Twitter"/>
    <d v="2024-10-04T00:00:00"/>
    <s v="Reel"/>
    <s v="Check out our latest reel on twitter!"/>
    <n v="4187"/>
    <n v="66"/>
    <n v="31"/>
    <n v="66992"/>
    <n v="66614"/>
    <n v="62"/>
    <s v="#FutureOfDriving"/>
    <x v="4"/>
    <n v="53484"/>
    <n v="12307"/>
    <n v="5.6557999999999993"/>
    <n v="1060357"/>
    <n v="4.0071409911944748E-3"/>
    <n v="41177"/>
  </r>
  <r>
    <s v="P268"/>
    <s v="Instagram"/>
    <d v="2025-04-13T00:00:00"/>
    <s v="Reel"/>
    <s v="Check out our latest reel on instagram!"/>
    <n v="4579"/>
    <n v="125"/>
    <n v="300"/>
    <n v="59527"/>
    <n v="59400"/>
    <n v="269"/>
    <s v="#EVRevolution"/>
    <x v="0"/>
    <n v="58311"/>
    <n v="10307"/>
    <n v="5.7155999999999993"/>
    <n v="1164373"/>
    <n v="4.1636142370185501E-3"/>
    <n v="48004"/>
  </r>
  <r>
    <s v="P269"/>
    <s v="Instagram"/>
    <d v="2024-11-05T00:00:00"/>
    <s v="Video"/>
    <s v="Check out our latest video on instagram!"/>
    <n v="4561"/>
    <n v="51"/>
    <n v="441"/>
    <n v="22805"/>
    <n v="21890"/>
    <n v="45"/>
    <s v="#TeslaCoInnovation"/>
    <x v="1"/>
    <n v="58311"/>
    <n v="10307"/>
    <n v="5.7155999999999993"/>
    <n v="1164373"/>
    <n v="3.9557770576954289E-3"/>
    <n v="48004"/>
  </r>
  <r>
    <s v="P270"/>
    <s v="YouTube"/>
    <d v="2025-01-15T00:00:00"/>
    <s v="Reel"/>
    <s v="Check out our latest reel on youtube!"/>
    <n v="3774"/>
    <n v="239"/>
    <n v="39"/>
    <n v="60384"/>
    <n v="59490"/>
    <n v="241"/>
    <s v="#TeslaCoInnovation"/>
    <x v="3"/>
    <n v="47471"/>
    <n v="12104"/>
    <n v="5.5587999999999997"/>
    <n v="1228647"/>
    <n v="3.2678222467478453E-3"/>
    <n v="35367"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#EVRevolution"/>
    <x v="1"/>
    <n v="58311"/>
    <n v="10307"/>
    <n v="5.7155999999999993"/>
    <n v="1164373"/>
    <n v="3.237794074579194E-3"/>
    <n v="48004"/>
  </r>
  <r>
    <s v="P272"/>
    <s v="Instagram"/>
    <d v="2025-03-27T00:00:00"/>
    <s v="Text"/>
    <s v="Check out our latest text on instagram!"/>
    <n v="4941"/>
    <n v="414"/>
    <n v="266"/>
    <n v="39528"/>
    <n v="39154"/>
    <n v="217"/>
    <s v="#TeslaCoInnovation"/>
    <x v="3"/>
    <n v="58311"/>
    <n v="10307"/>
    <n v="5.7155999999999993"/>
    <n v="1164373"/>
    <n v="4.4298519460688286E-3"/>
    <n v="48004"/>
  </r>
  <r>
    <s v="P273"/>
    <s v="YouTube"/>
    <d v="2024-10-12T00:00:00"/>
    <s v="Story"/>
    <s v="Check out our latest story on youtube!"/>
    <n v="3641"/>
    <n v="226"/>
    <n v="46"/>
    <n v="40051"/>
    <n v="39319"/>
    <n v="296"/>
    <s v="#EVRevolution"/>
    <x v="2"/>
    <n v="47471"/>
    <n v="12104"/>
    <n v="5.5587999999999997"/>
    <n v="1228647"/>
    <n v="3.2043377796877378E-3"/>
    <n v="35367"/>
  </r>
  <r>
    <s v="P274"/>
    <s v="Twitter"/>
    <d v="2025-01-01T00:00:00"/>
    <s v="Carousel"/>
    <s v="Check out our latest carousel on twitter!"/>
    <n v="3535"/>
    <n v="494"/>
    <n v="152"/>
    <n v="53025"/>
    <n v="52791"/>
    <n v="44"/>
    <s v="#TeslaCoInnovation"/>
    <x v="2"/>
    <n v="53484"/>
    <n v="12307"/>
    <n v="5.6557999999999993"/>
    <n v="1060357"/>
    <n v="3.3752783260731999E-3"/>
    <n v="41177"/>
  </r>
  <r>
    <s v="P275"/>
    <s v="Facebook"/>
    <d v="2024-08-05T00:00:00"/>
    <s v="Reel"/>
    <s v="Check out our latest reel on facebook!"/>
    <n v="1741"/>
    <n v="831"/>
    <n v="345"/>
    <n v="17410"/>
    <n v="16844"/>
    <n v="58"/>
    <s v="#EVRevolution"/>
    <x v="3"/>
    <n v="50862"/>
    <n v="15305"/>
    <n v="5.6486000000000001"/>
    <n v="1379539"/>
    <n v="1.3040588196491726E-3"/>
    <n v="35557"/>
  </r>
  <r>
    <s v="P276"/>
    <s v="Twitter"/>
    <d v="2024-06-07T00:00:00"/>
    <s v="Carousel"/>
    <s v="Check out our latest carousel on twitter!"/>
    <n v="1556"/>
    <n v="195"/>
    <n v="131"/>
    <n v="9336"/>
    <n v="8875"/>
    <n v="137"/>
    <s v="#TeslaCoInnovation"/>
    <x v="1"/>
    <n v="53484"/>
    <n v="12307"/>
    <n v="5.6557999999999993"/>
    <n v="1060357"/>
    <n v="1.5966320776870432E-3"/>
    <n v="41177"/>
  </r>
  <r>
    <s v="P277"/>
    <s v="Facebook"/>
    <d v="2025-04-06T00:00:00"/>
    <s v="Image"/>
    <s v="Check out our latest image on facebook!"/>
    <n v="4236"/>
    <n v="711"/>
    <n v="298"/>
    <n v="21180"/>
    <n v="20516"/>
    <n v="238"/>
    <s v="#FutureOfDriving"/>
    <x v="0"/>
    <n v="50862"/>
    <n v="15305"/>
    <n v="5.6486000000000001"/>
    <n v="1379539"/>
    <n v="3.2431123730463584E-3"/>
    <n v="35557"/>
  </r>
  <r>
    <s v="P278"/>
    <s v="Twitter"/>
    <d v="2024-11-26T00:00:00"/>
    <s v="Text"/>
    <s v="Check out our latest text on twitter!"/>
    <n v="4516"/>
    <n v="836"/>
    <n v="169"/>
    <n v="49676"/>
    <n v="49257"/>
    <n v="282"/>
    <s v="#EVRevolution"/>
    <x v="2"/>
    <n v="53484"/>
    <n v="12307"/>
    <n v="5.6557999999999993"/>
    <n v="1060357"/>
    <n v="4.5248911451520575E-3"/>
    <n v="41177"/>
  </r>
  <r>
    <s v="P279"/>
    <s v="YouTube"/>
    <d v="2024-09-02T00:00:00"/>
    <s v="Image"/>
    <s v="Check out our latest image on youtube!"/>
    <n v="4905"/>
    <n v="845"/>
    <n v="129"/>
    <n v="98100"/>
    <n v="97772"/>
    <n v="279"/>
    <s v="#TeslaCoInnovation"/>
    <x v="1"/>
    <n v="47471"/>
    <n v="12104"/>
    <n v="5.5587999999999997"/>
    <n v="1228647"/>
    <n v="4.2192753492256117E-3"/>
    <n v="35367"/>
  </r>
  <r>
    <s v="P280"/>
    <s v="YouTube"/>
    <d v="2024-10-21T00:00:00"/>
    <s v="Video"/>
    <s v="Check out our latest video on youtube!"/>
    <n v="4275"/>
    <n v="680"/>
    <n v="385"/>
    <n v="64125"/>
    <n v="63650"/>
    <n v="104"/>
    <s v="#EVRevolution"/>
    <x v="2"/>
    <n v="47471"/>
    <n v="12104"/>
    <n v="5.5587999999999997"/>
    <n v="1228647"/>
    <n v="3.5640830930283476E-3"/>
    <n v="35367"/>
  </r>
  <r>
    <s v="P281"/>
    <s v="YouTube"/>
    <d v="2025-03-22T00:00:00"/>
    <s v="Image"/>
    <s v="Check out our latest image on youtube!"/>
    <n v="3166"/>
    <n v="90"/>
    <n v="341"/>
    <n v="56988"/>
    <n v="56125"/>
    <n v="135"/>
    <s v="#EVRevolution"/>
    <x v="1"/>
    <n v="47471"/>
    <n v="12104"/>
    <n v="5.5587999999999997"/>
    <n v="1228647"/>
    <n v="2.6866952021207067E-3"/>
    <n v="35367"/>
  </r>
  <r>
    <s v="P282"/>
    <s v="Instagram"/>
    <d v="2024-10-03T00:00:00"/>
    <s v="Video"/>
    <s v="Check out our latest video on instagram!"/>
    <n v="1488"/>
    <n v="417"/>
    <n v="168"/>
    <n v="19344"/>
    <n v="18395"/>
    <n v="30"/>
    <s v="#FutureOfDriving"/>
    <x v="3"/>
    <n v="58311"/>
    <n v="10307"/>
    <n v="5.7155999999999993"/>
    <n v="1164373"/>
    <n v="1.3037059430268479E-3"/>
    <n v="48004"/>
  </r>
  <r>
    <s v="P283"/>
    <s v="Twitter"/>
    <d v="2025-05-09T00:00:00"/>
    <s v="Reel"/>
    <s v="Check out our latest reel on twitter!"/>
    <n v="3367"/>
    <n v="302"/>
    <n v="57"/>
    <n v="63973"/>
    <n v="63789"/>
    <n v="157"/>
    <s v="#FutureOfDriving"/>
    <x v="1"/>
    <n v="53484"/>
    <n v="12307"/>
    <n v="5.6557999999999993"/>
    <n v="1060357"/>
    <n v="3.3234090028169756E-3"/>
    <n v="41177"/>
  </r>
  <r>
    <s v="P284"/>
    <s v="Twitter"/>
    <d v="2024-09-17T00:00:00"/>
    <s v="Text"/>
    <s v="Check out our latest text on twitter!"/>
    <n v="571"/>
    <n v="190"/>
    <n v="352"/>
    <n v="9707"/>
    <n v="9418"/>
    <n v="231"/>
    <s v="#TeslaCoInnovation"/>
    <x v="2"/>
    <n v="53484"/>
    <n v="12307"/>
    <n v="5.6557999999999993"/>
    <n v="1060357"/>
    <n v="7.5634904093621299E-4"/>
    <n v="41177"/>
  </r>
  <r>
    <s v="P285"/>
    <s v="YouTube"/>
    <d v="2024-07-18T00:00:00"/>
    <s v="Text"/>
    <s v="Check out our latest text on youtube!"/>
    <n v="4021"/>
    <n v="794"/>
    <n v="77"/>
    <n v="36189"/>
    <n v="35505"/>
    <n v="174"/>
    <s v="#EVRevolution"/>
    <x v="4"/>
    <n v="47471"/>
    <n v="12104"/>
    <n v="5.5587999999999997"/>
    <n v="1228647"/>
    <n v="3.4143248630404016E-3"/>
    <n v="35367"/>
  </r>
  <r>
    <s v="P286"/>
    <s v="YouTube"/>
    <d v="2024-09-25T00:00:00"/>
    <s v="Video"/>
    <s v="Check out our latest video on youtube!"/>
    <n v="3389"/>
    <n v="344"/>
    <n v="229"/>
    <n v="20334"/>
    <n v="19443"/>
    <n v="228"/>
    <s v="#FutureOfDriving"/>
    <x v="3"/>
    <n v="47471"/>
    <n v="12104"/>
    <n v="5.5587999999999997"/>
    <n v="1228647"/>
    <n v="2.9438886840565271E-3"/>
    <n v="35367"/>
  </r>
  <r>
    <s v="P287"/>
    <s v="Instagram"/>
    <d v="2024-08-15T00:00:00"/>
    <s v="Reel"/>
    <s v="Check out our latest reel on instagram!"/>
    <n v="1164"/>
    <n v="616"/>
    <n v="324"/>
    <n v="6984"/>
    <n v="6636"/>
    <n v="82"/>
    <s v="#EVRevolution"/>
    <x v="0"/>
    <n v="58311"/>
    <n v="10307"/>
    <n v="5.7155999999999993"/>
    <n v="1164373"/>
    <n v="1.0701038241182164E-3"/>
    <n v="48004"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#FutureOfDriving"/>
    <x v="3"/>
    <n v="47471"/>
    <n v="12104"/>
    <n v="5.5587999999999997"/>
    <n v="1228647"/>
    <n v="4.1037010630392617E-3"/>
    <n v="35367"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#FutureOfDriving"/>
    <x v="4"/>
    <n v="50862"/>
    <n v="15305"/>
    <n v="5.6486000000000001"/>
    <n v="1379539"/>
    <n v="2.0876539191715493E-3"/>
    <n v="35557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#EVRevolution"/>
    <x v="2"/>
    <n v="58311"/>
    <n v="10307"/>
    <n v="5.7155999999999993"/>
    <n v="1164373"/>
    <n v="1.9735943722501295E-3"/>
    <n v="48004"/>
  </r>
  <r>
    <s v="P291"/>
    <s v="Facebook"/>
    <d v="2024-11-06T00:00:00"/>
    <s v="Video"/>
    <s v="Check out our latest video on facebook!"/>
    <n v="4663"/>
    <n v="145"/>
    <n v="225"/>
    <n v="69945"/>
    <n v="69596"/>
    <n v="35"/>
    <s v="#EVRevolution"/>
    <x v="2"/>
    <n v="50862"/>
    <n v="15305"/>
    <n v="5.6486000000000001"/>
    <n v="1379539"/>
    <n v="3.4054854556485898E-3"/>
    <n v="35557"/>
  </r>
  <r>
    <s v="P292"/>
    <s v="Facebook"/>
    <d v="2024-11-17T00:00:00"/>
    <s v="Text"/>
    <s v="Check out our latest text on facebook!"/>
    <n v="880"/>
    <n v="297"/>
    <n v="345"/>
    <n v="12320"/>
    <n v="11978"/>
    <n v="238"/>
    <s v="#TeslaCoInnovation"/>
    <x v="4"/>
    <n v="50862"/>
    <n v="15305"/>
    <n v="5.6486000000000001"/>
    <n v="1379539"/>
    <n v="8.1041565334506673E-4"/>
    <n v="35557"/>
  </r>
  <r>
    <s v="P293"/>
    <s v="Facebook"/>
    <d v="2025-05-14T00:00:00"/>
    <s v="Text"/>
    <s v="Check out our latest text on facebook!"/>
    <n v="2634"/>
    <n v="726"/>
    <n v="241"/>
    <n v="28974"/>
    <n v="28102"/>
    <n v="277"/>
    <s v="#EVRevolution"/>
    <x v="0"/>
    <n v="50862"/>
    <n v="15305"/>
    <n v="5.6486000000000001"/>
    <n v="1379539"/>
    <n v="2.1101251939959651E-3"/>
    <n v="35557"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#EVRevolution"/>
    <x v="3"/>
    <n v="50862"/>
    <n v="15305"/>
    <n v="5.6486000000000001"/>
    <n v="1379539"/>
    <n v="3.4939207952801622E-3"/>
    <n v="35557"/>
  </r>
  <r>
    <s v="P295"/>
    <s v="Twitter"/>
    <d v="2025-05-06T00:00:00"/>
    <s v="Image"/>
    <s v="Check out our latest image on twitter!"/>
    <n v="1952"/>
    <n v="344"/>
    <n v="287"/>
    <n v="15616"/>
    <n v="15403"/>
    <n v="235"/>
    <s v="#FutureOfDriving"/>
    <x v="1"/>
    <n v="53484"/>
    <n v="12307"/>
    <n v="5.6557999999999993"/>
    <n v="1060357"/>
    <n v="2.0625129083884012E-3"/>
    <n v="41177"/>
  </r>
  <r>
    <s v="P296"/>
    <s v="Twitter"/>
    <d v="2025-02-11T00:00:00"/>
    <s v="Video"/>
    <s v="Check out our latest video on twitter!"/>
    <n v="3440"/>
    <n v="13"/>
    <n v="20"/>
    <n v="58480"/>
    <n v="58146"/>
    <n v="210"/>
    <s v="#TeslaCoInnovation"/>
    <x v="2"/>
    <n v="53484"/>
    <n v="12307"/>
    <n v="5.6557999999999993"/>
    <n v="1060357"/>
    <n v="3.4422369070039619E-3"/>
    <n v="41177"/>
  </r>
  <r>
    <s v="P297"/>
    <s v="Twitter"/>
    <d v="2024-12-24T00:00:00"/>
    <s v="Text"/>
    <s v="Check out our latest text on twitter!"/>
    <n v="2166"/>
    <n v="354"/>
    <n v="117"/>
    <n v="10830"/>
    <n v="10245"/>
    <n v="24"/>
    <s v="#EVRevolution"/>
    <x v="2"/>
    <n v="53484"/>
    <n v="12307"/>
    <n v="5.6557999999999993"/>
    <n v="1060357"/>
    <n v="2.065342144202377E-3"/>
    <n v="41177"/>
  </r>
  <r>
    <s v="P298"/>
    <s v="Facebook"/>
    <d v="2024-10-24T00:00:00"/>
    <s v="Image"/>
    <s v="Check out our latest image on facebook!"/>
    <n v="4303"/>
    <n v="451"/>
    <n v="286"/>
    <n v="86060"/>
    <n v="85823"/>
    <n v="14"/>
    <s v="#TeslaCoInnovation"/>
    <x v="3"/>
    <n v="50862"/>
    <n v="15305"/>
    <n v="5.6486000000000001"/>
    <n v="1379539"/>
    <n v="3.1293062392581871E-3"/>
    <n v="35557"/>
  </r>
  <r>
    <s v="P299"/>
    <s v="Facebook"/>
    <d v="2024-08-26T00:00:00"/>
    <s v="Image"/>
    <s v="Check out our latest image on facebook!"/>
    <n v="2581"/>
    <n v="517"/>
    <n v="117"/>
    <n v="23229"/>
    <n v="22331"/>
    <n v="70"/>
    <s v="#FutureOfDriving"/>
    <x v="3"/>
    <n v="50862"/>
    <n v="15305"/>
    <n v="5.6486000000000001"/>
    <n v="1379539"/>
    <n v="1.9216564374040894E-3"/>
    <n v="35557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#TeslaCoInnovation"/>
    <x v="0"/>
    <n v="53484"/>
    <n v="12307"/>
    <n v="5.6557999999999993"/>
    <n v="1060357"/>
    <n v="4.4183232628256328E-3"/>
    <n v="4117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s v="Reel"/>
    <s v="Check out our latest reel on twitter!"/>
    <n v="1461"/>
    <n v="184"/>
    <n v="344"/>
    <n v="21915"/>
    <n v="21675"/>
    <n v="15"/>
    <s v="#FutureOfDriving"/>
    <s v="CybertruckLaunch"/>
    <n v="53484"/>
    <n v="12307"/>
    <n v="5.6557999999999993"/>
    <x v="0"/>
    <n v="1.3919840204761227E-3"/>
    <x v="0"/>
    <x v="0"/>
    <n v="43452.666666666664"/>
  </r>
  <r>
    <s v="P002"/>
    <x v="0"/>
    <d v="2025-04-03T00:00:00"/>
    <s v="Text"/>
    <s v="Check out our latest text on twitter!"/>
    <n v="4054"/>
    <n v="389"/>
    <n v="493"/>
    <n v="64864"/>
    <n v="64383"/>
    <n v="117"/>
    <s v="#TeslaCoInnovation"/>
    <s v="ModelYCampaign"/>
    <n v="53484"/>
    <n v="12307"/>
    <n v="5.6557999999999993"/>
    <x v="0"/>
    <n v="3.9335808600311026E-3"/>
    <x v="0"/>
    <x v="1"/>
    <n v="41516"/>
  </r>
  <r>
    <s v="P004"/>
    <x v="1"/>
    <d v="2024-08-12T00:00:00"/>
    <s v="Story"/>
    <s v="Check out our latest story on instagram!"/>
    <n v="2404"/>
    <n v="363"/>
    <n v="138"/>
    <n v="19232"/>
    <n v="18636"/>
    <n v="128"/>
    <s v="#EVRevolution"/>
    <s v="SustainabilityDrive"/>
    <n v="58311"/>
    <n v="10307"/>
    <n v="5.7155999999999993"/>
    <x v="1"/>
    <n v="2.1745609010171141E-3"/>
    <x v="1"/>
    <x v="2"/>
    <n v="39579.333333333336"/>
  </r>
  <r>
    <s v="P003"/>
    <x v="2"/>
    <d v="2025-05-12T00:00:00"/>
    <s v="Reel"/>
    <s v="Check out our latest reel on youtube!"/>
    <n v="2795"/>
    <n v="105"/>
    <n v="49"/>
    <n v="53105"/>
    <n v="52307"/>
    <n v="204"/>
    <s v="#TeslaCoInnovation"/>
    <s v="FSDUpdate"/>
    <n v="47471"/>
    <n v="12104"/>
    <n v="5.5587999999999997"/>
    <x v="2"/>
    <n v="2.4408963681187518E-3"/>
    <x v="2"/>
    <x v="3"/>
    <n v="35430.333333333336"/>
  </r>
  <r>
    <s v="P005"/>
    <x v="2"/>
    <d v="2024-06-26T00:00:00"/>
    <s v="Reel"/>
    <s v="Check out our latest reel on youtube!"/>
    <n v="3557"/>
    <n v="687"/>
    <n v="424"/>
    <n v="71140"/>
    <n v="70701"/>
    <n v="224"/>
    <s v="#EVRevolution"/>
    <s v="CybertruckLaunch"/>
    <n v="47471"/>
    <n v="12104"/>
    <n v="5.5587999999999997"/>
    <x v="2"/>
    <n v="3.0773688455675227E-3"/>
    <x v="2"/>
    <x v="4"/>
    <n v="37367"/>
  </r>
  <r>
    <s v="P006"/>
    <x v="3"/>
    <d v="2024-10-31T00:00:00"/>
    <s v="Carousel"/>
    <s v="Check out our latest carousel on facebook!"/>
    <n v="2945"/>
    <n v="930"/>
    <n v="355"/>
    <n v="23560"/>
    <n v="23275"/>
    <n v="256"/>
    <s v="#TeslaCoInnovation"/>
    <s v="ModelYCampaign"/>
    <n v="50862"/>
    <n v="15305"/>
    <n v="5.6486000000000001"/>
    <x v="3"/>
    <n v="2.3203403455792117E-3"/>
    <x v="3"/>
    <x v="5"/>
    <n v="37367"/>
  </r>
  <r>
    <s v="P007"/>
    <x v="0"/>
    <d v="2024-06-24T00:00:00"/>
    <s v="Carousel"/>
    <s v="Check out our latest carousel on twitter!"/>
    <n v="3860"/>
    <n v="201"/>
    <n v="279"/>
    <n v="61760"/>
    <n v="61660"/>
    <n v="235"/>
    <s v="#TeslaCoInnovation"/>
    <s v="ModelYCampaign"/>
    <n v="53484"/>
    <n v="12307"/>
    <n v="5.6557999999999993"/>
    <x v="0"/>
    <n v="3.8619068860770477E-3"/>
    <x v="0"/>
    <x v="4"/>
    <n v="37367"/>
  </r>
  <r>
    <s v="P008"/>
    <x v="2"/>
    <d v="2024-07-13T00:00:00"/>
    <s v="Image"/>
    <s v="Check out our latest image on youtube!"/>
    <n v="3929"/>
    <n v="262"/>
    <n v="278"/>
    <n v="43219"/>
    <n v="42841"/>
    <n v="39"/>
    <s v="#EVRevolution"/>
    <s v="SustainabilityDrive"/>
    <n v="47471"/>
    <n v="12104"/>
    <n v="5.5587999999999997"/>
    <x v="2"/>
    <n v="3.2295687858270115E-3"/>
    <x v="2"/>
    <x v="6"/>
    <n v="35493.666666666664"/>
  </r>
  <r>
    <s v="P009"/>
    <x v="3"/>
    <d v="2024-08-30T00:00:00"/>
    <s v="Text"/>
    <s v="Check out our latest text on facebook!"/>
    <n v="3784"/>
    <n v="808"/>
    <n v="404"/>
    <n v="56760"/>
    <n v="56343"/>
    <n v="131"/>
    <s v="#TeslaCoInnovation"/>
    <s v="ModelYCampaign"/>
    <n v="50862"/>
    <n v="15305"/>
    <n v="5.6486000000000001"/>
    <x v="3"/>
    <n v="2.8379045463738247E-3"/>
    <x v="3"/>
    <x v="7"/>
    <n v="39706"/>
  </r>
  <r>
    <s v="P010"/>
    <x v="3"/>
    <d v="2025-03-11T00:00:00"/>
    <s v="Image"/>
    <s v="Check out our latest image on facebook!"/>
    <n v="4241"/>
    <n v="902"/>
    <n v="47"/>
    <n v="72097"/>
    <n v="71598"/>
    <n v="167"/>
    <s v="#TeslaCoInnovation"/>
    <s v="ModelYCampaign"/>
    <n v="50862"/>
    <n v="15305"/>
    <n v="5.6486000000000001"/>
    <x v="3"/>
    <n v="3.1952703040653437E-3"/>
    <x v="3"/>
    <x v="8"/>
    <n v="39706"/>
  </r>
  <r>
    <s v="P011"/>
    <x v="1"/>
    <d v="2025-02-02T00:00:00"/>
    <s v="Story"/>
    <s v="Check out our latest story on instagram!"/>
    <n v="1792"/>
    <n v="614"/>
    <n v="497"/>
    <n v="25088"/>
    <n v="24675"/>
    <n v="65"/>
    <s v="#FutureOfDriving"/>
    <s v="SustainabilityDrive"/>
    <n v="58311"/>
    <n v="10307"/>
    <n v="5.7155999999999993"/>
    <x v="1"/>
    <n v="1.5948497603431202E-3"/>
    <x v="1"/>
    <x v="9"/>
    <n v="39642.666666666664"/>
  </r>
  <r>
    <s v="P012"/>
    <x v="3"/>
    <d v="2024-07-21T00:00:00"/>
    <s v="Reel"/>
    <s v="Check out our latest reel on facebook!"/>
    <n v="1946"/>
    <n v="686"/>
    <n v="377"/>
    <n v="23352"/>
    <n v="22982"/>
    <n v="213"/>
    <s v="#FutureOfDriving"/>
    <s v="FSDUpdate"/>
    <n v="50862"/>
    <n v="15305"/>
    <n v="5.6486000000000001"/>
    <x v="3"/>
    <n v="1.5650155595456163E-3"/>
    <x v="3"/>
    <x v="10"/>
    <n v="35493.666666666664"/>
  </r>
  <r>
    <s v="P013"/>
    <x v="2"/>
    <d v="2024-11-18T00:00:00"/>
    <s v="Carousel"/>
    <s v="Check out our latest carousel on youtube!"/>
    <n v="1171"/>
    <n v="286"/>
    <n v="231"/>
    <n v="22249"/>
    <n v="21282"/>
    <n v="114"/>
    <s v="#EVRevolution"/>
    <s v="CybertruckLaunch"/>
    <n v="47471"/>
    <n v="12104"/>
    <n v="5.5587999999999997"/>
    <x v="2"/>
    <n v="1.0458658996440799E-3"/>
    <x v="2"/>
    <x v="11"/>
    <n v="35493.666666666664"/>
  </r>
  <r>
    <s v="P014"/>
    <x v="3"/>
    <d v="2025-02-16T00:00:00"/>
    <s v="Story"/>
    <s v="Check out our latest story on facebook!"/>
    <n v="4242"/>
    <n v="555"/>
    <n v="131"/>
    <n v="33936"/>
    <n v="33802"/>
    <n v="265"/>
    <s v="#FutureOfDriving"/>
    <m/>
    <n v="50862"/>
    <n v="15305"/>
    <n v="5.6486000000000001"/>
    <x v="3"/>
    <n v="3.2670334075368657E-3"/>
    <x v="3"/>
    <x v="12"/>
    <n v="35557"/>
  </r>
  <r>
    <s v="P015"/>
    <x v="3"/>
    <d v="2024-10-24T00:00:00"/>
    <s v="Video"/>
    <s v="Check out our latest video on facebook!"/>
    <n v="3888"/>
    <n v="604"/>
    <n v="128"/>
    <n v="77760"/>
    <n v="77167"/>
    <n v="20"/>
    <s v="#FutureOfDriving"/>
    <s v="CybertruckLaunch"/>
    <n v="50862"/>
    <n v="15305"/>
    <n v="5.6486000000000001"/>
    <x v="3"/>
    <n v="2.8328303875425052E-3"/>
    <x v="3"/>
    <x v="13"/>
    <n v="35557"/>
  </r>
  <r>
    <s v="P016"/>
    <x v="3"/>
    <d v="2024-08-26T00:00:00"/>
    <s v="Text"/>
    <s v="Check out our latest text on facebook!"/>
    <n v="3452"/>
    <n v="377"/>
    <n v="360"/>
    <n v="55232"/>
    <n v="55075"/>
    <n v="87"/>
    <s v="#FutureOfDriving"/>
    <s v="FSDUpdate"/>
    <n v="50862"/>
    <n v="15305"/>
    <n v="5.6486000000000001"/>
    <x v="3"/>
    <n v="2.5653497291486505E-3"/>
    <x v="3"/>
    <x v="7"/>
    <n v="39706"/>
  </r>
  <r>
    <s v="P017"/>
    <x v="3"/>
    <d v="2025-05-05T00:00:00"/>
    <s v="Text"/>
    <s v="Check out our latest text on facebook!"/>
    <n v="4441"/>
    <n v="511"/>
    <n v="70"/>
    <n v="53292"/>
    <n v="53082"/>
    <n v="159"/>
    <s v="#EVRevolution"/>
    <s v="SustainabilityDrive"/>
    <n v="50862"/>
    <n v="15305"/>
    <n v="5.6486000000000001"/>
    <x v="3"/>
    <n v="3.3344472320101133E-3"/>
    <x v="3"/>
    <x v="14"/>
    <n v="43855"/>
  </r>
  <r>
    <s v="P018"/>
    <x v="1"/>
    <d v="2024-08-19T00:00:00"/>
    <s v="Reel"/>
    <s v="Check out our latest reel on instagram!"/>
    <n v="3000"/>
    <n v="382"/>
    <n v="325"/>
    <n v="36000"/>
    <n v="35819"/>
    <n v="19"/>
    <s v="#FutureOfDriving"/>
    <s v="CybertruckLaunch"/>
    <n v="58311"/>
    <n v="10307"/>
    <n v="5.7155999999999993"/>
    <x v="1"/>
    <n v="2.5928117536219062E-3"/>
    <x v="1"/>
    <x v="15"/>
    <n v="48004"/>
  </r>
  <r>
    <s v="P019"/>
    <x v="1"/>
    <d v="2024-06-23T00:00:00"/>
    <s v="Video"/>
    <s v="Check out our latest video on instagram!"/>
    <n v="1071"/>
    <n v="519"/>
    <n v="22"/>
    <n v="16065"/>
    <n v="15865"/>
    <n v="103"/>
    <s v="#TeslaCoInnovation"/>
    <s v="SustainabilityDrive"/>
    <n v="58311"/>
    <n v="10307"/>
    <n v="5.7155999999999993"/>
    <x v="1"/>
    <n v="1.0082679691129904E-3"/>
    <x v="1"/>
    <x v="4"/>
    <n v="48004"/>
  </r>
  <r>
    <s v="P020"/>
    <x v="1"/>
    <d v="2024-09-09T00:00:00"/>
    <s v="Carousel"/>
    <s v="Check out our latest carousel on instagram!"/>
    <n v="4054"/>
    <n v="488"/>
    <n v="373"/>
    <n v="77026"/>
    <n v="76881"/>
    <n v="25"/>
    <s v="#TeslaCoInnovation"/>
    <s v="CybertruckLaunch"/>
    <n v="58311"/>
    <n v="10307"/>
    <n v="5.7155999999999993"/>
    <x v="1"/>
    <n v="3.5031729523099559E-3"/>
    <x v="1"/>
    <x v="16"/>
    <n v="43855"/>
  </r>
  <r>
    <s v="P021"/>
    <x v="1"/>
    <d v="2025-01-04T00:00:00"/>
    <s v="Reel"/>
    <s v="Check out our latest reel on instagram!"/>
    <n v="4838"/>
    <n v="640"/>
    <n v="128"/>
    <n v="72570"/>
    <n v="72396"/>
    <n v="83"/>
    <s v="#FutureOfDriving"/>
    <s v="SustainabilityDrive"/>
    <n v="58311"/>
    <n v="10307"/>
    <n v="5.7155999999999993"/>
    <x v="1"/>
    <n v="4.2263089233432931E-3"/>
    <x v="1"/>
    <x v="17"/>
    <n v="39706"/>
  </r>
  <r>
    <s v="P022"/>
    <x v="3"/>
    <d v="2025-02-27T00:00:00"/>
    <s v="Text"/>
    <s v="Check out our latest text on facebook!"/>
    <n v="1570"/>
    <n v="187"/>
    <n v="260"/>
    <n v="25120"/>
    <n v="24613"/>
    <n v="133"/>
    <s v="#TeslaCoInnovation"/>
    <s v="SustainabilityDrive"/>
    <n v="50862"/>
    <n v="15305"/>
    <n v="5.6486000000000001"/>
    <x v="3"/>
    <n v="1.2344703556767876E-3"/>
    <x v="3"/>
    <x v="18"/>
    <n v="35557"/>
  </r>
  <r>
    <s v="P023"/>
    <x v="3"/>
    <d v="2024-11-06T00:00:00"/>
    <s v="Video"/>
    <s v="Check out our latest video on facebook!"/>
    <n v="1606"/>
    <n v="547"/>
    <n v="316"/>
    <n v="32120"/>
    <n v="31736"/>
    <n v="225"/>
    <s v="#TeslaCoInnovation"/>
    <s v="ModelYCampaign"/>
    <n v="50862"/>
    <n v="15305"/>
    <n v="5.6486000000000001"/>
    <x v="3"/>
    <n v="1.3272549743066342E-3"/>
    <x v="3"/>
    <x v="19"/>
    <n v="37430.333333333336"/>
  </r>
  <r>
    <s v="P024"/>
    <x v="3"/>
    <d v="2025-01-23T00:00:00"/>
    <s v="Video"/>
    <s v="Check out our latest video on facebook!"/>
    <n v="3961"/>
    <n v="761"/>
    <n v="131"/>
    <n v="67337"/>
    <n v="66615"/>
    <n v="161"/>
    <s v="#FutureOfDriving"/>
    <s v="FSDUpdate"/>
    <n v="50862"/>
    <n v="15305"/>
    <n v="5.6486000000000001"/>
    <x v="3"/>
    <n v="2.9879546718142801E-3"/>
    <x v="3"/>
    <x v="20"/>
    <n v="37367"/>
  </r>
  <r>
    <s v="P025"/>
    <x v="0"/>
    <d v="2025-04-10T00:00:00"/>
    <s v="Carousel"/>
    <s v="Check out our latest carousel on twitter!"/>
    <n v="3128"/>
    <n v="211"/>
    <n v="197"/>
    <n v="59432"/>
    <n v="59182"/>
    <n v="238"/>
    <s v="#EVRevolution"/>
    <m/>
    <n v="53484"/>
    <n v="12307"/>
    <n v="5.6557999999999993"/>
    <x v="0"/>
    <n v="3.1744025832809138E-3"/>
    <x v="0"/>
    <x v="21"/>
    <n v="37303.666666666664"/>
  </r>
  <r>
    <s v="P026"/>
    <x v="2"/>
    <d v="2025-04-05T00:00:00"/>
    <s v="Reel"/>
    <s v="Check out our latest reel on youtube!"/>
    <n v="3009"/>
    <n v="413"/>
    <n v="358"/>
    <n v="42126"/>
    <n v="41309"/>
    <n v="211"/>
    <s v="#FutureOfDriving"/>
    <s v="ModelYCampaign"/>
    <n v="47471"/>
    <n v="12104"/>
    <n v="5.5587999999999997"/>
    <x v="2"/>
    <n v="2.6207690247890564E-3"/>
    <x v="2"/>
    <x v="1"/>
    <n v="39579.333333333336"/>
  </r>
  <r>
    <s v="P027"/>
    <x v="2"/>
    <d v="2024-09-17T00:00:00"/>
    <s v="Text"/>
    <s v="Check out our latest text on youtube!"/>
    <n v="2076"/>
    <n v="195"/>
    <n v="104"/>
    <n v="33216"/>
    <n v="32244"/>
    <n v="51"/>
    <s v="#FutureOfDriving"/>
    <s v="SustainabilityDrive"/>
    <n v="47471"/>
    <n v="12104"/>
    <n v="5.5587999999999997"/>
    <x v="2"/>
    <n v="1.7311725825237029E-3"/>
    <x v="2"/>
    <x v="22"/>
    <n v="43791.666666666664"/>
  </r>
  <r>
    <s v="P028"/>
    <x v="1"/>
    <d v="2025-03-04T00:00:00"/>
    <s v="Video"/>
    <s v="Check out our latest video on instagram!"/>
    <n v="432"/>
    <n v="624"/>
    <n v="123"/>
    <n v="6912"/>
    <n v="6259"/>
    <n v="79"/>
    <s v="#FutureOfDriving"/>
    <s v="SustainabilityDrive"/>
    <n v="58311"/>
    <n v="10307"/>
    <n v="5.7155999999999993"/>
    <x v="1"/>
    <n v="4.3886280427320114E-4"/>
    <x v="1"/>
    <x v="23"/>
    <n v="48004"/>
  </r>
  <r>
    <s v="P029"/>
    <x v="1"/>
    <d v="2025-01-31T00:00:00"/>
    <s v="Carousel"/>
    <s v="Check out our latest carousel on instagram!"/>
    <n v="2566"/>
    <n v="118"/>
    <n v="37"/>
    <n v="12830"/>
    <n v="12264"/>
    <n v="221"/>
    <s v="#FutureOfDriving"/>
    <s v="FSDUpdate"/>
    <n v="58311"/>
    <n v="10307"/>
    <n v="5.7155999999999993"/>
    <x v="1"/>
    <n v="2.393562887493956E-3"/>
    <x v="1"/>
    <x v="24"/>
    <n v="48004"/>
  </r>
  <r>
    <s v="P030"/>
    <x v="1"/>
    <d v="2025-02-25T00:00:00"/>
    <s v="Video"/>
    <s v="Check out our latest video on instagram!"/>
    <n v="3095"/>
    <n v="39"/>
    <n v="78"/>
    <n v="55710"/>
    <n v="54808"/>
    <n v="93"/>
    <s v="#EVRevolution"/>
    <m/>
    <n v="58311"/>
    <n v="10307"/>
    <n v="5.7155999999999993"/>
    <x v="1"/>
    <n v="2.737954246620284E-3"/>
    <x v="1"/>
    <x v="18"/>
    <n v="45728.333333333336"/>
  </r>
  <r>
    <s v="P031"/>
    <x v="1"/>
    <d v="2024-12-16T00:00:00"/>
    <s v="Text"/>
    <s v="Check out our latest text on instagram!"/>
    <n v="438"/>
    <n v="153"/>
    <n v="275"/>
    <n v="3066"/>
    <n v="2701"/>
    <n v="282"/>
    <s v="#TeslaCoInnovation"/>
    <s v="ModelYCampaign"/>
    <n v="58311"/>
    <n v="10307"/>
    <n v="5.7155999999999993"/>
    <x v="1"/>
    <n v="6.1835855005225988E-4"/>
    <x v="1"/>
    <x v="25"/>
    <n v="41579.333333333336"/>
  </r>
  <r>
    <s v="P032"/>
    <x v="0"/>
    <d v="2024-07-31T00:00:00"/>
    <s v="Carousel"/>
    <s v="Check out our latest carousel on twitter!"/>
    <n v="2278"/>
    <n v="10"/>
    <n v="321"/>
    <n v="13668"/>
    <n v="12676"/>
    <n v="275"/>
    <s v="#EVRevolution"/>
    <s v="CybertruckLaunch"/>
    <n v="53484"/>
    <n v="12307"/>
    <n v="5.6557999999999993"/>
    <x v="0"/>
    <n v="2.4076796776934563E-3"/>
    <x v="0"/>
    <x v="26"/>
    <n v="37430.333333333336"/>
  </r>
  <r>
    <s v="P033"/>
    <x v="3"/>
    <d v="2024-08-21T00:00:00"/>
    <s v="Image"/>
    <s v="Check out our latest image on facebook!"/>
    <n v="1407"/>
    <n v="400"/>
    <n v="351"/>
    <n v="16884"/>
    <n v="15954"/>
    <n v="113"/>
    <s v="#TeslaCoInnovation"/>
    <s v="CybertruckLaunch"/>
    <n v="50862"/>
    <n v="15305"/>
    <n v="5.6486000000000001"/>
    <x v="3"/>
    <n v="1.1018173462294288E-3"/>
    <x v="3"/>
    <x v="15"/>
    <n v="39706"/>
  </r>
  <r>
    <s v="P034"/>
    <x v="3"/>
    <d v="2025-03-26T00:00:00"/>
    <s v="Text"/>
    <s v="Check out our latest text on facebook!"/>
    <n v="1652"/>
    <n v="89"/>
    <n v="357"/>
    <n v="29736"/>
    <n v="28771"/>
    <n v="215"/>
    <s v="#TeslaCoInnovation"/>
    <s v="FSDUpdate"/>
    <n v="50862"/>
    <n v="15305"/>
    <n v="5.6486000000000001"/>
    <x v="3"/>
    <n v="1.3533506482962788E-3"/>
    <x v="3"/>
    <x v="27"/>
    <n v="43855"/>
  </r>
  <r>
    <s v="P035"/>
    <x v="1"/>
    <d v="2024-11-30T00:00:00"/>
    <s v="Video"/>
    <s v="Check out our latest video on instagram!"/>
    <n v="3775"/>
    <n v="16"/>
    <n v="239"/>
    <n v="33975"/>
    <n v="33310"/>
    <n v="271"/>
    <s v="#FutureOfDriving"/>
    <s v="ModelYCampaign"/>
    <n v="58311"/>
    <n v="10307"/>
    <n v="5.7155999999999993"/>
    <x v="1"/>
    <n v="3.4748315187658938E-3"/>
    <x v="1"/>
    <x v="28"/>
    <n v="43855"/>
  </r>
  <r>
    <s v="P036"/>
    <x v="1"/>
    <d v="2025-04-19T00:00:00"/>
    <s v="Story"/>
    <s v="Check out our latest story on instagram!"/>
    <n v="4518"/>
    <n v="285"/>
    <n v="383"/>
    <n v="67770"/>
    <n v="67621"/>
    <n v="31"/>
    <s v="#EVRevolution"/>
    <s v="ModelYCampaign"/>
    <n v="58311"/>
    <n v="10307"/>
    <n v="5.7155999999999993"/>
    <x v="1"/>
    <n v="3.9068236724829584E-3"/>
    <x v="1"/>
    <x v="29"/>
    <n v="39642.666666666664"/>
  </r>
  <r>
    <s v="P037"/>
    <x v="3"/>
    <d v="2025-01-06T00:00:00"/>
    <s v="Carousel"/>
    <s v="Check out our latest carousel on facebook!"/>
    <n v="3024"/>
    <n v="925"/>
    <n v="350"/>
    <n v="24192"/>
    <n v="23518"/>
    <n v="36"/>
    <s v="#EVRevolution"/>
    <s v="ModelYCampaign"/>
    <n v="50862"/>
    <n v="15305"/>
    <n v="5.6486000000000001"/>
    <x v="3"/>
    <n v="2.2181322891197714E-3"/>
    <x v="3"/>
    <x v="30"/>
    <n v="35493.666666666664"/>
  </r>
  <r>
    <s v="P038"/>
    <x v="2"/>
    <d v="2025-02-17T00:00:00"/>
    <s v="Reel"/>
    <s v="Check out our latest reel on youtube!"/>
    <n v="3138"/>
    <n v="123"/>
    <n v="291"/>
    <n v="28242"/>
    <n v="27550"/>
    <n v="87"/>
    <s v="#TeslaCoInnovation"/>
    <s v="SustainabilityDrive"/>
    <n v="47471"/>
    <n v="12104"/>
    <n v="5.5587999999999997"/>
    <x v="2"/>
    <n v="2.6248385419082943E-3"/>
    <x v="2"/>
    <x v="12"/>
    <n v="37367"/>
  </r>
  <r>
    <s v="P039"/>
    <x v="3"/>
    <d v="2024-11-25T00:00:00"/>
    <s v="Image"/>
    <s v="Check out our latest image on facebook!"/>
    <n v="3564"/>
    <n v="629"/>
    <n v="177"/>
    <n v="60588"/>
    <n v="59627"/>
    <n v="92"/>
    <s v="#TeslaCoInnovation"/>
    <m/>
    <n v="50862"/>
    <n v="15305"/>
    <n v="5.6486000000000001"/>
    <x v="3"/>
    <n v="2.6501606696149945E-3"/>
    <x v="3"/>
    <x v="28"/>
    <n v="41579.333333333336"/>
  </r>
  <r>
    <s v="P040"/>
    <x v="0"/>
    <d v="2025-03-07T00:00:00"/>
    <s v="Image"/>
    <s v="Check out our latest image on twitter!"/>
    <n v="4750"/>
    <n v="151"/>
    <n v="415"/>
    <n v="38000"/>
    <n v="37792"/>
    <n v="299"/>
    <s v="#EVRevolution"/>
    <s v="SustainabilityDrive"/>
    <n v="53484"/>
    <n v="12307"/>
    <n v="5.6557999999999993"/>
    <x v="0"/>
    <n v="4.7616038749213711E-3"/>
    <x v="0"/>
    <x v="23"/>
    <n v="41516"/>
  </r>
  <r>
    <s v="P041"/>
    <x v="1"/>
    <d v="2025-03-08T00:00:00"/>
    <s v="Reel"/>
    <s v="Check out our latest reel on instagram!"/>
    <n v="456"/>
    <n v="629"/>
    <n v="428"/>
    <n v="8208"/>
    <n v="7377"/>
    <n v="205"/>
    <s v="#FutureOfDriving"/>
    <s v="SustainabilityDrive"/>
    <n v="58311"/>
    <n v="10307"/>
    <n v="5.7155999999999993"/>
    <x v="1"/>
    <n v="5.6768750220075525E-4"/>
    <x v="1"/>
    <x v="23"/>
    <n v="43791.666666666664"/>
  </r>
  <r>
    <s v="P042"/>
    <x v="2"/>
    <d v="2025-03-05T00:00:00"/>
    <s v="Reel"/>
    <s v="Check out our latest reel on youtube!"/>
    <n v="1543"/>
    <n v="820"/>
    <n v="333"/>
    <n v="12344"/>
    <n v="11496"/>
    <n v="241"/>
    <s v="#EVRevolution"/>
    <m/>
    <n v="47471"/>
    <n v="12104"/>
    <n v="5.5587999999999997"/>
    <x v="2"/>
    <n v="1.4520037081439991E-3"/>
    <x v="2"/>
    <x v="23"/>
    <n v="41516"/>
  </r>
  <r>
    <s v="P043"/>
    <x v="1"/>
    <d v="2024-12-14T00:00:00"/>
    <s v="Carousel"/>
    <s v="Check out our latest carousel on instagram!"/>
    <n v="2174"/>
    <n v="658"/>
    <n v="15"/>
    <n v="13044"/>
    <n v="12206"/>
    <n v="137"/>
    <s v="#TeslaCoInnovation"/>
    <s v="FSDUpdate"/>
    <n v="58311"/>
    <n v="10307"/>
    <n v="5.7155999999999993"/>
    <x v="1"/>
    <n v="1.9847591794038507E-3"/>
    <x v="1"/>
    <x v="31"/>
    <n v="41579.333333333336"/>
  </r>
  <r>
    <s v="P044"/>
    <x v="0"/>
    <d v="2025-03-02T00:00:00"/>
    <s v="Image"/>
    <s v="Check out our latest image on twitter!"/>
    <n v="2358"/>
    <n v="784"/>
    <n v="344"/>
    <n v="35370"/>
    <n v="34475"/>
    <n v="216"/>
    <s v="#TeslaCoInnovation"/>
    <m/>
    <n v="53484"/>
    <n v="12307"/>
    <n v="5.6557999999999993"/>
    <x v="0"/>
    <n v="2.427484328391287E-3"/>
    <x v="0"/>
    <x v="23"/>
    <n v="39303.666666666664"/>
  </r>
  <r>
    <s v="P045"/>
    <x v="3"/>
    <d v="2024-11-01T00:00:00"/>
    <s v="Video"/>
    <s v="Check out our latest video on facebook!"/>
    <n v="3371"/>
    <n v="106"/>
    <n v="327"/>
    <n v="50565"/>
    <n v="49816"/>
    <n v="176"/>
    <s v="#FutureOfDriving"/>
    <s v="CybertruckLaunch"/>
    <n v="50862"/>
    <n v="15305"/>
    <n v="5.6486000000000001"/>
    <x v="3"/>
    <n v="2.571148767813016E-3"/>
    <x v="3"/>
    <x v="5"/>
    <n v="39303.666666666664"/>
  </r>
  <r>
    <s v="P046"/>
    <x v="0"/>
    <d v="2025-05-02T00:00:00"/>
    <s v="Video"/>
    <s v="Check out our latest video on twitter!"/>
    <n v="1108"/>
    <n v="177"/>
    <n v="212"/>
    <n v="8864"/>
    <n v="8710"/>
    <n v="97"/>
    <s v="#TeslaCoInnovation"/>
    <s v="SustainabilityDrive"/>
    <n v="53484"/>
    <n v="12307"/>
    <n v="5.6557999999999993"/>
    <x v="0"/>
    <n v="1.1364097186136368E-3"/>
    <x v="0"/>
    <x v="32"/>
    <n v="41177"/>
  </r>
  <r>
    <s v="P047"/>
    <x v="0"/>
    <d v="2025-02-24T00:00:00"/>
    <s v="Carousel"/>
    <s v="Check out our latest carousel on twitter!"/>
    <n v="2704"/>
    <n v="752"/>
    <n v="153"/>
    <n v="21632"/>
    <n v="20792"/>
    <n v="127"/>
    <s v="#FutureOfDriving"/>
    <m/>
    <n v="53484"/>
    <n v="12307"/>
    <n v="5.6557999999999993"/>
    <x v="0"/>
    <n v="2.6698555297885525E-3"/>
    <x v="0"/>
    <x v="18"/>
    <n v="41177"/>
  </r>
  <r>
    <s v="P048"/>
    <x v="0"/>
    <d v="2025-03-11T00:00:00"/>
    <s v="Story"/>
    <s v="Check out our latest story on twitter!"/>
    <n v="1950"/>
    <n v="295"/>
    <n v="478"/>
    <n v="37050"/>
    <n v="36272"/>
    <n v="119"/>
    <s v="#TeslaCoInnovation"/>
    <m/>
    <n v="53484"/>
    <n v="12307"/>
    <n v="5.6557999999999993"/>
    <x v="0"/>
    <n v="1.951229633038684E-3"/>
    <x v="0"/>
    <x v="8"/>
    <n v="39240.333333333336"/>
  </r>
  <r>
    <s v="P049"/>
    <x v="0"/>
    <d v="2024-06-10T00:00:00"/>
    <s v="Story"/>
    <s v="Check out our latest story on twitter!"/>
    <n v="2164"/>
    <n v="549"/>
    <n v="274"/>
    <n v="28132"/>
    <n v="27361"/>
    <n v="177"/>
    <s v="#TeslaCoInnovation"/>
    <s v="SustainabilityDrive"/>
    <n v="53484"/>
    <n v="12307"/>
    <n v="5.6557999999999993"/>
    <x v="0"/>
    <n v="2.2077470135058288E-3"/>
    <x v="0"/>
    <x v="33"/>
    <n v="37367"/>
  </r>
  <r>
    <s v="P050"/>
    <x v="2"/>
    <d v="2024-07-03T00:00:00"/>
    <s v="Story"/>
    <s v="Check out our latest story on youtube!"/>
    <n v="2754"/>
    <n v="130"/>
    <n v="90"/>
    <n v="22032"/>
    <n v="21288"/>
    <n v="112"/>
    <s v="#TeslaCoInnovation"/>
    <s v="FSDUpdate"/>
    <n v="47471"/>
    <n v="12104"/>
    <n v="5.5587999999999997"/>
    <x v="2"/>
    <n v="2.3326472127470298E-3"/>
    <x v="2"/>
    <x v="34"/>
    <n v="35493.666666666664"/>
  </r>
  <r>
    <s v="P051"/>
    <x v="3"/>
    <d v="2024-06-13T00:00:00"/>
    <s v="Carousel"/>
    <s v="Check out our latest carousel on facebook!"/>
    <n v="2200"/>
    <n v="504"/>
    <n v="239"/>
    <n v="37400"/>
    <n v="36938"/>
    <n v="225"/>
    <s v="#FutureOfDriving"/>
    <s v="ModelYCampaign"/>
    <n v="50862"/>
    <n v="15305"/>
    <n v="5.6486000000000001"/>
    <x v="3"/>
    <n v="1.7578335951357663E-3"/>
    <x v="3"/>
    <x v="33"/>
    <n v="35493.666666666664"/>
  </r>
  <r>
    <s v="P052"/>
    <x v="3"/>
    <d v="2025-01-03T00:00:00"/>
    <s v="Image"/>
    <s v="Check out our latest image on facebook!"/>
    <n v="947"/>
    <n v="338"/>
    <n v="350"/>
    <n v="10417"/>
    <n v="9730"/>
    <n v="34"/>
    <s v="#TeslaCoInnovation"/>
    <s v="SustainabilityDrive"/>
    <n v="50862"/>
    <n v="15305"/>
    <n v="5.6486000000000001"/>
    <x v="3"/>
    <n v="7.1110711621780902E-4"/>
    <x v="3"/>
    <x v="17"/>
    <n v="35430.333333333336"/>
  </r>
  <r>
    <s v="P053"/>
    <x v="2"/>
    <d v="2025-02-24T00:00:00"/>
    <s v="Carousel"/>
    <s v="Check out our latest carousel on youtube!"/>
    <n v="804"/>
    <n v="639"/>
    <n v="43"/>
    <n v="4020"/>
    <n v="3144"/>
    <n v="11"/>
    <s v="#EVRevolution"/>
    <m/>
    <n v="47471"/>
    <n v="12104"/>
    <n v="5.5587999999999997"/>
    <x v="2"/>
    <n v="6.6333129043573945E-4"/>
    <x v="2"/>
    <x v="18"/>
    <n v="35430.333333333336"/>
  </r>
  <r>
    <s v="P054"/>
    <x v="2"/>
    <d v="2025-03-13T00:00:00"/>
    <s v="Carousel"/>
    <s v="Check out our latest carousel on youtube!"/>
    <n v="1686"/>
    <n v="904"/>
    <n v="472"/>
    <n v="18546"/>
    <n v="18171"/>
    <n v="52"/>
    <s v="#FutureOfDriving"/>
    <s v="ModelYCampaign"/>
    <n v="47471"/>
    <n v="12104"/>
    <n v="5.5587999999999997"/>
    <x v="2"/>
    <n v="1.4145641506470125E-3"/>
    <x v="2"/>
    <x v="8"/>
    <n v="35493.666666666664"/>
  </r>
  <r>
    <s v="P055"/>
    <x v="3"/>
    <d v="2024-06-17T00:00:00"/>
    <s v="Image"/>
    <s v="Check out our latest image on facebook!"/>
    <n v="1226"/>
    <n v="119"/>
    <n v="7"/>
    <n v="14712"/>
    <n v="14049"/>
    <n v="123"/>
    <s v="#EVRevolution"/>
    <s v="SustainabilityDrive"/>
    <n v="50862"/>
    <n v="15305"/>
    <n v="5.6486000000000001"/>
    <x v="3"/>
    <n v="9.7786289477861808E-4"/>
    <x v="3"/>
    <x v="35"/>
    <n v="37430.333333333336"/>
  </r>
  <r>
    <s v="P056"/>
    <x v="3"/>
    <d v="2024-12-18T00:00:00"/>
    <s v="Carousel"/>
    <s v="Check out our latest carousel on facebook!"/>
    <n v="2946"/>
    <n v="498"/>
    <n v="367"/>
    <n v="29460"/>
    <n v="28527"/>
    <n v="60"/>
    <s v="#FutureOfDriving"/>
    <s v="FSDUpdate"/>
    <n v="50862"/>
    <n v="15305"/>
    <n v="5.6486000000000001"/>
    <x v="3"/>
    <n v="2.1789887781353046E-3"/>
    <x v="3"/>
    <x v="25"/>
    <n v="41579.333333333336"/>
  </r>
  <r>
    <s v="P057"/>
    <x v="0"/>
    <d v="2024-10-21T00:00:00"/>
    <s v="Video"/>
    <s v="Check out our latest video on twitter!"/>
    <n v="2825"/>
    <n v="535"/>
    <n v="295"/>
    <n v="45200"/>
    <n v="44739"/>
    <n v="169"/>
    <s v="#TeslaCoInnovation"/>
    <s v="CybertruckLaunch"/>
    <n v="53484"/>
    <n v="12307"/>
    <n v="5.6557999999999993"/>
    <x v="0"/>
    <n v="2.8235773423479073E-3"/>
    <x v="0"/>
    <x v="13"/>
    <n v="45728.333333333336"/>
  </r>
  <r>
    <s v="P058"/>
    <x v="1"/>
    <d v="2025-04-15T00:00:00"/>
    <s v="Reel"/>
    <s v="Check out our latest reel on instagram!"/>
    <n v="103"/>
    <n v="770"/>
    <n v="19"/>
    <n v="1030"/>
    <n v="410"/>
    <n v="262"/>
    <s v="#TeslaCoInnovation"/>
    <s v="SustainabilityDrive"/>
    <n v="58311"/>
    <n v="10307"/>
    <n v="5.7155999999999993"/>
    <x v="1"/>
    <n v="3.1347343162371511E-4"/>
    <x v="1"/>
    <x v="29"/>
    <n v="48004"/>
  </r>
  <r>
    <s v="P059"/>
    <x v="1"/>
    <d v="2024-06-22T00:00:00"/>
    <s v="Text"/>
    <s v="Check out our latest text on instagram!"/>
    <n v="2180"/>
    <n v="263"/>
    <n v="387"/>
    <n v="30520"/>
    <n v="30059"/>
    <n v="174"/>
    <s v="#EVRevolution"/>
    <m/>
    <n v="58311"/>
    <n v="10307"/>
    <n v="5.7155999999999993"/>
    <x v="1"/>
    <n v="2.021688926143083E-3"/>
    <x v="1"/>
    <x v="35"/>
    <n v="45728.333333333336"/>
  </r>
  <r>
    <s v="P060"/>
    <x v="1"/>
    <d v="2025-01-28T00:00:00"/>
    <s v="Video"/>
    <s v="Check out our latest video on instagram!"/>
    <n v="904"/>
    <n v="973"/>
    <n v="63"/>
    <n v="11752"/>
    <n v="11580"/>
    <n v="84"/>
    <s v="#EVRevolution"/>
    <s v="FSDUpdate"/>
    <n v="58311"/>
    <n v="10307"/>
    <n v="5.7155999999999993"/>
    <x v="1"/>
    <n v="8.4852534368282334E-4"/>
    <x v="1"/>
    <x v="24"/>
    <n v="43452.666666666664"/>
  </r>
  <r>
    <s v="P061"/>
    <x v="0"/>
    <d v="2024-09-05T00:00:00"/>
    <s v="Video"/>
    <s v="Check out our latest video on twitter!"/>
    <n v="4886"/>
    <n v="983"/>
    <n v="409"/>
    <n v="43974"/>
    <n v="43239"/>
    <n v="65"/>
    <s v="#TeslaCoInnovation"/>
    <s v="CybertruckLaunch"/>
    <n v="53484"/>
    <n v="12307"/>
    <n v="5.6557999999999993"/>
    <x v="0"/>
    <n v="4.6691821716648265E-3"/>
    <x v="0"/>
    <x v="36"/>
    <n v="41177"/>
  </r>
  <r>
    <s v="P062"/>
    <x v="0"/>
    <d v="2024-11-22T00:00:00"/>
    <s v="Carousel"/>
    <s v="Check out our latest carousel on twitter!"/>
    <n v="53"/>
    <n v="81"/>
    <n v="379"/>
    <n v="954"/>
    <n v="7"/>
    <n v="148"/>
    <s v="#TeslaCoInnovation"/>
    <s v="FSDUpdate"/>
    <n v="53484"/>
    <n v="12307"/>
    <n v="5.6557999999999993"/>
    <x v="0"/>
    <n v="1.8955879953638257E-4"/>
    <x v="0"/>
    <x v="11"/>
    <n v="39303.666666666664"/>
  </r>
  <r>
    <s v="P063"/>
    <x v="0"/>
    <d v="2024-07-31T00:00:00"/>
    <s v="Carousel"/>
    <s v="Check out our latest carousel on twitter!"/>
    <n v="4507"/>
    <n v="217"/>
    <n v="13"/>
    <n v="90140"/>
    <n v="89591"/>
    <n v="125"/>
    <s v="#FutureOfDriving"/>
    <s v="FSDUpdate"/>
    <n v="53484"/>
    <n v="12307"/>
    <n v="5.6557999999999993"/>
    <x v="0"/>
    <n v="4.3683400967787266E-3"/>
    <x v="0"/>
    <x v="26"/>
    <n v="41579.333333333336"/>
  </r>
  <r>
    <s v="P064"/>
    <x v="3"/>
    <d v="2024-08-17T00:00:00"/>
    <s v="Image"/>
    <s v="Check out our latest image on facebook!"/>
    <n v="2878"/>
    <n v="248"/>
    <n v="416"/>
    <n v="43170"/>
    <n v="42667"/>
    <n v="75"/>
    <s v="#FutureOfDriving"/>
    <s v="FSDUpdate"/>
    <n v="50862"/>
    <n v="15305"/>
    <n v="5.6486000000000001"/>
    <x v="3"/>
    <n v="2.1405701469838839E-3"/>
    <x v="3"/>
    <x v="2"/>
    <n v="41579.333333333336"/>
  </r>
  <r>
    <s v="P065"/>
    <x v="1"/>
    <d v="2025-03-28T00:00:00"/>
    <s v="Story"/>
    <s v="Check out our latest story on instagram!"/>
    <n v="1881"/>
    <n v="501"/>
    <n v="99"/>
    <n v="20691"/>
    <n v="19987"/>
    <n v="289"/>
    <s v="#EVRevolution"/>
    <m/>
    <n v="58311"/>
    <n v="10307"/>
    <n v="5.7155999999999993"/>
    <x v="1"/>
    <n v="1.8636639633519499E-3"/>
    <x v="1"/>
    <x v="27"/>
    <n v="41579.333333333336"/>
  </r>
  <r>
    <s v="P066"/>
    <x v="0"/>
    <d v="2024-07-26T00:00:00"/>
    <s v="Carousel"/>
    <s v="Check out our latest carousel on twitter!"/>
    <n v="432"/>
    <n v="171"/>
    <n v="280"/>
    <n v="3024"/>
    <n v="2285"/>
    <n v="184"/>
    <s v="#EVRevolution"/>
    <s v="CybertruckLaunch"/>
    <n v="53484"/>
    <n v="12307"/>
    <n v="5.6557999999999993"/>
    <x v="0"/>
    <n v="5.8093642046970972E-4"/>
    <x v="0"/>
    <x v="10"/>
    <n v="41579.333333333336"/>
  </r>
  <r>
    <s v="P067"/>
    <x v="3"/>
    <d v="2025-03-29T00:00:00"/>
    <s v="Carousel"/>
    <s v="Check out our latest carousel on facebook!"/>
    <n v="4712"/>
    <n v="568"/>
    <n v="127"/>
    <n v="84816"/>
    <n v="84691"/>
    <n v="100"/>
    <s v="#EVRevolution"/>
    <s v="FSDUpdate"/>
    <n v="50862"/>
    <n v="15305"/>
    <n v="5.6486000000000001"/>
    <x v="3"/>
    <n v="3.4881217566157972E-3"/>
    <x v="3"/>
    <x v="27"/>
    <n v="41579.333333333336"/>
  </r>
  <r>
    <s v="P068"/>
    <x v="1"/>
    <d v="2024-12-08T00:00:00"/>
    <s v="Story"/>
    <s v="Check out our latest story on instagram!"/>
    <n v="2610"/>
    <n v="126"/>
    <n v="288"/>
    <n v="15660"/>
    <n v="15145"/>
    <n v="73"/>
    <s v="#EVRevolution"/>
    <m/>
    <n v="58311"/>
    <n v="10307"/>
    <n v="5.7155999999999993"/>
    <x v="1"/>
    <n v="2.304244430264185E-3"/>
    <x v="1"/>
    <x v="31"/>
    <n v="41579.333333333336"/>
  </r>
  <r>
    <s v="P069"/>
    <x v="0"/>
    <d v="2025-03-08T00:00:00"/>
    <s v="Text"/>
    <s v="Check out our latest text on twitter!"/>
    <n v="1292"/>
    <n v="626"/>
    <n v="496"/>
    <n v="25840"/>
    <n v="24916"/>
    <n v="149"/>
    <s v="#FutureOfDriving"/>
    <s v="FSDUpdate"/>
    <n v="53484"/>
    <n v="12307"/>
    <n v="5.6557999999999993"/>
    <x v="0"/>
    <n v="1.358976269313071E-3"/>
    <x v="0"/>
    <x v="23"/>
    <n v="37367"/>
  </r>
  <r>
    <s v="P070"/>
    <x v="3"/>
    <d v="2025-04-02T00:00:00"/>
    <s v="Video"/>
    <s v="Check out our latest video on facebook!"/>
    <n v="199"/>
    <n v="772"/>
    <n v="400"/>
    <n v="3582"/>
    <n v="2988"/>
    <n v="43"/>
    <s v="#TeslaCoInnovation"/>
    <m/>
    <n v="50862"/>
    <n v="15305"/>
    <n v="5.6486000000000001"/>
    <x v="3"/>
    <n v="1.754209195970538E-4"/>
    <x v="3"/>
    <x v="1"/>
    <n v="35430.333333333336"/>
  </r>
  <r>
    <s v="P071"/>
    <x v="2"/>
    <d v="2024-09-02T00:00:00"/>
    <s v="Carousel"/>
    <s v="Check out our latest carousel on youtube!"/>
    <n v="2551"/>
    <n v="915"/>
    <n v="205"/>
    <n v="30612"/>
    <n v="30360"/>
    <n v="227"/>
    <s v="#TeslaCoInnovation"/>
    <s v="ModelYCampaign"/>
    <n v="47471"/>
    <n v="12104"/>
    <n v="5.5587999999999997"/>
    <x v="2"/>
    <n v="2.2610237114484471E-3"/>
    <x v="2"/>
    <x v="36"/>
    <n v="35430.333333333336"/>
  </r>
  <r>
    <s v="P072"/>
    <x v="2"/>
    <d v="2025-03-03T00:00:00"/>
    <s v="Reel"/>
    <s v="Check out our latest reel on youtube!"/>
    <n v="296"/>
    <n v="60"/>
    <n v="141"/>
    <n v="5624"/>
    <n v="5239"/>
    <n v="88"/>
    <s v="#EVRevolution"/>
    <s v="ModelYCampaign"/>
    <n v="47471"/>
    <n v="12104"/>
    <n v="5.5587999999999997"/>
    <x v="2"/>
    <n v="3.1253891475745274E-4"/>
    <x v="2"/>
    <x v="23"/>
    <n v="35430.333333333336"/>
  </r>
  <r>
    <s v="P073"/>
    <x v="3"/>
    <d v="2024-10-18T00:00:00"/>
    <s v="Story"/>
    <s v="Check out our latest story on facebook!"/>
    <n v="4126"/>
    <n v="426"/>
    <n v="486"/>
    <n v="78394"/>
    <n v="77798"/>
    <n v="88"/>
    <s v="#FutureOfDriving"/>
    <s v="SustainabilityDrive"/>
    <n v="50862"/>
    <n v="15305"/>
    <n v="5.6486000000000001"/>
    <x v="3"/>
    <n v="3.0546436164544822E-3"/>
    <x v="3"/>
    <x v="37"/>
    <n v="39642.666666666664"/>
  </r>
  <r>
    <s v="P074"/>
    <x v="2"/>
    <d v="2024-10-28T00:00:00"/>
    <s v="Reel"/>
    <s v="Check out our latest reel on youtube!"/>
    <n v="1855"/>
    <n v="200"/>
    <n v="174"/>
    <n v="16695"/>
    <n v="16330"/>
    <n v="123"/>
    <s v="#TeslaCoInnovation"/>
    <s v="FSDUpdate"/>
    <n v="47471"/>
    <n v="12104"/>
    <n v="5.5587999999999997"/>
    <x v="2"/>
    <n v="1.6099009723704206E-3"/>
    <x v="2"/>
    <x v="5"/>
    <n v="41516"/>
  </r>
  <r>
    <s v="P075"/>
    <x v="1"/>
    <d v="2024-08-01T00:00:00"/>
    <s v="Reel"/>
    <s v="Check out our latest reel on instagram!"/>
    <n v="1674"/>
    <n v="929"/>
    <n v="37"/>
    <n v="21762"/>
    <n v="20998"/>
    <n v="255"/>
    <s v="#TeslaCoInnovation"/>
    <s v="SustainabilityDrive"/>
    <n v="58311"/>
    <n v="10307"/>
    <n v="5.7155999999999993"/>
    <x v="1"/>
    <n v="1.6566856153483463E-3"/>
    <x v="1"/>
    <x v="26"/>
    <n v="41579.333333333336"/>
  </r>
  <r>
    <s v="P076"/>
    <x v="0"/>
    <d v="2024-11-07T00:00:00"/>
    <s v="Story"/>
    <s v="Check out our latest story on twitter!"/>
    <n v="1121"/>
    <n v="135"/>
    <n v="18"/>
    <n v="15694"/>
    <n v="14957"/>
    <n v="99"/>
    <s v="#TeslaCoInnovation"/>
    <s v="SustainabilityDrive"/>
    <n v="53484"/>
    <n v="12307"/>
    <n v="5.6557999999999993"/>
    <x v="0"/>
    <n v="1.150555897683516E-3"/>
    <x v="0"/>
    <x v="19"/>
    <n v="39303.666666666664"/>
  </r>
  <r>
    <s v="P077"/>
    <x v="3"/>
    <d v="2025-03-04T00:00:00"/>
    <s v="Story"/>
    <s v="Check out our latest story on facebook!"/>
    <n v="1249"/>
    <n v="116"/>
    <n v="420"/>
    <n v="8743"/>
    <n v="8538"/>
    <n v="63"/>
    <s v="#TeslaCoInnovation"/>
    <m/>
    <n v="50862"/>
    <n v="15305"/>
    <n v="5.6486000000000001"/>
    <x v="3"/>
    <n v="9.5104234095592802E-4"/>
    <x v="3"/>
    <x v="23"/>
    <n v="41579.333333333336"/>
  </r>
  <r>
    <s v="P078"/>
    <x v="0"/>
    <d v="2024-06-17T00:00:00"/>
    <s v="Image"/>
    <s v="Check out our latest image on twitter!"/>
    <n v="954"/>
    <n v="324"/>
    <n v="288"/>
    <n v="19080"/>
    <n v="18859"/>
    <n v="21"/>
    <s v="#FutureOfDriving"/>
    <s v="SustainabilityDrive"/>
    <n v="53484"/>
    <n v="12307"/>
    <n v="5.6557999999999993"/>
    <x v="0"/>
    <n v="9.1950163954215424E-4"/>
    <x v="0"/>
    <x v="35"/>
    <n v="45728.333333333336"/>
  </r>
  <r>
    <s v="P079"/>
    <x v="1"/>
    <d v="2024-10-09T00:00:00"/>
    <s v="Carousel"/>
    <s v="Check out our latest carousel on instagram!"/>
    <n v="3068"/>
    <n v="137"/>
    <n v="329"/>
    <n v="39884"/>
    <n v="39404"/>
    <n v="266"/>
    <s v="#EVRevolution"/>
    <s v="ModelYCampaign"/>
    <n v="58311"/>
    <n v="10307"/>
    <n v="5.7155999999999993"/>
    <x v="1"/>
    <n v="2.86334361926977E-3"/>
    <x v="1"/>
    <x v="38"/>
    <n v="48004"/>
  </r>
  <r>
    <s v="P080"/>
    <x v="1"/>
    <d v="2024-06-13T00:00:00"/>
    <s v="Story"/>
    <s v="Check out our latest story on instagram!"/>
    <n v="2103"/>
    <n v="892"/>
    <n v="103"/>
    <n v="39957"/>
    <n v="39466"/>
    <n v="28"/>
    <s v="#FutureOfDriving"/>
    <m/>
    <n v="58311"/>
    <n v="10307"/>
    <n v="5.7155999999999993"/>
    <x v="1"/>
    <n v="1.8301695418907859E-3"/>
    <x v="1"/>
    <x v="33"/>
    <n v="48004"/>
  </r>
  <r>
    <s v="P081"/>
    <x v="1"/>
    <d v="2024-10-19T00:00:00"/>
    <s v="Story"/>
    <s v="Check out our latest story on instagram!"/>
    <n v="1816"/>
    <n v="29"/>
    <n v="41"/>
    <n v="19976"/>
    <n v="19262"/>
    <n v="283"/>
    <s v="#TeslaCoInnovation"/>
    <s v="FSDUpdate"/>
    <n v="58311"/>
    <n v="10307"/>
    <n v="5.7155999999999993"/>
    <x v="1"/>
    <n v="1.802686939666241E-3"/>
    <x v="1"/>
    <x v="37"/>
    <n v="43791.666666666664"/>
  </r>
  <r>
    <s v="P082"/>
    <x v="1"/>
    <d v="2024-07-24T00:00:00"/>
    <s v="Image"/>
    <s v="Check out our latest image on instagram!"/>
    <n v="725"/>
    <n v="88"/>
    <n v="428"/>
    <n v="14500"/>
    <n v="13637"/>
    <n v="200"/>
    <s v="#FutureOfDriving"/>
    <s v="FSDUpdate"/>
    <n v="58311"/>
    <n v="10307"/>
    <n v="5.7155999999999993"/>
    <x v="1"/>
    <n v="7.9441897055325058E-4"/>
    <x v="1"/>
    <x v="10"/>
    <n v="39642.666666666664"/>
  </r>
  <r>
    <s v="P083"/>
    <x v="2"/>
    <d v="2024-10-15T00:00:00"/>
    <s v="Video"/>
    <s v="Check out our latest video on youtube!"/>
    <n v="1094"/>
    <n v="472"/>
    <n v="21"/>
    <n v="9846"/>
    <n v="9609"/>
    <n v="112"/>
    <s v="#EVRevolution"/>
    <m/>
    <n v="47471"/>
    <n v="12104"/>
    <n v="5.5587999999999997"/>
    <x v="2"/>
    <n v="9.8156752916012482E-4"/>
    <x v="2"/>
    <x v="37"/>
    <n v="39642.666666666664"/>
  </r>
  <r>
    <s v="P084"/>
    <x v="3"/>
    <d v="2024-12-09T00:00:00"/>
    <s v="Image"/>
    <s v="Check out our latest image on facebook!"/>
    <n v="1841"/>
    <n v="851"/>
    <n v="342"/>
    <n v="34979"/>
    <n v="34154"/>
    <n v="255"/>
    <s v="#FutureOfDriving"/>
    <s v="SustainabilityDrive"/>
    <n v="50862"/>
    <n v="15305"/>
    <n v="5.6486000000000001"/>
    <x v="3"/>
    <n v="1.5193481300637387E-3"/>
    <x v="3"/>
    <x v="31"/>
    <n v="39642.666666666664"/>
  </r>
  <r>
    <s v="P085"/>
    <x v="1"/>
    <d v="2025-04-19T00:00:00"/>
    <s v="Image"/>
    <s v="Check out our latest image on instagram!"/>
    <n v="4177"/>
    <n v="569"/>
    <n v="55"/>
    <n v="25062"/>
    <n v="24847"/>
    <n v="230"/>
    <s v="#FutureOfDriving"/>
    <s v="CybertruckLaunch"/>
    <n v="58311"/>
    <n v="10307"/>
    <n v="5.7155999999999993"/>
    <x v="1"/>
    <n v="3.7848696251115408E-3"/>
    <x v="1"/>
    <x v="29"/>
    <n v="41516"/>
  </r>
  <r>
    <s v="P086"/>
    <x v="2"/>
    <d v="2025-01-27T00:00:00"/>
    <s v="Text"/>
    <s v="Check out our latest text on youtube!"/>
    <n v="3428"/>
    <n v="305"/>
    <n v="85"/>
    <n v="58276"/>
    <n v="58052"/>
    <n v="242"/>
    <s v="#EVRevolution"/>
    <s v="SustainabilityDrive"/>
    <n v="47471"/>
    <n v="12104"/>
    <n v="5.5587999999999997"/>
    <x v="2"/>
    <n v="2.9870255655204464E-3"/>
    <x v="2"/>
    <x v="24"/>
    <n v="37367"/>
  </r>
  <r>
    <s v="P087"/>
    <x v="0"/>
    <d v="2024-06-06T00:00:00"/>
    <s v="Video"/>
    <s v="Check out our latest video on twitter!"/>
    <n v="1436"/>
    <n v="765"/>
    <n v="496"/>
    <n v="12924"/>
    <n v="12701"/>
    <n v="197"/>
    <s v="#FutureOfDriving"/>
    <s v="FSDUpdate"/>
    <n v="53484"/>
    <n v="12307"/>
    <n v="5.6557999999999993"/>
    <x v="0"/>
    <n v="1.540047361407526E-3"/>
    <x v="0"/>
    <x v="39"/>
    <n v="39303.666666666664"/>
  </r>
  <r>
    <s v="P088"/>
    <x v="3"/>
    <d v="2024-07-07T00:00:00"/>
    <s v="Story"/>
    <s v="Check out our latest story on facebook!"/>
    <n v="302"/>
    <n v="47"/>
    <n v="430"/>
    <n v="5738"/>
    <n v="4890"/>
    <n v="25"/>
    <s v="#TeslaCoInnovation"/>
    <s v="SustainabilityDrive"/>
    <n v="50862"/>
    <n v="15305"/>
    <n v="5.6486000000000001"/>
    <x v="3"/>
    <n v="2.3703570540593632E-4"/>
    <x v="3"/>
    <x v="6"/>
    <n v="41579.333333333336"/>
  </r>
  <r>
    <s v="P089"/>
    <x v="0"/>
    <d v="2025-01-10T00:00:00"/>
    <s v="Image"/>
    <s v="Check out our latest image on twitter!"/>
    <n v="2214"/>
    <n v="249"/>
    <n v="152"/>
    <n v="15498"/>
    <n v="14800"/>
    <n v="180"/>
    <s v="#EVRevolution"/>
    <m/>
    <n v="53484"/>
    <n v="12307"/>
    <n v="5.6557999999999993"/>
    <x v="0"/>
    <n v="2.2577301795527354E-3"/>
    <x v="0"/>
    <x v="30"/>
    <n v="41579.333333333336"/>
  </r>
  <r>
    <s v="P090"/>
    <x v="1"/>
    <d v="2024-06-03T00:00:00"/>
    <s v="Image"/>
    <s v="Check out our latest image on instagram!"/>
    <n v="3861"/>
    <n v="960"/>
    <n v="101"/>
    <n v="69498"/>
    <n v="68817"/>
    <n v="297"/>
    <s v="#TeslaCoInnovation"/>
    <s v="SustainabilityDrive"/>
    <n v="58311"/>
    <n v="10307"/>
    <n v="5.7155999999999993"/>
    <x v="1"/>
    <n v="3.5710206265518007E-3"/>
    <x v="1"/>
    <x v="39"/>
    <n v="41579.333333333336"/>
  </r>
  <r>
    <s v="P091"/>
    <x v="3"/>
    <d v="2025-03-24T00:00:00"/>
    <s v="Image"/>
    <s v="Check out our latest image on facebook!"/>
    <n v="1263"/>
    <n v="397"/>
    <n v="357"/>
    <n v="25260"/>
    <n v="24615"/>
    <n v="137"/>
    <s v="#EVRevolution"/>
    <s v="SustainabilityDrive"/>
    <n v="50862"/>
    <n v="15305"/>
    <n v="5.6486000000000001"/>
    <x v="3"/>
    <n v="1.0148317662639476E-3"/>
    <x v="3"/>
    <x v="27"/>
    <n v="41579.333333333336"/>
  </r>
  <r>
    <s v="P092"/>
    <x v="0"/>
    <d v="2024-10-21T00:00:00"/>
    <s v="Story"/>
    <s v="Check out our latest story on twitter!"/>
    <n v="3801"/>
    <n v="967"/>
    <n v="401"/>
    <n v="38010"/>
    <n v="37625"/>
    <n v="236"/>
    <s v="#FutureOfDriving"/>
    <s v="FSDUpdate"/>
    <n v="53484"/>
    <n v="12307"/>
    <n v="5.6557999999999993"/>
    <x v="0"/>
    <n v="3.8072083270068477E-3"/>
    <x v="0"/>
    <x v="13"/>
    <n v="45728.333333333336"/>
  </r>
  <r>
    <s v="P093"/>
    <x v="1"/>
    <d v="2024-12-11T00:00:00"/>
    <s v="Video"/>
    <s v="Check out our latest video on instagram!"/>
    <n v="1431"/>
    <n v="951"/>
    <n v="26"/>
    <n v="8586"/>
    <n v="8396"/>
    <n v="150"/>
    <s v="#EVRevolution"/>
    <s v="FSDUpdate"/>
    <n v="58311"/>
    <n v="10307"/>
    <n v="5.7155999999999993"/>
    <x v="1"/>
    <n v="1.3578123161564206E-3"/>
    <x v="1"/>
    <x v="31"/>
    <n v="48004"/>
  </r>
  <r>
    <s v="P094"/>
    <x v="1"/>
    <d v="2024-11-07T00:00:00"/>
    <s v="Image"/>
    <s v="Check out our latest image on instagram!"/>
    <n v="2647"/>
    <n v="304"/>
    <n v="170"/>
    <n v="18529"/>
    <n v="17841"/>
    <n v="46"/>
    <s v="#FutureOfDriving"/>
    <s v="FSDUpdate"/>
    <n v="58311"/>
    <n v="10307"/>
    <n v="5.7155999999999993"/>
    <x v="1"/>
    <n v="2.3128327434593552E-3"/>
    <x v="1"/>
    <x v="19"/>
    <n v="45728.333333333336"/>
  </r>
  <r>
    <s v="P095"/>
    <x v="1"/>
    <d v="2024-11-08T00:00:00"/>
    <s v="Text"/>
    <s v="Check out our latest text on instagram!"/>
    <n v="3182"/>
    <n v="559"/>
    <n v="160"/>
    <n v="57276"/>
    <n v="56890"/>
    <n v="163"/>
    <s v="#FutureOfDriving"/>
    <s v="SustainabilityDrive"/>
    <n v="58311"/>
    <n v="10307"/>
    <n v="5.7155999999999993"/>
    <x v="1"/>
    <n v="2.8727907637844572E-3"/>
    <x v="1"/>
    <x v="19"/>
    <n v="45728.333333333336"/>
  </r>
  <r>
    <s v="P096"/>
    <x v="0"/>
    <d v="2024-09-10T00:00:00"/>
    <s v="Image"/>
    <s v="Check out our latest image on twitter!"/>
    <n v="1238"/>
    <n v="366"/>
    <n v="444"/>
    <n v="19808"/>
    <n v="19334"/>
    <n v="123"/>
    <s v="#FutureOfDriving"/>
    <m/>
    <n v="53484"/>
    <n v="12307"/>
    <n v="5.6557999999999993"/>
    <x v="0"/>
    <n v="1.2835299809403815E-3"/>
    <x v="0"/>
    <x v="16"/>
    <n v="43452.666666666664"/>
  </r>
  <r>
    <s v="P097"/>
    <x v="1"/>
    <d v="2024-08-13T00:00:00"/>
    <s v="Image"/>
    <s v="Check out our latest image on instagram!"/>
    <n v="4739"/>
    <n v="527"/>
    <n v="135"/>
    <n v="61607"/>
    <n v="61333"/>
    <n v="36"/>
    <s v="#TeslaCoInnovation"/>
    <s v="ModelYCampaign"/>
    <n v="58311"/>
    <n v="10307"/>
    <n v="5.7155999999999993"/>
    <x v="1"/>
    <n v="4.1009195506938071E-3"/>
    <x v="1"/>
    <x v="2"/>
    <n v="41516"/>
  </r>
  <r>
    <s v="P098"/>
    <x v="0"/>
    <d v="2024-06-10T00:00:00"/>
    <s v="Story"/>
    <s v="Check out our latest story on twitter!"/>
    <n v="1575"/>
    <n v="771"/>
    <n v="486"/>
    <n v="25200"/>
    <n v="24826"/>
    <n v="17"/>
    <s v="#FutureOfDriving"/>
    <s v="SustainabilityDrive"/>
    <n v="53484"/>
    <n v="12307"/>
    <n v="5.6557999999999993"/>
    <x v="0"/>
    <n v="1.5013811386165225E-3"/>
    <x v="0"/>
    <x v="33"/>
    <n v="37303.666666666664"/>
  </r>
  <r>
    <s v="P099"/>
    <x v="2"/>
    <d v="2024-07-02T00:00:00"/>
    <s v="Carousel"/>
    <s v="Check out our latest carousel on youtube!"/>
    <n v="4171"/>
    <n v="548"/>
    <n v="86"/>
    <n v="66736"/>
    <n v="66634"/>
    <n v="173"/>
    <s v="#FutureOfDriving"/>
    <s v="FSDUpdate"/>
    <n v="47471"/>
    <n v="12104"/>
    <n v="5.5587999999999997"/>
    <x v="2"/>
    <n v="3.5355964731936837E-3"/>
    <x v="2"/>
    <x v="34"/>
    <n v="35367"/>
  </r>
  <r>
    <s v="P100"/>
    <x v="2"/>
    <d v="2025-02-10T00:00:00"/>
    <s v="Video"/>
    <s v="Check out our latest video on youtube!"/>
    <n v="1766"/>
    <n v="92"/>
    <n v="424"/>
    <n v="24724"/>
    <n v="24333"/>
    <n v="52"/>
    <s v="#EVRevolution"/>
    <m/>
    <n v="47471"/>
    <n v="12104"/>
    <n v="5.5587999999999997"/>
    <x v="2"/>
    <n v="1.4796764245548152E-3"/>
    <x v="2"/>
    <x v="40"/>
    <n v="37303.666666666664"/>
  </r>
  <r>
    <s v="P101"/>
    <x v="2"/>
    <d v="2024-10-18T00:00:00"/>
    <s v="Video"/>
    <s v="Check out our latest video on youtube!"/>
    <n v="4450"/>
    <n v="983"/>
    <n v="143"/>
    <n v="75650"/>
    <n v="75008"/>
    <n v="12"/>
    <s v="#FutureOfDriving"/>
    <s v="FSDUpdate"/>
    <n v="47471"/>
    <n v="12104"/>
    <n v="5.5587999999999997"/>
    <x v="2"/>
    <n v="3.6316370772076926E-3"/>
    <x v="2"/>
    <x v="37"/>
    <n v="37367"/>
  </r>
  <r>
    <s v="P102"/>
    <x v="0"/>
    <d v="2024-09-18T00:00:00"/>
    <s v="Reel"/>
    <s v="Check out our latest reel on twitter!"/>
    <n v="1000"/>
    <n v="978"/>
    <n v="162"/>
    <n v="6000"/>
    <n v="5221"/>
    <n v="223"/>
    <s v="#EVRevolution"/>
    <s v="ModelYCampaign"/>
    <n v="53484"/>
    <n v="12307"/>
    <n v="5.6557999999999993"/>
    <x v="0"/>
    <n v="1.153385133497492E-3"/>
    <x v="0"/>
    <x v="22"/>
    <n v="37367"/>
  </r>
  <r>
    <s v="P103"/>
    <x v="3"/>
    <d v="2024-06-11T00:00:00"/>
    <s v="Image"/>
    <s v="Check out our latest image on facebook!"/>
    <n v="3689"/>
    <n v="48"/>
    <n v="306"/>
    <n v="40579"/>
    <n v="39588"/>
    <n v="212"/>
    <s v="#EVRevolution"/>
    <s v="ModelYCampaign"/>
    <n v="50862"/>
    <n v="15305"/>
    <n v="5.6486000000000001"/>
    <x v="3"/>
    <n v="2.8277562287111853E-3"/>
    <x v="3"/>
    <x v="33"/>
    <n v="39642.666666666664"/>
  </r>
  <r>
    <s v="P104"/>
    <x v="2"/>
    <d v="2025-03-23T00:00:00"/>
    <s v="Story"/>
    <s v="Check out our latest story on youtube!"/>
    <n v="3655"/>
    <n v="568"/>
    <n v="286"/>
    <n v="32895"/>
    <n v="32015"/>
    <n v="199"/>
    <s v="#TeslaCoInnovation"/>
    <s v="FSDUpdate"/>
    <n v="47471"/>
    <n v="12104"/>
    <n v="5.5587999999999997"/>
    <x v="2"/>
    <n v="3.1367837955083924E-3"/>
    <x v="2"/>
    <x v="27"/>
    <n v="43791.666666666664"/>
  </r>
  <r>
    <s v="P105"/>
    <x v="1"/>
    <d v="2024-06-14T00:00:00"/>
    <s v="Carousel"/>
    <s v="Check out our latest carousel on instagram!"/>
    <n v="498"/>
    <n v="38"/>
    <n v="42"/>
    <n v="4482"/>
    <n v="3647"/>
    <n v="32"/>
    <s v="#FutureOfDriving"/>
    <s v="CybertruckLaunch"/>
    <n v="58311"/>
    <n v="10307"/>
    <n v="5.7155999999999993"/>
    <x v="1"/>
    <n v="4.5518059934402462E-4"/>
    <x v="1"/>
    <x v="33"/>
    <n v="43791.666666666664"/>
  </r>
  <r>
    <s v="P106"/>
    <x v="1"/>
    <d v="2025-02-04T00:00:00"/>
    <s v="Image"/>
    <s v="Check out our latest image on instagram!"/>
    <n v="4619"/>
    <n v="821"/>
    <n v="499"/>
    <n v="69285"/>
    <n v="69141"/>
    <n v="298"/>
    <s v="#TeslaCoInnovation"/>
    <s v="SustainabilityDrive"/>
    <n v="58311"/>
    <n v="10307"/>
    <n v="5.7155999999999993"/>
    <x v="1"/>
    <n v="4.2228735980652252E-3"/>
    <x v="1"/>
    <x v="9"/>
    <n v="41516"/>
  </r>
  <r>
    <s v="P107"/>
    <x v="2"/>
    <d v="2024-06-21T00:00:00"/>
    <s v="Image"/>
    <s v="Check out our latest image on youtube!"/>
    <n v="4832"/>
    <n v="893"/>
    <n v="10"/>
    <n v="91808"/>
    <n v="91296"/>
    <n v="182"/>
    <s v="#TeslaCoInnovation"/>
    <m/>
    <n v="47471"/>
    <n v="12104"/>
    <n v="5.5587999999999997"/>
    <x v="2"/>
    <n v="4.0809117671715307E-3"/>
    <x v="2"/>
    <x v="35"/>
    <n v="39240.333333333336"/>
  </r>
  <r>
    <s v="P108"/>
    <x v="0"/>
    <d v="2025-03-25T00:00:00"/>
    <s v="Video"/>
    <s v="Check out our latest video on twitter!"/>
    <n v="4050"/>
    <n v="871"/>
    <n v="347"/>
    <n v="52650"/>
    <n v="51755"/>
    <n v="209"/>
    <s v="#TeslaCoInnovation"/>
    <s v="ModelYCampaign"/>
    <n v="53484"/>
    <n v="12307"/>
    <n v="5.6557999999999993"/>
    <x v="0"/>
    <n v="4.0165717772410615E-3"/>
    <x v="0"/>
    <x v="27"/>
    <n v="43452.666666666664"/>
  </r>
  <r>
    <s v="P109"/>
    <x v="0"/>
    <d v="2024-08-08T00:00:00"/>
    <s v="Story"/>
    <s v="Check out our latest story on twitter!"/>
    <n v="3649"/>
    <n v="215"/>
    <n v="413"/>
    <n v="25543"/>
    <n v="24963"/>
    <n v="167"/>
    <s v="#FutureOfDriving"/>
    <s v="FSDUpdate"/>
    <n v="53484"/>
    <n v="12307"/>
    <n v="5.6557999999999993"/>
    <x v="0"/>
    <n v="3.5987879553772929E-3"/>
    <x v="0"/>
    <x v="41"/>
    <n v="41516"/>
  </r>
  <r>
    <s v="P110"/>
    <x v="1"/>
    <d v="2024-07-29T00:00:00"/>
    <s v="Reel"/>
    <s v="Check out our latest reel on instagram!"/>
    <n v="3523"/>
    <n v="753"/>
    <n v="482"/>
    <n v="38753"/>
    <n v="38579"/>
    <n v="270"/>
    <s v="#EVRevolution"/>
    <s v="ModelYCampaign"/>
    <n v="58311"/>
    <n v="10307"/>
    <n v="5.7155999999999993"/>
    <x v="1"/>
    <n v="3.2575471949280858E-3"/>
    <x v="1"/>
    <x v="26"/>
    <n v="41516"/>
  </r>
  <r>
    <s v="P111"/>
    <x v="2"/>
    <d v="2024-11-23T00:00:00"/>
    <s v="Image"/>
    <s v="Check out our latest image on youtube!"/>
    <n v="2719"/>
    <n v="17"/>
    <n v="285"/>
    <n v="40785"/>
    <n v="40281"/>
    <n v="40"/>
    <s v="#TeslaCoInnovation"/>
    <s v="ModelYCampaign"/>
    <n v="47471"/>
    <n v="12104"/>
    <n v="5.5587999999999997"/>
    <x v="2"/>
    <n v="2.2455595463953437E-3"/>
    <x v="2"/>
    <x v="11"/>
    <n v="39240.333333333336"/>
  </r>
  <r>
    <s v="P112"/>
    <x v="0"/>
    <d v="2024-10-05T00:00:00"/>
    <s v="Story"/>
    <s v="Check out our latest story on twitter!"/>
    <n v="1957"/>
    <n v="877"/>
    <n v="238"/>
    <n v="17613"/>
    <n v="16865"/>
    <n v="297"/>
    <s v="#FutureOfDriving"/>
    <s v="FSDUpdate"/>
    <n v="53484"/>
    <n v="12307"/>
    <n v="5.6557999999999993"/>
    <x v="0"/>
    <n v="2.1256991749005289E-3"/>
    <x v="0"/>
    <x v="42"/>
    <n v="41177"/>
  </r>
  <r>
    <s v="P113"/>
    <x v="0"/>
    <d v="2024-10-02T00:00:00"/>
    <s v="Carousel"/>
    <s v="Check out our latest carousel on twitter!"/>
    <n v="4419"/>
    <n v="236"/>
    <n v="369"/>
    <n v="44190"/>
    <n v="43582"/>
    <n v="10"/>
    <s v="#EVRevolution"/>
    <s v="CybertruckLaunch"/>
    <n v="53484"/>
    <n v="12307"/>
    <n v="5.6557999999999993"/>
    <x v="0"/>
    <n v="4.1768951400330268E-3"/>
    <x v="0"/>
    <x v="42"/>
    <n v="41177"/>
  </r>
  <r>
    <s v="P114"/>
    <x v="0"/>
    <d v="2024-11-14T00:00:00"/>
    <s v="Story"/>
    <s v="Check out our latest story on twitter!"/>
    <n v="4000"/>
    <n v="689"/>
    <n v="488"/>
    <n v="40000"/>
    <n v="39569"/>
    <n v="44"/>
    <s v="#FutureOfDriving"/>
    <s v="CybertruckLaunch"/>
    <n v="53484"/>
    <n v="12307"/>
    <n v="5.6557999999999993"/>
    <x v="0"/>
    <n v="3.8138098772394582E-3"/>
    <x v="0"/>
    <x v="43"/>
    <n v="39240.333333333336"/>
  </r>
  <r>
    <s v="P115"/>
    <x v="0"/>
    <d v="2025-05-11T00:00:00"/>
    <s v="Image"/>
    <s v="Check out our latest image on twitter!"/>
    <n v="2493"/>
    <n v="97"/>
    <n v="44"/>
    <n v="42381"/>
    <n v="41991"/>
    <n v="242"/>
    <s v="#TeslaCoInnovation"/>
    <s v="SustainabilityDrive"/>
    <n v="53484"/>
    <n v="12307"/>
    <n v="5.6557999999999993"/>
    <x v="0"/>
    <n v="2.579319983741325E-3"/>
    <x v="0"/>
    <x v="3"/>
    <n v="39240.333333333336"/>
  </r>
  <r>
    <s v="P116"/>
    <x v="2"/>
    <d v="2025-03-18T00:00:00"/>
    <s v="Reel"/>
    <s v="Check out our latest reel on youtube!"/>
    <n v="3704"/>
    <n v="186"/>
    <n v="458"/>
    <n v="25928"/>
    <n v="25081"/>
    <n v="131"/>
    <s v="#TeslaCoInnovation"/>
    <m/>
    <n v="47471"/>
    <n v="12104"/>
    <n v="5.5587999999999997"/>
    <x v="2"/>
    <n v="3.1213196304552895E-3"/>
    <x v="2"/>
    <x v="44"/>
    <n v="37367"/>
  </r>
  <r>
    <s v="P117"/>
    <x v="0"/>
    <d v="2024-11-04T00:00:00"/>
    <s v="Image"/>
    <s v="Check out our latest image on twitter!"/>
    <n v="1606"/>
    <n v="451"/>
    <n v="405"/>
    <n v="20878"/>
    <n v="20190"/>
    <n v="219"/>
    <s v="#EVRevolution"/>
    <s v="SustainabilityDrive"/>
    <n v="53484"/>
    <n v="12307"/>
    <n v="5.6557999999999993"/>
    <x v="0"/>
    <n v="1.721118453501981E-3"/>
    <x v="0"/>
    <x v="19"/>
    <n v="41579.333333333336"/>
  </r>
  <r>
    <s v="P118"/>
    <x v="3"/>
    <d v="2024-11-04T00:00:00"/>
    <s v="Image"/>
    <s v="Check out our latest image on facebook!"/>
    <n v="4551"/>
    <n v="714"/>
    <n v="207"/>
    <n v="68265"/>
    <n v="67754"/>
    <n v="57"/>
    <s v="#FutureOfDriving"/>
    <s v="FSDUpdate"/>
    <n v="50862"/>
    <n v="15305"/>
    <n v="5.6486000000000001"/>
    <x v="3"/>
    <n v="3.3402462706744788E-3"/>
    <x v="3"/>
    <x v="19"/>
    <n v="39706"/>
  </r>
  <r>
    <s v="P119"/>
    <x v="1"/>
    <d v="2025-02-07T00:00:00"/>
    <s v="Reel"/>
    <s v="Check out our latest reel on instagram!"/>
    <n v="1970"/>
    <n v="675"/>
    <n v="478"/>
    <n v="9850"/>
    <n v="8924"/>
    <n v="117"/>
    <s v="#FutureOfDriving"/>
    <m/>
    <n v="58311"/>
    <n v="10307"/>
    <n v="5.7155999999999993"/>
    <x v="1"/>
    <n v="1.7923809638320366E-3"/>
    <x v="1"/>
    <x v="9"/>
    <n v="43855"/>
  </r>
  <r>
    <s v="P120"/>
    <x v="3"/>
    <d v="2024-10-21T00:00:00"/>
    <s v="Story"/>
    <s v="Check out our latest story on facebook!"/>
    <n v="780"/>
    <n v="928"/>
    <n v="301"/>
    <n v="8580"/>
    <n v="8081"/>
    <n v="91"/>
    <s v="#EVRevolution"/>
    <s v="FSDUpdate"/>
    <n v="50862"/>
    <n v="15305"/>
    <n v="5.6486000000000001"/>
    <x v="3"/>
    <n v="6.3137033458278457E-4"/>
    <x v="3"/>
    <x v="13"/>
    <n v="43855"/>
  </r>
  <r>
    <s v="P121"/>
    <x v="1"/>
    <d v="2024-07-29T00:00:00"/>
    <s v="Story"/>
    <s v="Check out our latest story on instagram!"/>
    <n v="498"/>
    <n v="701"/>
    <n v="412"/>
    <n v="4980"/>
    <n v="4185"/>
    <n v="185"/>
    <s v="#FutureOfDriving"/>
    <m/>
    <n v="58311"/>
    <n v="10307"/>
    <n v="5.7155999999999993"/>
    <x v="1"/>
    <n v="5.8658179123012989E-4"/>
    <x v="1"/>
    <x v="26"/>
    <n v="48004"/>
  </r>
  <r>
    <s v="P122"/>
    <x v="1"/>
    <d v="2024-10-02T00:00:00"/>
    <s v="Text"/>
    <s v="Check out our latest text on instagram!"/>
    <n v="3432"/>
    <n v="869"/>
    <n v="123"/>
    <n v="54912"/>
    <n v="53916"/>
    <n v="264"/>
    <s v="#EVRevolution"/>
    <s v="ModelYCampaign"/>
    <n v="58311"/>
    <n v="10307"/>
    <n v="5.7155999999999993"/>
    <x v="1"/>
    <n v="3.174240556934934E-3"/>
    <x v="1"/>
    <x v="42"/>
    <n v="43791.666666666664"/>
  </r>
  <r>
    <s v="P123"/>
    <x v="1"/>
    <d v="2024-06-14T00:00:00"/>
    <s v="Story"/>
    <s v="Check out our latest story on instagram!"/>
    <n v="4363"/>
    <n v="649"/>
    <n v="140"/>
    <n v="21815"/>
    <n v="21481"/>
    <n v="157"/>
    <s v="#EVRevolution"/>
    <s v="CybertruckLaunch"/>
    <n v="58311"/>
    <n v="10307"/>
    <n v="5.7155999999999993"/>
    <x v="1"/>
    <n v="3.8819175642169647E-3"/>
    <x v="1"/>
    <x v="33"/>
    <n v="41516"/>
  </r>
  <r>
    <s v="P124"/>
    <x v="2"/>
    <d v="2025-04-06T00:00:00"/>
    <s v="Carousel"/>
    <s v="Check out our latest carousel on youtube!"/>
    <n v="736"/>
    <n v="771"/>
    <n v="225"/>
    <n v="5152"/>
    <n v="4706"/>
    <n v="19"/>
    <s v="#EVRevolution"/>
    <s v="CybertruckLaunch"/>
    <n v="47471"/>
    <n v="12104"/>
    <n v="5.5587999999999997"/>
    <x v="2"/>
    <n v="6.1449708500488744E-4"/>
    <x v="2"/>
    <x v="21"/>
    <n v="41516"/>
  </r>
  <r>
    <s v="P125"/>
    <x v="0"/>
    <d v="2024-09-08T00:00:00"/>
    <s v="Carousel"/>
    <s v="Check out our latest carousel on twitter!"/>
    <n v="3811"/>
    <n v="866"/>
    <n v="216"/>
    <n v="34299"/>
    <n v="34088"/>
    <n v="233"/>
    <s v="#TeslaCoInnovation"/>
    <s v="SustainabilityDrive"/>
    <n v="53484"/>
    <n v="12307"/>
    <n v="5.6557999999999993"/>
    <x v="0"/>
    <n v="3.8138098772394582E-3"/>
    <x v="0"/>
    <x v="16"/>
    <n v="41579.333333333336"/>
  </r>
  <r>
    <s v="P126"/>
    <x v="1"/>
    <d v="2025-03-28T00:00:00"/>
    <s v="Carousel"/>
    <s v="Check out our latest carousel on instagram!"/>
    <n v="4158"/>
    <n v="167"/>
    <n v="241"/>
    <n v="45738"/>
    <n v="45183"/>
    <n v="142"/>
    <s v="#FutureOfDriving"/>
    <m/>
    <n v="58311"/>
    <n v="10307"/>
    <n v="5.7155999999999993"/>
    <x v="1"/>
    <n v="3.6929746739232188E-3"/>
    <x v="1"/>
    <x v="27"/>
    <n v="41579.333333333336"/>
  </r>
  <r>
    <s v="P127"/>
    <x v="3"/>
    <d v="2025-01-27T00:00:00"/>
    <s v="Reel"/>
    <s v="Check out our latest reel on facebook!"/>
    <n v="3452"/>
    <n v="652"/>
    <n v="442"/>
    <n v="65588"/>
    <n v="65049"/>
    <n v="158"/>
    <s v="#FutureOfDriving"/>
    <s v="FSDUpdate"/>
    <n v="50862"/>
    <n v="15305"/>
    <n v="5.6486000000000001"/>
    <x v="3"/>
    <n v="2.6168161972948936E-3"/>
    <x v="3"/>
    <x v="24"/>
    <n v="39303.666666666664"/>
  </r>
  <r>
    <s v="P128"/>
    <x v="0"/>
    <d v="2025-01-10T00:00:00"/>
    <s v="Image"/>
    <s v="Check out our latest image on twitter!"/>
    <n v="3092"/>
    <n v="106"/>
    <n v="291"/>
    <n v="27828"/>
    <n v="27217"/>
    <n v="102"/>
    <s v="#FutureOfDriving"/>
    <m/>
    <n v="53484"/>
    <n v="12307"/>
    <n v="5.6557999999999993"/>
    <x v="0"/>
    <n v="3.0121930632796313E-3"/>
    <x v="0"/>
    <x v="30"/>
    <n v="39240.333333333336"/>
  </r>
  <r>
    <s v="P129"/>
    <x v="0"/>
    <d v="2024-07-21T00:00:00"/>
    <s v="Text"/>
    <s v="Check out our latest text on twitter!"/>
    <n v="2147"/>
    <n v="430"/>
    <n v="393"/>
    <n v="17176"/>
    <n v="16483"/>
    <n v="170"/>
    <s v="#TeslaCoInnovation"/>
    <m/>
    <n v="53484"/>
    <n v="12307"/>
    <n v="5.6557999999999993"/>
    <x v="0"/>
    <n v="2.1851131269940219E-3"/>
    <x v="0"/>
    <x v="10"/>
    <n v="41516"/>
  </r>
  <r>
    <s v="P130"/>
    <x v="2"/>
    <d v="2024-09-29T00:00:00"/>
    <s v="Reel"/>
    <s v="Check out our latest reel on youtube!"/>
    <n v="2936"/>
    <n v="439"/>
    <n v="44"/>
    <n v="38168"/>
    <n v="37571"/>
    <n v="22"/>
    <s v="#EVRevolution"/>
    <s v="SustainabilityDrive"/>
    <n v="47471"/>
    <n v="12104"/>
    <n v="5.5587999999999997"/>
    <x v="2"/>
    <n v="2.4075263277410029E-3"/>
    <x v="2"/>
    <x v="42"/>
    <n v="43791.666666666664"/>
  </r>
  <r>
    <s v="P131"/>
    <x v="1"/>
    <d v="2024-10-21T00:00:00"/>
    <s v="Reel"/>
    <s v="Check out our latest reel on instagram!"/>
    <n v="4840"/>
    <n v="658"/>
    <n v="211"/>
    <n v="43560"/>
    <n v="43225"/>
    <n v="57"/>
    <s v="#FutureOfDriving"/>
    <s v="FSDUpdate"/>
    <n v="58311"/>
    <n v="10307"/>
    <n v="5.7155999999999993"/>
    <x v="1"/>
    <n v="4.2056969716748839E-3"/>
    <x v="1"/>
    <x v="13"/>
    <n v="43855"/>
  </r>
  <r>
    <s v="P132"/>
    <x v="1"/>
    <d v="2025-03-04T00:00:00"/>
    <s v="Story"/>
    <s v="Check out our latest story on instagram!"/>
    <n v="1947"/>
    <n v="842"/>
    <n v="101"/>
    <n v="21417"/>
    <n v="20967"/>
    <n v="186"/>
    <s v="#FutureOfDriving"/>
    <s v="ModelYCampaign"/>
    <n v="58311"/>
    <n v="10307"/>
    <n v="5.7155999999999993"/>
    <x v="1"/>
    <n v="1.8318872045298199E-3"/>
    <x v="1"/>
    <x v="23"/>
    <n v="41579.333333333336"/>
  </r>
  <r>
    <s v="P133"/>
    <x v="3"/>
    <d v="2025-02-06T00:00:00"/>
    <s v="Image"/>
    <s v="Check out our latest image on facebook!"/>
    <n v="2072"/>
    <n v="532"/>
    <n v="71"/>
    <n v="37296"/>
    <n v="36467"/>
    <n v="25"/>
    <s v="#TeslaCoInnovation"/>
    <s v="SustainabilityDrive"/>
    <n v="50862"/>
    <n v="15305"/>
    <n v="5.6486000000000001"/>
    <x v="3"/>
    <n v="1.5200730098967844E-3"/>
    <x v="3"/>
    <x v="9"/>
    <n v="37430.333333333336"/>
  </r>
  <r>
    <s v="P134"/>
    <x v="0"/>
    <d v="2025-04-24T00:00:00"/>
    <s v="Reel"/>
    <s v="Check out our latest reel on twitter!"/>
    <n v="3731"/>
    <n v="115"/>
    <n v="135"/>
    <n v="55965"/>
    <n v="55436"/>
    <n v="103"/>
    <s v="#TeslaCoInnovation"/>
    <s v="CybertruckLaunch"/>
    <n v="53484"/>
    <n v="12307"/>
    <n v="5.6557999999999993"/>
    <x v="0"/>
    <n v="3.6157633702611478E-3"/>
    <x v="0"/>
    <x v="45"/>
    <n v="41579.333333333336"/>
  </r>
  <r>
    <s v="P135"/>
    <x v="3"/>
    <d v="2024-11-28T00:00:00"/>
    <s v="Text"/>
    <s v="Check out our latest text on facebook!"/>
    <n v="4213"/>
    <n v="253"/>
    <n v="434"/>
    <n v="75834"/>
    <n v="75437"/>
    <n v="272"/>
    <s v="#FutureOfDriving"/>
    <s v="SustainabilityDrive"/>
    <n v="50862"/>
    <n v="15305"/>
    <n v="5.6486000000000001"/>
    <x v="3"/>
    <n v="3.2510860512098608E-3"/>
    <x v="3"/>
    <x v="28"/>
    <n v="39706"/>
  </r>
  <r>
    <s v="P136"/>
    <x v="1"/>
    <d v="2024-07-11T00:00:00"/>
    <s v="Text"/>
    <s v="Check out our latest text on instagram!"/>
    <n v="3134"/>
    <n v="888"/>
    <n v="444"/>
    <n v="21938"/>
    <n v="21337"/>
    <n v="130"/>
    <s v="#EVRevolution"/>
    <s v="SustainabilityDrive"/>
    <n v="58311"/>
    <n v="10307"/>
    <n v="5.7155999999999993"/>
    <x v="1"/>
    <n v="2.8032254269035784E-3"/>
    <x v="1"/>
    <x v="6"/>
    <n v="41579.333333333336"/>
  </r>
  <r>
    <s v="P137"/>
    <x v="3"/>
    <d v="2024-07-31T00:00:00"/>
    <s v="Video"/>
    <s v="Check out our latest video on facebook!"/>
    <n v="3008"/>
    <n v="94"/>
    <n v="37"/>
    <n v="15040"/>
    <n v="14639"/>
    <n v="277"/>
    <s v="#FutureOfDriving"/>
    <m/>
    <n v="50862"/>
    <n v="15305"/>
    <n v="5.6486000000000001"/>
    <x v="3"/>
    <n v="2.3812302515550483E-3"/>
    <x v="3"/>
    <x v="26"/>
    <n v="37367"/>
  </r>
  <r>
    <s v="P138"/>
    <x v="0"/>
    <d v="2025-03-29T00:00:00"/>
    <s v="Image"/>
    <s v="Check out our latest image on twitter!"/>
    <n v="305"/>
    <n v="187"/>
    <n v="243"/>
    <n v="4575"/>
    <n v="3704"/>
    <n v="234"/>
    <s v="#FutureOfDriving"/>
    <s v="FSDUpdate"/>
    <n v="53484"/>
    <n v="12307"/>
    <n v="5.6557999999999993"/>
    <x v="0"/>
    <n v="5.0831936791099596E-4"/>
    <x v="0"/>
    <x v="27"/>
    <n v="37367"/>
  </r>
  <r>
    <s v="P139"/>
    <x v="2"/>
    <d v="2024-10-29T00:00:00"/>
    <s v="Text"/>
    <s v="Check out our latest text on youtube!"/>
    <n v="2746"/>
    <n v="156"/>
    <n v="203"/>
    <n v="32952"/>
    <n v="32147"/>
    <n v="147"/>
    <s v="#EVRevolution"/>
    <s v="CybertruckLaunch"/>
    <n v="47471"/>
    <n v="12104"/>
    <n v="5.5587999999999997"/>
    <x v="2"/>
    <n v="2.3546226051909132E-3"/>
    <x v="2"/>
    <x v="5"/>
    <n v="37367"/>
  </r>
  <r>
    <s v="P140"/>
    <x v="3"/>
    <d v="2024-07-15T00:00:00"/>
    <s v="Image"/>
    <s v="Check out our latest image on facebook!"/>
    <n v="2291"/>
    <n v="78"/>
    <n v="485"/>
    <n v="18328"/>
    <n v="18101"/>
    <n v="10"/>
    <s v="#EVRevolution"/>
    <s v="ModelYCampaign"/>
    <n v="50862"/>
    <n v="15305"/>
    <n v="5.6486000000000001"/>
    <x v="3"/>
    <n v="1.6679484958381024E-3"/>
    <x v="3"/>
    <x v="46"/>
    <n v="37367"/>
  </r>
  <r>
    <s v="P141"/>
    <x v="0"/>
    <d v="2024-08-31T00:00:00"/>
    <s v="Image"/>
    <s v="Check out our latest image on twitter!"/>
    <n v="3170"/>
    <n v="857"/>
    <n v="379"/>
    <n v="19020"/>
    <n v="18559"/>
    <n v="240"/>
    <s v="#FutureOfDriving"/>
    <m/>
    <n v="53484"/>
    <n v="12307"/>
    <n v="5.6557999999999993"/>
    <x v="0"/>
    <n v="3.2158980418858932E-3"/>
    <x v="0"/>
    <x v="7"/>
    <n v="37303.666666666664"/>
  </r>
  <r>
    <s v="P142"/>
    <x v="2"/>
    <d v="2025-03-25T00:00:00"/>
    <s v="Story"/>
    <s v="Check out our latest story on youtube!"/>
    <n v="2070"/>
    <n v="275"/>
    <n v="386"/>
    <n v="39330"/>
    <n v="38627"/>
    <n v="114"/>
    <s v="#FutureOfDriving"/>
    <s v="SustainabilityDrive"/>
    <n v="47471"/>
    <n v="12104"/>
    <n v="5.5587999999999997"/>
    <x v="2"/>
    <n v="1.7775650776830122E-3"/>
    <x v="2"/>
    <x v="27"/>
    <n v="35367"/>
  </r>
  <r>
    <s v="P143"/>
    <x v="2"/>
    <d v="2024-10-02T00:00:00"/>
    <s v="Carousel"/>
    <s v="Check out our latest carousel on youtube!"/>
    <n v="80"/>
    <n v="362"/>
    <n v="80"/>
    <n v="1040"/>
    <n v="349"/>
    <n v="117"/>
    <s v="#TeslaCoInnovation"/>
    <s v="FSDUpdate"/>
    <n v="47471"/>
    <n v="12104"/>
    <n v="5.5587999999999997"/>
    <x v="2"/>
    <n v="1.6033897449796401E-4"/>
    <x v="2"/>
    <x v="42"/>
    <n v="39579.333333333336"/>
  </r>
  <r>
    <s v="P144"/>
    <x v="2"/>
    <d v="2024-10-28T00:00:00"/>
    <s v="Story"/>
    <s v="Check out our latest story on youtube!"/>
    <n v="4929"/>
    <n v="749"/>
    <n v="452"/>
    <n v="93651"/>
    <n v="92810"/>
    <n v="66"/>
    <s v="#EVRevolution"/>
    <s v="SustainabilityDrive"/>
    <n v="47471"/>
    <n v="12104"/>
    <n v="5.5587999999999997"/>
    <x v="2"/>
    <n v="4.0654476021184278E-3"/>
    <x v="2"/>
    <x v="5"/>
    <n v="39579.333333333336"/>
  </r>
  <r>
    <s v="P145"/>
    <x v="1"/>
    <d v="2024-08-12T00:00:00"/>
    <s v="Carousel"/>
    <s v="Check out our latest carousel on instagram!"/>
    <n v="1878"/>
    <n v="62"/>
    <n v="179"/>
    <n v="37560"/>
    <n v="36874"/>
    <n v="142"/>
    <s v="#TeslaCoInnovation"/>
    <s v="SustainabilityDrive"/>
    <n v="58311"/>
    <n v="10307"/>
    <n v="5.7155999999999993"/>
    <x v="1"/>
    <n v="1.7348392654243957E-3"/>
    <x v="1"/>
    <x v="2"/>
    <n v="43791.666666666664"/>
  </r>
  <r>
    <s v="P146"/>
    <x v="2"/>
    <d v="2024-06-05T00:00:00"/>
    <s v="Reel"/>
    <s v="Check out our latest reel on youtube!"/>
    <n v="3065"/>
    <n v="772"/>
    <n v="142"/>
    <n v="18390"/>
    <n v="17875"/>
    <n v="200"/>
    <s v="#EVRevolution"/>
    <m/>
    <n v="47471"/>
    <n v="12104"/>
    <n v="5.5587999999999997"/>
    <x v="2"/>
    <n v="2.6573946788621956E-3"/>
    <x v="2"/>
    <x v="39"/>
    <n v="43791.666666666664"/>
  </r>
  <r>
    <s v="P147"/>
    <x v="1"/>
    <d v="2024-10-21T00:00:00"/>
    <s v="Reel"/>
    <s v="Check out our latest reel on instagram!"/>
    <n v="3256"/>
    <n v="459"/>
    <n v="266"/>
    <n v="26048"/>
    <n v="25529"/>
    <n v="143"/>
    <s v="#TeslaCoInnovation"/>
    <s v="ModelYCampaign"/>
    <n v="58311"/>
    <n v="10307"/>
    <n v="5.7155999999999993"/>
    <x v="1"/>
    <n v="2.9191676550383767E-3"/>
    <x v="1"/>
    <x v="13"/>
    <n v="45728.333333333336"/>
  </r>
  <r>
    <s v="P148"/>
    <x v="1"/>
    <d v="2025-04-15T00:00:00"/>
    <s v="Video"/>
    <s v="Check out our latest video on instagram!"/>
    <n v="4133"/>
    <n v="466"/>
    <n v="327"/>
    <n v="24798"/>
    <n v="24620"/>
    <n v="176"/>
    <s v="#EVRevolution"/>
    <s v="SustainabilityDrive"/>
    <n v="58311"/>
    <n v="10307"/>
    <n v="5.7155999999999993"/>
    <x v="1"/>
    <n v="3.700704155798872E-3"/>
    <x v="1"/>
    <x v="29"/>
    <n v="41516"/>
  </r>
  <r>
    <s v="P149"/>
    <x v="0"/>
    <d v="2024-06-16T00:00:00"/>
    <s v="Video"/>
    <s v="Check out our latest video on twitter!"/>
    <n v="1702"/>
    <n v="750"/>
    <n v="179"/>
    <n v="34040"/>
    <n v="33174"/>
    <n v="76"/>
    <s v="#EVRevolution"/>
    <s v="CybertruckLaunch"/>
    <n v="53484"/>
    <n v="12307"/>
    <n v="5.6557999999999993"/>
    <x v="0"/>
    <n v="1.6767937590830258E-3"/>
    <x v="0"/>
    <x v="35"/>
    <n v="41516"/>
  </r>
  <r>
    <s v="P150"/>
    <x v="2"/>
    <d v="2024-08-22T00:00:00"/>
    <s v="Carousel"/>
    <s v="Check out our latest carousel on youtube!"/>
    <n v="4295"/>
    <n v="853"/>
    <n v="325"/>
    <n v="85900"/>
    <n v="85788"/>
    <n v="290"/>
    <s v="#TeslaCoInnovation"/>
    <s v="SustainabilityDrive"/>
    <n v="47471"/>
    <n v="12104"/>
    <n v="5.5587999999999997"/>
    <x v="2"/>
    <n v="3.7317471983409393E-3"/>
    <x v="2"/>
    <x v="15"/>
    <n v="39642.666666666664"/>
  </r>
  <r>
    <s v="P151"/>
    <x v="1"/>
    <d v="2024-07-26T00:00:00"/>
    <s v="Image"/>
    <s v="Check out our latest image on instagram!"/>
    <n v="3559"/>
    <n v="59"/>
    <n v="289"/>
    <n v="35590"/>
    <n v="35105"/>
    <n v="122"/>
    <s v="#EVRevolution"/>
    <s v="CybertruckLaunch"/>
    <n v="58311"/>
    <n v="10307"/>
    <n v="5.7155999999999993"/>
    <x v="1"/>
    <n v="3.1613580871421789E-3"/>
    <x v="1"/>
    <x v="10"/>
    <n v="41579.333333333336"/>
  </r>
  <r>
    <s v="P152"/>
    <x v="3"/>
    <d v="2025-04-22T00:00:00"/>
    <s v="Image"/>
    <s v="Check out our latest image on facebook!"/>
    <n v="4804"/>
    <n v="550"/>
    <n v="270"/>
    <n v="28824"/>
    <n v="28370"/>
    <n v="47"/>
    <s v="#EVRevolution"/>
    <s v="SustainabilityDrive"/>
    <n v="50862"/>
    <n v="15305"/>
    <n v="5.6486000000000001"/>
    <x v="3"/>
    <n v="3.5163920701045785E-3"/>
    <x v="3"/>
    <x v="45"/>
    <n v="41579.333333333336"/>
  </r>
  <r>
    <s v="P153"/>
    <x v="0"/>
    <d v="2025-01-01T00:00:00"/>
    <s v="Video"/>
    <s v="Check out our latest video on twitter!"/>
    <n v="754"/>
    <n v="197"/>
    <n v="257"/>
    <n v="6786"/>
    <n v="6221"/>
    <n v="212"/>
    <s v="#TeslaCoInnovation"/>
    <s v="FSDUpdate"/>
    <n v="53484"/>
    <n v="12307"/>
    <n v="5.6557999999999993"/>
    <x v="0"/>
    <n v="9.1101393210022666E-4"/>
    <x v="0"/>
    <x v="17"/>
    <n v="41516"/>
  </r>
  <r>
    <s v="P154"/>
    <x v="1"/>
    <d v="2024-10-09T00:00:00"/>
    <s v="Carousel"/>
    <s v="Check out our latest carousel on instagram!"/>
    <n v="985"/>
    <n v="932"/>
    <n v="287"/>
    <n v="6895"/>
    <n v="6757"/>
    <n v="64"/>
    <s v="#FutureOfDriving"/>
    <s v="SustainabilityDrive"/>
    <n v="58311"/>
    <n v="10307"/>
    <n v="5.7155999999999993"/>
    <x v="1"/>
    <n v="9.0091405417336192E-4"/>
    <x v="1"/>
    <x v="38"/>
    <n v="39642.666666666664"/>
  </r>
  <r>
    <s v="P155"/>
    <x v="2"/>
    <d v="2024-12-21T00:00:00"/>
    <s v="Image"/>
    <s v="Check out our latest image on youtube!"/>
    <n v="2283"/>
    <n v="210"/>
    <n v="130"/>
    <n v="22830"/>
    <n v="22617"/>
    <n v="143"/>
    <s v="#FutureOfDriving"/>
    <s v="ModelYCampaign"/>
    <n v="47471"/>
    <n v="12104"/>
    <n v="5.5587999999999997"/>
    <x v="2"/>
    <n v="1.9745297062541151E-3"/>
    <x v="2"/>
    <x v="25"/>
    <n v="35430.333333333336"/>
  </r>
  <r>
    <s v="P156"/>
    <x v="3"/>
    <d v="2024-10-22T00:00:00"/>
    <s v="Carousel"/>
    <s v="Check out our latest carousel on facebook!"/>
    <n v="3352"/>
    <n v="941"/>
    <n v="482"/>
    <n v="43576"/>
    <n v="43338"/>
    <n v="240"/>
    <s v="#FutureOfDriving"/>
    <s v="ModelYCampaign"/>
    <n v="50862"/>
    <n v="15305"/>
    <n v="5.6486000000000001"/>
    <x v="3"/>
    <n v="2.6037683603000713E-3"/>
    <x v="3"/>
    <x v="13"/>
    <n v="39642.666666666664"/>
  </r>
  <r>
    <s v="P157"/>
    <x v="2"/>
    <d v="2024-07-23T00:00:00"/>
    <s v="Story"/>
    <s v="Check out our latest story on youtube!"/>
    <n v="4775"/>
    <n v="173"/>
    <n v="206"/>
    <n v="47750"/>
    <n v="47544"/>
    <n v="187"/>
    <s v="#FutureOfDriving"/>
    <s v="ModelYCampaign"/>
    <n v="47471"/>
    <n v="12104"/>
    <n v="5.5587999999999997"/>
    <x v="2"/>
    <n v="4.038588789131459E-3"/>
    <x v="2"/>
    <x v="10"/>
    <n v="39642.666666666664"/>
  </r>
  <r>
    <s v="P158"/>
    <x v="1"/>
    <d v="2024-08-11T00:00:00"/>
    <s v="Story"/>
    <s v="Check out our latest story on instagram!"/>
    <n v="1762"/>
    <n v="405"/>
    <n v="423"/>
    <n v="22906"/>
    <n v="21925"/>
    <n v="25"/>
    <s v="#TeslaCoInnovation"/>
    <s v="CybertruckLaunch"/>
    <n v="58311"/>
    <n v="10307"/>
    <n v="5.7155999999999993"/>
    <x v="1"/>
    <n v="1.5347315679769284E-3"/>
    <x v="1"/>
    <x v="2"/>
    <n v="41579.333333333336"/>
  </r>
  <r>
    <s v="P159"/>
    <x v="3"/>
    <d v="2024-11-25T00:00:00"/>
    <s v="Story"/>
    <s v="Check out our latest story on facebook!"/>
    <n v="2120"/>
    <n v="158"/>
    <n v="488"/>
    <n v="12720"/>
    <n v="12085"/>
    <n v="17"/>
    <s v="#FutureOfDriving"/>
    <s v="ModelYCampaign"/>
    <n v="50862"/>
    <n v="15305"/>
    <n v="5.6486000000000001"/>
    <x v="3"/>
    <n v="1.5490682032186114E-3"/>
    <x v="3"/>
    <x v="28"/>
    <n v="39303.666666666664"/>
  </r>
  <r>
    <s v="P160"/>
    <x v="0"/>
    <d v="2024-08-24T00:00:00"/>
    <s v="Video"/>
    <s v="Check out our latest video on twitter!"/>
    <n v="1082"/>
    <n v="209"/>
    <n v="484"/>
    <n v="19476"/>
    <n v="18654"/>
    <n v="20"/>
    <s v="#TeslaCoInnovation"/>
    <m/>
    <n v="53484"/>
    <n v="12307"/>
    <n v="5.6557999999999993"/>
    <x v="0"/>
    <n v="1.0392726223337988E-3"/>
    <x v="0"/>
    <x v="15"/>
    <n v="39303.666666666664"/>
  </r>
  <r>
    <s v="P161"/>
    <x v="0"/>
    <d v="2025-02-19T00:00:00"/>
    <s v="Text"/>
    <s v="Check out our latest text on twitter!"/>
    <n v="4671"/>
    <n v="876"/>
    <n v="366"/>
    <n v="51381"/>
    <n v="50565"/>
    <n v="245"/>
    <s v="#TeslaCoInnovation"/>
    <s v="SustainabilityDrive"/>
    <n v="53484"/>
    <n v="12307"/>
    <n v="5.6557999999999993"/>
    <x v="0"/>
    <n v="4.6361744205017747E-3"/>
    <x v="0"/>
    <x v="12"/>
    <n v="41579.333333333336"/>
  </r>
  <r>
    <s v="P162"/>
    <x v="3"/>
    <d v="2025-04-01T00:00:00"/>
    <s v="Story"/>
    <s v="Check out our latest story on facebook!"/>
    <n v="3430"/>
    <n v="566"/>
    <n v="164"/>
    <n v="48020"/>
    <n v="47305"/>
    <n v="120"/>
    <s v="#FutureOfDriving"/>
    <m/>
    <n v="50862"/>
    <n v="15305"/>
    <n v="5.6486000000000001"/>
    <x v="3"/>
    <n v="2.5733234073121529E-3"/>
    <x v="3"/>
    <x v="1"/>
    <n v="39642.666666666664"/>
  </r>
  <r>
    <s v="P163"/>
    <x v="1"/>
    <d v="2025-04-08T00:00:00"/>
    <s v="Image"/>
    <s v="Check out our latest image on instagram!"/>
    <n v="4501"/>
    <n v="375"/>
    <n v="323"/>
    <n v="22505"/>
    <n v="21836"/>
    <n v="132"/>
    <s v="#TeslaCoInnovation"/>
    <s v="ModelYCampaign"/>
    <n v="58311"/>
    <n v="10307"/>
    <n v="5.7155999999999993"/>
    <x v="1"/>
    <n v="3.9789655033223891E-3"/>
    <x v="1"/>
    <x v="21"/>
    <n v="41516"/>
  </r>
  <r>
    <s v="P164"/>
    <x v="2"/>
    <d v="2025-02-27T00:00:00"/>
    <s v="Text"/>
    <s v="Check out our latest text on youtube!"/>
    <n v="4934"/>
    <n v="971"/>
    <n v="156"/>
    <n v="39472"/>
    <n v="39025"/>
    <n v="169"/>
    <s v="#TeslaCoInnovation"/>
    <s v="SustainabilityDrive"/>
    <n v="47471"/>
    <n v="12104"/>
    <n v="5.5587999999999997"/>
    <x v="2"/>
    <n v="4.1533491718939615E-3"/>
    <x v="2"/>
    <x v="18"/>
    <n v="39240.333333333336"/>
  </r>
  <r>
    <s v="P165"/>
    <x v="0"/>
    <d v="2024-12-11T00:00:00"/>
    <s v="Text"/>
    <s v="Check out our latest text on twitter!"/>
    <n v="3239"/>
    <n v="43"/>
    <n v="211"/>
    <n v="22673"/>
    <n v="22171"/>
    <n v="230"/>
    <s v="#TeslaCoInnovation"/>
    <s v="ModelYCampaign"/>
    <n v="53484"/>
    <n v="12307"/>
    <n v="5.6557999999999993"/>
    <x v="0"/>
    <n v="3.2715396795607518E-3"/>
    <x v="0"/>
    <x v="31"/>
    <n v="43452.666666666664"/>
  </r>
  <r>
    <s v="P166"/>
    <x v="0"/>
    <d v="2025-02-16T00:00:00"/>
    <s v="Reel"/>
    <s v="Check out our latest reel on twitter!"/>
    <n v="1076"/>
    <n v="313"/>
    <n v="306"/>
    <n v="11836"/>
    <n v="11596"/>
    <n v="104"/>
    <s v="#FutureOfDriving"/>
    <s v="CybertruckLaunch"/>
    <n v="53484"/>
    <n v="12307"/>
    <n v="5.6557999999999993"/>
    <x v="0"/>
    <n v="1.1128327534971711E-3"/>
    <x v="0"/>
    <x v="12"/>
    <n v="41579.333333333336"/>
  </r>
  <r>
    <s v="P167"/>
    <x v="1"/>
    <d v="2024-11-28T00:00:00"/>
    <s v="Text"/>
    <s v="Check out our latest text on instagram!"/>
    <n v="4771"/>
    <n v="818"/>
    <n v="56"/>
    <n v="57252"/>
    <n v="56378"/>
    <n v="150"/>
    <s v="#FutureOfDriving"/>
    <m/>
    <n v="58311"/>
    <n v="10307"/>
    <n v="5.7155999999999993"/>
    <x v="1"/>
    <n v="4.2263089233432931E-3"/>
    <x v="1"/>
    <x v="28"/>
    <n v="39642.666666666664"/>
  </r>
  <r>
    <s v="P168"/>
    <x v="3"/>
    <d v="2024-11-12T00:00:00"/>
    <s v="Text"/>
    <s v="Check out our latest text on facebook!"/>
    <n v="2418"/>
    <n v="754"/>
    <n v="54"/>
    <n v="43524"/>
    <n v="42743"/>
    <n v="182"/>
    <s v="#EVRevolution"/>
    <s v="CybertruckLaunch"/>
    <n v="50862"/>
    <n v="15305"/>
    <n v="5.6486000000000001"/>
    <x v="3"/>
    <n v="1.8846875659187599E-3"/>
    <x v="3"/>
    <x v="43"/>
    <n v="37367"/>
  </r>
  <r>
    <s v="P169"/>
    <x v="2"/>
    <d v="2024-12-03T00:00:00"/>
    <s v="Video"/>
    <s v="Check out our latest video on youtube!"/>
    <n v="3809"/>
    <n v="273"/>
    <n v="200"/>
    <n v="34281"/>
    <n v="33534"/>
    <n v="83"/>
    <s v="#EVRevolution"/>
    <s v="CybertruckLaunch"/>
    <n v="47471"/>
    <n v="12104"/>
    <n v="5.5587999999999997"/>
    <x v="2"/>
    <n v="3.1677121256145986E-3"/>
    <x v="2"/>
    <x v="47"/>
    <n v="37303.666666666664"/>
  </r>
  <r>
    <s v="P170"/>
    <x v="0"/>
    <d v="2025-04-28T00:00:00"/>
    <s v="Text"/>
    <s v="Check out our latest text on twitter!"/>
    <n v="3577"/>
    <n v="596"/>
    <n v="493"/>
    <n v="67963"/>
    <n v="67839"/>
    <n v="53"/>
    <s v="#TeslaCoInnovation"/>
    <s v="FSDUpdate"/>
    <n v="53484"/>
    <n v="12307"/>
    <n v="5.6557999999999993"/>
    <x v="0"/>
    <n v="3.4233753349107894E-3"/>
    <x v="0"/>
    <x v="32"/>
    <n v="37367"/>
  </r>
  <r>
    <s v="P171"/>
    <x v="2"/>
    <d v="2024-12-31T00:00:00"/>
    <s v="Video"/>
    <s v="Check out our latest video on youtube!"/>
    <n v="1018"/>
    <n v="447"/>
    <n v="332"/>
    <n v="18324"/>
    <n v="18164"/>
    <n v="38"/>
    <s v="#FutureOfDriving"/>
    <s v="ModelYCampaign"/>
    <n v="47471"/>
    <n v="12104"/>
    <n v="5.5587999999999997"/>
    <x v="2"/>
    <n v="8.5948201558299492E-4"/>
    <x v="2"/>
    <x v="48"/>
    <n v="37367"/>
  </r>
  <r>
    <s v="P172"/>
    <x v="3"/>
    <d v="2024-08-14T00:00:00"/>
    <s v="Carousel"/>
    <s v="Check out our latest carousel on facebook!"/>
    <n v="3073"/>
    <n v="553"/>
    <n v="174"/>
    <n v="52241"/>
    <n v="51605"/>
    <n v="246"/>
    <s v="#EVRevolution"/>
    <s v="FSDUpdate"/>
    <n v="50862"/>
    <n v="15305"/>
    <n v="5.6486000000000001"/>
    <x v="3"/>
    <n v="2.4058761658786016E-3"/>
    <x v="3"/>
    <x v="2"/>
    <n v="37430.333333333336"/>
  </r>
  <r>
    <s v="P173"/>
    <x v="0"/>
    <d v="2024-12-05T00:00:00"/>
    <s v="Video"/>
    <s v="Check out our latest video on twitter!"/>
    <n v="1330"/>
    <n v="925"/>
    <n v="35"/>
    <n v="15960"/>
    <n v="15379"/>
    <n v="229"/>
    <s v="#FutureOfDriving"/>
    <s v="FSDUpdate"/>
    <n v="53484"/>
    <n v="12307"/>
    <n v="5.6557999999999993"/>
    <x v="0"/>
    <n v="1.4702595446627882E-3"/>
    <x v="0"/>
    <x v="47"/>
    <n v="41579.333333333336"/>
  </r>
  <r>
    <s v="P174"/>
    <x v="3"/>
    <d v="2024-06-22T00:00:00"/>
    <s v="Text"/>
    <s v="Check out our latest text on facebook!"/>
    <n v="3828"/>
    <n v="148"/>
    <n v="253"/>
    <n v="30624"/>
    <n v="30229"/>
    <n v="235"/>
    <s v="#EVRevolution"/>
    <m/>
    <n v="50862"/>
    <n v="15305"/>
    <n v="5.6486000000000001"/>
    <x v="3"/>
    <n v="2.9451867616645849E-3"/>
    <x v="3"/>
    <x v="35"/>
    <n v="39706"/>
  </r>
  <r>
    <s v="P175"/>
    <x v="1"/>
    <d v="2025-01-17T00:00:00"/>
    <s v="Reel"/>
    <s v="Check out our latest reel on instagram!"/>
    <n v="142"/>
    <n v="784"/>
    <n v="183"/>
    <n v="1704"/>
    <n v="995"/>
    <n v="154"/>
    <s v="#FutureOfDriving"/>
    <s v="SustainabilityDrive"/>
    <n v="58311"/>
    <n v="10307"/>
    <n v="5.7155999999999993"/>
    <x v="1"/>
    <n v="2.542140705770402E-4"/>
    <x v="1"/>
    <x v="49"/>
    <n v="43855"/>
  </r>
  <r>
    <s v="P176"/>
    <x v="3"/>
    <d v="2024-06-20T00:00:00"/>
    <s v="Video"/>
    <s v="Check out our latest video on facebook!"/>
    <n v="3798"/>
    <n v="31"/>
    <n v="279"/>
    <n v="75960"/>
    <n v="75813"/>
    <n v="266"/>
    <s v="#TeslaCoInnovation"/>
    <s v="CybertruckLaunch"/>
    <n v="50862"/>
    <n v="15305"/>
    <n v="5.6486000000000001"/>
    <x v="3"/>
    <n v="2.9459116414976309E-3"/>
    <x v="3"/>
    <x v="35"/>
    <n v="43855"/>
  </r>
  <r>
    <s v="P177"/>
    <x v="1"/>
    <d v="2024-07-10T00:00:00"/>
    <s v="Carousel"/>
    <s v="Check out our latest carousel on instagram!"/>
    <n v="3099"/>
    <n v="694"/>
    <n v="171"/>
    <n v="43386"/>
    <n v="42921"/>
    <n v="52"/>
    <s v="#TeslaCoInnovation"/>
    <s v="FSDUpdate"/>
    <n v="58311"/>
    <n v="10307"/>
    <n v="5.7155999999999993"/>
    <x v="1"/>
    <n v="2.706177487798154E-3"/>
    <x v="1"/>
    <x v="6"/>
    <n v="43855"/>
  </r>
  <r>
    <s v="P178"/>
    <x v="1"/>
    <d v="2024-11-07T00:00:00"/>
    <s v="Video"/>
    <s v="Check out our latest video on instagram!"/>
    <n v="129"/>
    <n v="643"/>
    <n v="136"/>
    <n v="1290"/>
    <n v="839"/>
    <n v="238"/>
    <s v="#TeslaCoInnovation"/>
    <s v="SustainabilityDrive"/>
    <n v="58311"/>
    <n v="10307"/>
    <n v="5.7155999999999993"/>
    <x v="1"/>
    <n v="3.1519109426274912E-4"/>
    <x v="1"/>
    <x v="19"/>
    <n v="39642.666666666664"/>
  </r>
  <r>
    <s v="P179"/>
    <x v="3"/>
    <d v="2024-07-15T00:00:00"/>
    <s v="Carousel"/>
    <s v="Check out our latest carousel on facebook!"/>
    <n v="3796"/>
    <n v="667"/>
    <n v="395"/>
    <n v="64532"/>
    <n v="63550"/>
    <n v="292"/>
    <s v="#TeslaCoInnovation"/>
    <m/>
    <n v="50862"/>
    <n v="15305"/>
    <n v="5.6486000000000001"/>
    <x v="3"/>
    <n v="2.9633087574907268E-3"/>
    <x v="3"/>
    <x v="46"/>
    <n v="35430.333333333336"/>
  </r>
  <r>
    <s v="P180"/>
    <x v="2"/>
    <d v="2024-12-03T00:00:00"/>
    <s v="Text"/>
    <s v="Check out our latest text on youtube!"/>
    <n v="3711"/>
    <n v="352"/>
    <n v="290"/>
    <n v="48243"/>
    <n v="47579"/>
    <n v="11"/>
    <s v="#TeslaCoInnovation"/>
    <s v="CybertruckLaunch"/>
    <n v="47471"/>
    <n v="12104"/>
    <n v="5.5587999999999997"/>
    <x v="2"/>
    <n v="3.0293485435605181E-3"/>
    <x v="2"/>
    <x v="47"/>
    <n v="35430.333333333336"/>
  </r>
  <r>
    <s v="P181"/>
    <x v="2"/>
    <d v="2025-03-21T00:00:00"/>
    <s v="Image"/>
    <s v="Check out our latest image on youtube!"/>
    <n v="606"/>
    <n v="789"/>
    <n v="470"/>
    <n v="7878"/>
    <n v="7389"/>
    <n v="239"/>
    <s v="#EVRevolution"/>
    <s v="FSDUpdate"/>
    <n v="47471"/>
    <n v="12104"/>
    <n v="5.5587999999999997"/>
    <x v="2"/>
    <n v="6.8774839315116545E-4"/>
    <x v="2"/>
    <x v="44"/>
    <n v="39642.666666666664"/>
  </r>
  <r>
    <s v="P182"/>
    <x v="3"/>
    <d v="2024-07-31T00:00:00"/>
    <s v="Image"/>
    <s v="Check out our latest image on facebook!"/>
    <n v="4689"/>
    <n v="134"/>
    <n v="403"/>
    <n v="51579"/>
    <n v="50924"/>
    <n v="173"/>
    <s v="#TeslaCoInnovation"/>
    <s v="SustainabilityDrive"/>
    <n v="50862"/>
    <n v="15305"/>
    <n v="5.6486000000000001"/>
    <x v="3"/>
    <n v="3.524365748268081E-3"/>
    <x v="3"/>
    <x v="26"/>
    <n v="41579.333333333336"/>
  </r>
  <r>
    <s v="P183"/>
    <x v="1"/>
    <d v="2024-12-17T00:00:00"/>
    <s v="Story"/>
    <s v="Check out our latest story on instagram!"/>
    <n v="360"/>
    <n v="590"/>
    <n v="393"/>
    <n v="4680"/>
    <n v="4322"/>
    <n v="208"/>
    <s v="#FutureOfDriving"/>
    <s v="ModelYCampaign"/>
    <n v="58311"/>
    <n v="10307"/>
    <n v="5.7155999999999993"/>
    <x v="1"/>
    <n v="4.8781618948567169E-4"/>
    <x v="1"/>
    <x v="25"/>
    <n v="45728.333333333336"/>
  </r>
  <r>
    <s v="P184"/>
    <x v="0"/>
    <d v="2024-07-28T00:00:00"/>
    <s v="Image"/>
    <s v="Check out our latest image on twitter!"/>
    <n v="3215"/>
    <n v="960"/>
    <n v="202"/>
    <n v="32150"/>
    <n v="31404"/>
    <n v="251"/>
    <s v="#EVRevolution"/>
    <s v="CybertruckLaunch"/>
    <n v="53484"/>
    <n v="12307"/>
    <n v="5.6557999999999993"/>
    <x v="0"/>
    <n v="3.2687104437467761E-3"/>
    <x v="0"/>
    <x v="26"/>
    <n v="41579.333333333336"/>
  </r>
  <r>
    <s v="P185"/>
    <x v="1"/>
    <d v="2025-01-11T00:00:00"/>
    <s v="Carousel"/>
    <s v="Check out our latest carousel on instagram!"/>
    <n v="4523"/>
    <n v="61"/>
    <n v="157"/>
    <n v="49753"/>
    <n v="49329"/>
    <n v="71"/>
    <s v="#EVRevolution"/>
    <m/>
    <n v="58311"/>
    <n v="10307"/>
    <n v="5.7155999999999993"/>
    <x v="1"/>
    <n v="3.9454710818612251E-3"/>
    <x v="1"/>
    <x v="30"/>
    <n v="41579.333333333336"/>
  </r>
  <r>
    <s v="P186"/>
    <x v="3"/>
    <d v="2024-08-24T00:00:00"/>
    <s v="Carousel"/>
    <s v="Check out our latest carousel on facebook!"/>
    <n v="4292"/>
    <n v="51"/>
    <n v="392"/>
    <n v="55796"/>
    <n v="54826"/>
    <n v="264"/>
    <s v="#EVRevolution"/>
    <s v="FSDUpdate"/>
    <n v="50862"/>
    <n v="15305"/>
    <n v="5.6486000000000001"/>
    <x v="3"/>
    <n v="3.3025525193561035E-3"/>
    <x v="3"/>
    <x v="15"/>
    <n v="37367"/>
  </r>
  <r>
    <s v="P187"/>
    <x v="0"/>
    <d v="2024-12-22T00:00:00"/>
    <s v="Reel"/>
    <s v="Check out our latest reel on twitter!"/>
    <n v="1644"/>
    <n v="546"/>
    <n v="150"/>
    <n v="27948"/>
    <n v="27184"/>
    <n v="300"/>
    <s v="#EVRevolution"/>
    <s v="FSDUpdate"/>
    <n v="53484"/>
    <n v="12307"/>
    <n v="5.6557999999999993"/>
    <x v="0"/>
    <n v="1.8333448074563568E-3"/>
    <x v="0"/>
    <x v="0"/>
    <n v="37367"/>
  </r>
  <r>
    <s v="P188"/>
    <x v="2"/>
    <d v="2024-06-06T00:00:00"/>
    <s v="Reel"/>
    <s v="Check out our latest reel on youtube!"/>
    <n v="2728"/>
    <n v="533"/>
    <n v="215"/>
    <n v="40920"/>
    <n v="40816"/>
    <n v="137"/>
    <s v="#FutureOfDriving"/>
    <s v="ModelYCampaign"/>
    <n v="47471"/>
    <n v="12104"/>
    <n v="5.5587999999999997"/>
    <x v="2"/>
    <n v="2.3318333093231823E-3"/>
    <x v="2"/>
    <x v="39"/>
    <n v="35430.333333333336"/>
  </r>
  <r>
    <s v="P189"/>
    <x v="3"/>
    <d v="2025-03-24T00:00:00"/>
    <s v="Reel"/>
    <s v="Check out our latest reel on facebook!"/>
    <n v="3360"/>
    <n v="525"/>
    <n v="500"/>
    <n v="60480"/>
    <n v="59610"/>
    <n v="192"/>
    <s v="#TeslaCoInnovation"/>
    <s v="CybertruckLaunch"/>
    <n v="50862"/>
    <n v="15305"/>
    <n v="5.6486000000000001"/>
    <x v="3"/>
    <n v="2.574773166978244E-3"/>
    <x v="3"/>
    <x v="27"/>
    <n v="35430.333333333336"/>
  </r>
  <r>
    <s v="P190"/>
    <x v="2"/>
    <d v="2024-10-04T00:00:00"/>
    <s v="Text"/>
    <s v="Check out our latest text on youtube!"/>
    <n v="1963"/>
    <n v="213"/>
    <n v="19"/>
    <n v="39260"/>
    <n v="38771"/>
    <n v="145"/>
    <s v="#FutureOfDriving"/>
    <m/>
    <n v="47471"/>
    <n v="12104"/>
    <n v="5.5587999999999997"/>
    <x v="2"/>
    <n v="1.7157084174705998E-3"/>
    <x v="2"/>
    <x v="42"/>
    <n v="39579.333333333336"/>
  </r>
  <r>
    <s v="P191"/>
    <x v="2"/>
    <d v="2024-12-03T00:00:00"/>
    <s v="Story"/>
    <s v="Check out our latest story on youtube!"/>
    <n v="4285"/>
    <n v="886"/>
    <n v="376"/>
    <n v="55705"/>
    <n v="55556"/>
    <n v="51"/>
    <s v="#FutureOfDriving"/>
    <s v="FSDUpdate"/>
    <n v="47471"/>
    <n v="12104"/>
    <n v="5.5587999999999997"/>
    <x v="2"/>
    <n v="3.5290852458029036E-3"/>
    <x v="2"/>
    <x v="47"/>
    <n v="41516"/>
  </r>
  <r>
    <s v="P192"/>
    <x v="1"/>
    <d v="2024-11-29T00:00:00"/>
    <s v="Video"/>
    <s v="Check out our latest video on instagram!"/>
    <n v="1176"/>
    <n v="464"/>
    <n v="394"/>
    <n v="14112"/>
    <n v="13588"/>
    <n v="272"/>
    <s v="#EVRevolution"/>
    <m/>
    <n v="58311"/>
    <n v="10307"/>
    <n v="5.7155999999999993"/>
    <x v="1"/>
    <n v="1.243587750660656E-3"/>
    <x v="1"/>
    <x v="28"/>
    <n v="41516"/>
  </r>
  <r>
    <s v="P193"/>
    <x v="0"/>
    <d v="2024-09-11T00:00:00"/>
    <s v="Image"/>
    <s v="Check out our latest image on twitter!"/>
    <n v="4858"/>
    <n v="317"/>
    <n v="129"/>
    <n v="53438"/>
    <n v="52687"/>
    <n v="223"/>
    <s v="#EVRevolution"/>
    <s v="FSDUpdate"/>
    <n v="53484"/>
    <n v="12307"/>
    <n v="5.6557999999999993"/>
    <x v="0"/>
    <n v="4.7917823902704467E-3"/>
    <x v="0"/>
    <x v="16"/>
    <n v="41516"/>
  </r>
  <r>
    <s v="P194"/>
    <x v="2"/>
    <d v="2024-10-02T00:00:00"/>
    <s v="Story"/>
    <s v="Check out our latest story on youtube!"/>
    <n v="4350"/>
    <n v="771"/>
    <n v="7"/>
    <n v="60900"/>
    <n v="60592"/>
    <n v="195"/>
    <s v="#EVRevolution"/>
    <s v="CybertruckLaunch"/>
    <n v="47471"/>
    <n v="12104"/>
    <n v="5.5587999999999997"/>
    <x v="2"/>
    <n v="3.6991910613870379E-3"/>
    <x v="2"/>
    <x v="42"/>
    <n v="43791.666666666664"/>
  </r>
  <r>
    <s v="P195"/>
    <x v="1"/>
    <d v="2024-08-15T00:00:00"/>
    <s v="Carousel"/>
    <s v="Check out our latest carousel on instagram!"/>
    <n v="914"/>
    <n v="464"/>
    <n v="246"/>
    <n v="11882"/>
    <n v="11500"/>
    <n v="282"/>
    <s v="#FutureOfDriving"/>
    <s v="SustainabilityDrive"/>
    <n v="58311"/>
    <n v="10307"/>
    <n v="5.7155999999999993"/>
    <x v="1"/>
    <n v="1.027162258142365E-3"/>
    <x v="1"/>
    <x v="2"/>
    <n v="45728.333333333336"/>
  </r>
  <r>
    <s v="P196"/>
    <x v="1"/>
    <d v="2024-12-19T00:00:00"/>
    <s v="Text"/>
    <s v="Check out our latest text on instagram!"/>
    <n v="1813"/>
    <n v="623"/>
    <n v="72"/>
    <n v="19943"/>
    <n v="18959"/>
    <n v="85"/>
    <s v="#EVRevolution"/>
    <s v="FSDUpdate"/>
    <n v="58311"/>
    <n v="10307"/>
    <n v="5.7155999999999993"/>
    <x v="1"/>
    <n v="1.6300618444433184E-3"/>
    <x v="1"/>
    <x v="25"/>
    <n v="43452.666666666664"/>
  </r>
  <r>
    <s v="P197"/>
    <x v="0"/>
    <d v="2024-10-22T00:00:00"/>
    <s v="Reel"/>
    <s v="Check out our latest reel on twitter!"/>
    <n v="4782"/>
    <n v="721"/>
    <n v="82"/>
    <n v="86076"/>
    <n v="85339"/>
    <n v="19"/>
    <s v="#EVRevolution"/>
    <s v="CybertruckLaunch"/>
    <n v="53484"/>
    <n v="12307"/>
    <n v="5.6557999999999993"/>
    <x v="0"/>
    <n v="4.5277203809660329E-3"/>
    <x v="0"/>
    <x v="13"/>
    <n v="39240.333333333336"/>
  </r>
  <r>
    <s v="P198"/>
    <x v="0"/>
    <d v="2024-09-14T00:00:00"/>
    <s v="Image"/>
    <s v="Check out our latest image on twitter!"/>
    <n v="1048"/>
    <n v="374"/>
    <n v="450"/>
    <n v="9432"/>
    <n v="8882"/>
    <n v="158"/>
    <s v="#TeslaCoInnovation"/>
    <s v="FSDUpdate"/>
    <n v="53484"/>
    <n v="12307"/>
    <n v="5.6557999999999993"/>
    <x v="0"/>
    <n v="1.1373527972182954E-3"/>
    <x v="0"/>
    <x v="16"/>
    <n v="37367"/>
  </r>
  <r>
    <s v="P199"/>
    <x v="2"/>
    <d v="2024-11-30T00:00:00"/>
    <s v="Carousel"/>
    <s v="Check out our latest carousel on youtube!"/>
    <n v="2509"/>
    <n v="324"/>
    <n v="171"/>
    <n v="35126"/>
    <n v="34685"/>
    <n v="277"/>
    <s v="#TeslaCoInnovation"/>
    <s v="ModelYCampaign"/>
    <n v="47471"/>
    <n v="12104"/>
    <n v="5.5587999999999997"/>
    <x v="2"/>
    <n v="2.2675349388392271E-3"/>
    <x v="2"/>
    <x v="28"/>
    <n v="37367"/>
  </r>
  <r>
    <s v="P200"/>
    <x v="3"/>
    <d v="2025-04-07T00:00:00"/>
    <s v="Reel"/>
    <s v="Check out our latest reel on facebook!"/>
    <n v="3718"/>
    <n v="385"/>
    <n v="310"/>
    <n v="70642"/>
    <n v="69749"/>
    <n v="233"/>
    <s v="#TeslaCoInnovation"/>
    <s v="ModelYCampaign"/>
    <n v="50862"/>
    <n v="15305"/>
    <n v="5.6486000000000001"/>
    <x v="3"/>
    <n v="2.8640002203634695E-3"/>
    <x v="3"/>
    <x v="21"/>
    <n v="37430.333333333336"/>
  </r>
  <r>
    <s v="P201"/>
    <x v="0"/>
    <d v="2025-01-15T00:00:00"/>
    <s v="Reel"/>
    <s v="Check out our latest reel on twitter!"/>
    <n v="802"/>
    <n v="262"/>
    <n v="244"/>
    <n v="14436"/>
    <n v="14280"/>
    <n v="49"/>
    <s v="#EVRevolution"/>
    <s v="CybertruckLaunch"/>
    <n v="53484"/>
    <n v="12307"/>
    <n v="5.6557999999999993"/>
    <x v="0"/>
    <n v="8.0255989256448532E-4"/>
    <x v="0"/>
    <x v="49"/>
    <n v="41579.333333333336"/>
  </r>
  <r>
    <s v="P202"/>
    <x v="3"/>
    <d v="2024-06-02T00:00:00"/>
    <s v="Image"/>
    <s v="Check out our latest image on facebook!"/>
    <n v="1871"/>
    <n v="252"/>
    <n v="335"/>
    <n v="29936"/>
    <n v="29576"/>
    <n v="288"/>
    <s v="#EVRevolution"/>
    <s v="FSDUpdate"/>
    <n v="50862"/>
    <n v="15305"/>
    <n v="5.6486000000000001"/>
    <x v="3"/>
    <n v="1.5650155595456163E-3"/>
    <x v="3"/>
    <x v="39"/>
    <n v="43855"/>
  </r>
  <r>
    <s v="P203"/>
    <x v="1"/>
    <d v="2024-11-21T00:00:00"/>
    <s v="Carousel"/>
    <s v="Check out our latest carousel on instagram!"/>
    <n v="3773"/>
    <n v="299"/>
    <n v="38"/>
    <n v="71687"/>
    <n v="71447"/>
    <n v="286"/>
    <s v="#FutureOfDriving"/>
    <s v="CybertruckLaunch"/>
    <n v="58311"/>
    <n v="10307"/>
    <n v="5.7155999999999993"/>
    <x v="1"/>
    <n v="3.485996325919615E-3"/>
    <x v="1"/>
    <x v="11"/>
    <n v="45728.333333333336"/>
  </r>
  <r>
    <s v="P204"/>
    <x v="1"/>
    <d v="2025-01-01T00:00:00"/>
    <s v="Carousel"/>
    <s v="Check out our latest carousel on instagram!"/>
    <n v="2234"/>
    <n v="653"/>
    <n v="432"/>
    <n v="11170"/>
    <n v="10569"/>
    <n v="198"/>
    <s v="#FutureOfDriving"/>
    <s v="FSDUpdate"/>
    <n v="58311"/>
    <n v="10307"/>
    <n v="5.7155999999999993"/>
    <x v="1"/>
    <n v="2.0886777690654113E-3"/>
    <x v="1"/>
    <x v="17"/>
    <n v="43452.666666666664"/>
  </r>
  <r>
    <s v="P205"/>
    <x v="0"/>
    <d v="2025-04-24T00:00:00"/>
    <s v="Video"/>
    <s v="Check out our latest video on twitter!"/>
    <n v="3820"/>
    <n v="697"/>
    <n v="268"/>
    <n v="45840"/>
    <n v="45631"/>
    <n v="171"/>
    <s v="#TeslaCoInnovation"/>
    <s v="SustainabilityDrive"/>
    <n v="53484"/>
    <n v="12307"/>
    <n v="5.6557999999999993"/>
    <x v="0"/>
    <n v="3.7638267111925511E-3"/>
    <x v="0"/>
    <x v="45"/>
    <n v="41177"/>
  </r>
  <r>
    <s v="P206"/>
    <x v="0"/>
    <d v="2024-06-24T00:00:00"/>
    <s v="Text"/>
    <s v="Check out our latest text on twitter!"/>
    <n v="941"/>
    <n v="121"/>
    <n v="458"/>
    <n v="14115"/>
    <n v="13838"/>
    <n v="87"/>
    <s v="#EVRevolution"/>
    <s v="CybertruckLaunch"/>
    <n v="53484"/>
    <n v="12307"/>
    <n v="5.6557999999999993"/>
    <x v="0"/>
    <n v="9.6948480558906101E-4"/>
    <x v="0"/>
    <x v="4"/>
    <n v="39240.333333333336"/>
  </r>
  <r>
    <s v="P207"/>
    <x v="0"/>
    <d v="2024-12-29T00:00:00"/>
    <s v="Carousel"/>
    <s v="Check out our latest carousel on twitter!"/>
    <n v="4274"/>
    <n v="340"/>
    <n v="281"/>
    <n v="34192"/>
    <n v="33446"/>
    <n v="129"/>
    <s v="#TeslaCoInnovation"/>
    <s v="FSDUpdate"/>
    <n v="53484"/>
    <n v="12307"/>
    <n v="5.6557999999999993"/>
    <x v="0"/>
    <n v="4.1523750963119027E-3"/>
    <x v="0"/>
    <x v="48"/>
    <n v="39240.333333333336"/>
  </r>
  <r>
    <s v="P208"/>
    <x v="2"/>
    <d v="2024-06-24T00:00:00"/>
    <s v="Video"/>
    <s v="Check out our latest video on youtube!"/>
    <n v="2949"/>
    <n v="476"/>
    <n v="403"/>
    <n v="44235"/>
    <n v="43705"/>
    <n v="135"/>
    <s v="#TeslaCoInnovation"/>
    <s v="ModelYCampaign"/>
    <n v="47471"/>
    <n v="12104"/>
    <n v="5.5587999999999997"/>
    <x v="2"/>
    <n v="2.5100781591457923E-3"/>
    <x v="2"/>
    <x v="4"/>
    <n v="37303.666666666664"/>
  </r>
  <r>
    <s v="P209"/>
    <x v="0"/>
    <d v="2025-03-19T00:00:00"/>
    <s v="Video"/>
    <s v="Check out our latest video on twitter!"/>
    <n v="3160"/>
    <n v="204"/>
    <n v="297"/>
    <n v="44240"/>
    <n v="43666"/>
    <n v="49"/>
    <s v="#FutureOfDriving"/>
    <s v="SustainabilityDrive"/>
    <n v="53484"/>
    <n v="12307"/>
    <n v="5.6557999999999993"/>
    <x v="0"/>
    <n v="3.0263392423495105E-3"/>
    <x v="0"/>
    <x v="44"/>
    <n v="39240.333333333336"/>
  </r>
  <r>
    <s v="P210"/>
    <x v="2"/>
    <d v="2025-02-19T00:00:00"/>
    <s v="Image"/>
    <s v="Check out our latest image on youtube!"/>
    <n v="257"/>
    <n v="966"/>
    <n v="398"/>
    <n v="3341"/>
    <n v="2753"/>
    <n v="287"/>
    <s v="#FutureOfDriving"/>
    <s v="CybertruckLaunch"/>
    <n v="47471"/>
    <n v="12104"/>
    <n v="5.5587999999999997"/>
    <x v="2"/>
    <n v="4.4276346257305803E-4"/>
    <x v="2"/>
    <x v="12"/>
    <n v="37303.666666666664"/>
  </r>
  <r>
    <s v="P211"/>
    <x v="0"/>
    <d v="2024-07-18T00:00:00"/>
    <s v="Carousel"/>
    <s v="Check out our latest carousel on twitter!"/>
    <n v="2120"/>
    <n v="38"/>
    <n v="212"/>
    <n v="12720"/>
    <n v="12564"/>
    <n v="21"/>
    <s v="#FutureOfDriving"/>
    <s v="SustainabilityDrive"/>
    <n v="53484"/>
    <n v="12307"/>
    <n v="5.6557999999999993"/>
    <x v="0"/>
    <n v="2.0191312925741047E-3"/>
    <x v="0"/>
    <x v="46"/>
    <n v="37367"/>
  </r>
  <r>
    <s v="P212"/>
    <x v="2"/>
    <d v="2025-03-03T00:00:00"/>
    <s v="Video"/>
    <s v="Check out our latest video on youtube!"/>
    <n v="3874"/>
    <n v="884"/>
    <n v="19"/>
    <n v="38740"/>
    <n v="38552"/>
    <n v="219"/>
    <s v="#TeslaCoInnovation"/>
    <s v="ModelYCampaign"/>
    <n v="47471"/>
    <n v="12104"/>
    <n v="5.5587999999999997"/>
    <x v="2"/>
    <n v="3.3313067138079529E-3"/>
    <x v="2"/>
    <x v="23"/>
    <n v="39642.666666666664"/>
  </r>
  <r>
    <s v="P213"/>
    <x v="3"/>
    <d v="2025-05-01T00:00:00"/>
    <s v="Carousel"/>
    <s v="Check out our latest carousel on facebook!"/>
    <n v="2696"/>
    <n v="628"/>
    <n v="443"/>
    <n v="45832"/>
    <n v="45632"/>
    <n v="248"/>
    <s v="#EVRevolution"/>
    <s v="SustainabilityDrive"/>
    <n v="50862"/>
    <n v="15305"/>
    <n v="5.6486000000000001"/>
    <x v="3"/>
    <n v="2.1340462284864725E-3"/>
    <x v="3"/>
    <x v="32"/>
    <n v="39706"/>
  </r>
  <r>
    <s v="P214"/>
    <x v="1"/>
    <d v="2024-12-23T00:00:00"/>
    <s v="Image"/>
    <s v="Check out our latest image on instagram!"/>
    <n v="521"/>
    <n v="746"/>
    <n v="315"/>
    <n v="4168"/>
    <n v="3399"/>
    <n v="282"/>
    <s v="#FutureOfDriving"/>
    <s v="ModelYCampaign"/>
    <n v="58311"/>
    <n v="10307"/>
    <n v="5.7155999999999993"/>
    <x v="1"/>
    <n v="6.896415495721732E-4"/>
    <x v="1"/>
    <x v="0"/>
    <n v="39642.666666666664"/>
  </r>
  <r>
    <s v="P215"/>
    <x v="3"/>
    <d v="2025-05-06T00:00:00"/>
    <s v="Image"/>
    <s v="Check out our latest image on facebook!"/>
    <n v="4872"/>
    <n v="925"/>
    <n v="176"/>
    <n v="82824"/>
    <n v="82543"/>
    <n v="89"/>
    <s v="#EVRevolution"/>
    <s v="ModelYCampaign"/>
    <n v="50862"/>
    <n v="15305"/>
    <n v="5.6486000000000001"/>
    <x v="3"/>
    <n v="3.596128851739603E-3"/>
    <x v="3"/>
    <x v="14"/>
    <n v="35493.666666666664"/>
  </r>
  <r>
    <s v="P216"/>
    <x v="2"/>
    <d v="2024-07-29T00:00:00"/>
    <s v="Story"/>
    <s v="Check out our latest story on youtube!"/>
    <n v="1509"/>
    <n v="88"/>
    <n v="163"/>
    <n v="30180"/>
    <n v="29689"/>
    <n v="119"/>
    <s v="#EVRevolution"/>
    <s v="ModelYCampaign"/>
    <n v="47471"/>
    <n v="12104"/>
    <n v="5.5587999999999997"/>
    <x v="2"/>
    <n v="1.325034774023784E-3"/>
    <x v="2"/>
    <x v="26"/>
    <n v="35493.666666666664"/>
  </r>
  <r>
    <s v="P217"/>
    <x v="3"/>
    <d v="2024-12-03T00:00:00"/>
    <s v="Image"/>
    <s v="Check out our latest image on facebook!"/>
    <n v="4606"/>
    <n v="931"/>
    <n v="230"/>
    <n v="92120"/>
    <n v="91440"/>
    <n v="56"/>
    <s v="#TeslaCoInnovation"/>
    <m/>
    <n v="50862"/>
    <n v="15305"/>
    <n v="5.6486000000000001"/>
    <x v="3"/>
    <n v="3.3793897816589455E-3"/>
    <x v="3"/>
    <x v="47"/>
    <n v="37430.333333333336"/>
  </r>
  <r>
    <s v="P218"/>
    <x v="3"/>
    <d v="2024-06-11T00:00:00"/>
    <s v="Carousel"/>
    <s v="Check out our latest carousel on facebook!"/>
    <n v="1869"/>
    <n v="453"/>
    <n v="490"/>
    <n v="14952"/>
    <n v="14309"/>
    <n v="275"/>
    <s v="#TeslaCoInnovation"/>
    <s v="SustainabilityDrive"/>
    <n v="50862"/>
    <n v="15305"/>
    <n v="5.6486000000000001"/>
    <x v="3"/>
    <n v="1.5541423620499312E-3"/>
    <x v="3"/>
    <x v="33"/>
    <n v="41579.333333333336"/>
  </r>
  <r>
    <s v="P219"/>
    <x v="0"/>
    <d v="2025-01-28T00:00:00"/>
    <s v="Reel"/>
    <s v="Check out our latest reel on twitter!"/>
    <n v="1188"/>
    <n v="470"/>
    <n v="174"/>
    <n v="7128"/>
    <n v="6145"/>
    <n v="270"/>
    <s v="#TeslaCoInnovation"/>
    <s v="SustainabilityDrive"/>
    <n v="53484"/>
    <n v="12307"/>
    <n v="5.6557999999999993"/>
    <x v="0"/>
    <n v="1.3750086055922676E-3"/>
    <x v="0"/>
    <x v="24"/>
    <n v="41579.333333333336"/>
  </r>
  <r>
    <s v="P220"/>
    <x v="1"/>
    <d v="2024-06-02T00:00:00"/>
    <s v="Story"/>
    <s v="Check out our latest story on instagram!"/>
    <n v="84"/>
    <n v="897"/>
    <n v="85"/>
    <n v="588"/>
    <n v="8"/>
    <n v="12"/>
    <s v="#EVRevolution"/>
    <m/>
    <n v="58311"/>
    <n v="10307"/>
    <n v="5.7155999999999993"/>
    <x v="1"/>
    <n v="8.2447806673634647E-5"/>
    <x v="1"/>
    <x v="39"/>
    <n v="39706"/>
  </r>
  <r>
    <s v="P221"/>
    <x v="3"/>
    <d v="2025-03-23T00:00:00"/>
    <s v="Video"/>
    <s v="Check out our latest video on facebook!"/>
    <n v="4453"/>
    <n v="111"/>
    <n v="420"/>
    <n v="31171"/>
    <n v="30565"/>
    <n v="23"/>
    <s v="#TeslaCoInnovation"/>
    <m/>
    <n v="50862"/>
    <n v="15305"/>
    <n v="5.6486000000000001"/>
    <x v="3"/>
    <n v="3.2445621327124494E-3"/>
    <x v="3"/>
    <x v="27"/>
    <n v="37430.333333333336"/>
  </r>
  <r>
    <s v="P222"/>
    <x v="3"/>
    <d v="2024-10-08T00:00:00"/>
    <s v="Reel"/>
    <s v="Check out our latest reel on facebook!"/>
    <n v="1814"/>
    <n v="653"/>
    <n v="363"/>
    <n v="25396"/>
    <n v="25286"/>
    <n v="39"/>
    <s v="#FutureOfDriving"/>
    <s v="CybertruckLaunch"/>
    <n v="50862"/>
    <n v="15305"/>
    <n v="5.6486000000000001"/>
    <x v="3"/>
    <n v="1.3432023306336391E-3"/>
    <x v="3"/>
    <x v="38"/>
    <n v="37430.333333333336"/>
  </r>
  <r>
    <s v="P223"/>
    <x v="0"/>
    <d v="2024-11-12T00:00:00"/>
    <s v="Image"/>
    <s v="Check out our latest image on twitter!"/>
    <n v="3338"/>
    <n v="277"/>
    <n v="118"/>
    <n v="60084"/>
    <n v="59842"/>
    <n v="252"/>
    <s v="#TeslaCoInnovation"/>
    <m/>
    <n v="53484"/>
    <n v="12307"/>
    <n v="5.6557999999999993"/>
    <x v="0"/>
    <n v="3.3856521907244448E-3"/>
    <x v="0"/>
    <x v="43"/>
    <n v="39303.666666666664"/>
  </r>
  <r>
    <s v="P224"/>
    <x v="3"/>
    <d v="2025-05-13T00:00:00"/>
    <s v="Image"/>
    <s v="Check out our latest image on facebook!"/>
    <n v="602"/>
    <n v="594"/>
    <n v="156"/>
    <n v="4214"/>
    <n v="3363"/>
    <n v="164"/>
    <s v="#TeslaCoInnovation"/>
    <s v="FSDUpdate"/>
    <n v="50862"/>
    <n v="15305"/>
    <n v="5.6486000000000001"/>
    <x v="3"/>
    <n v="5.5525795211298847E-4"/>
    <x v="3"/>
    <x v="3"/>
    <n v="41579.333333333336"/>
  </r>
  <r>
    <s v="P225"/>
    <x v="0"/>
    <d v="2024-06-20T00:00:00"/>
    <s v="Carousel"/>
    <s v="Check out our latest carousel on twitter!"/>
    <n v="4672"/>
    <n v="325"/>
    <n v="32"/>
    <n v="88768"/>
    <n v="87833"/>
    <n v="118"/>
    <s v="#EVRevolution"/>
    <m/>
    <n v="53484"/>
    <n v="12307"/>
    <n v="5.6557999999999993"/>
    <x v="0"/>
    <n v="4.517346516314788E-3"/>
    <x v="0"/>
    <x v="35"/>
    <n v="45728.333333333336"/>
  </r>
  <r>
    <s v="P226"/>
    <x v="1"/>
    <d v="2024-08-07T00:00:00"/>
    <s v="Carousel"/>
    <s v="Check out our latest carousel on instagram!"/>
    <n v="1741"/>
    <n v="164"/>
    <n v="318"/>
    <n v="8705"/>
    <n v="8272"/>
    <n v="121"/>
    <s v="#TeslaCoInnovation"/>
    <m/>
    <n v="58311"/>
    <n v="10307"/>
    <n v="5.7155999999999993"/>
    <x v="1"/>
    <n v="1.5991439169407054E-3"/>
    <x v="1"/>
    <x v="41"/>
    <n v="48004"/>
  </r>
  <r>
    <s v="P227"/>
    <x v="1"/>
    <d v="2024-06-12T00:00:00"/>
    <s v="Text"/>
    <s v="Check out our latest text on instagram!"/>
    <n v="246"/>
    <n v="149"/>
    <n v="130"/>
    <n v="4674"/>
    <n v="4390"/>
    <n v="217"/>
    <s v="#FutureOfDriving"/>
    <s v="FSDUpdate"/>
    <n v="58311"/>
    <n v="10307"/>
    <n v="5.7155999999999993"/>
    <x v="1"/>
    <n v="3.9763890093638378E-4"/>
    <x v="1"/>
    <x v="33"/>
    <n v="48004"/>
  </r>
  <r>
    <s v="P228"/>
    <x v="1"/>
    <d v="2024-07-01T00:00:00"/>
    <s v="Story"/>
    <s v="Check out our latest story on instagram!"/>
    <n v="4808"/>
    <n v="772"/>
    <n v="320"/>
    <n v="72120"/>
    <n v="71696"/>
    <n v="195"/>
    <s v="#EVRevolution"/>
    <s v="CybertruckLaunch"/>
    <n v="58311"/>
    <n v="10307"/>
    <n v="5.7155999999999993"/>
    <x v="1"/>
    <n v="4.2967330915436889E-3"/>
    <x v="1"/>
    <x v="34"/>
    <n v="43855"/>
  </r>
  <r>
    <s v="P229"/>
    <x v="1"/>
    <d v="2024-07-03T00:00:00"/>
    <s v="Carousel"/>
    <s v="Check out our latest carousel on instagram!"/>
    <n v="4799"/>
    <n v="694"/>
    <n v="289"/>
    <n v="43191"/>
    <n v="42228"/>
    <n v="118"/>
    <s v="#TeslaCoInnovation"/>
    <m/>
    <n v="58311"/>
    <n v="10307"/>
    <n v="5.7155999999999993"/>
    <x v="1"/>
    <n v="4.2228735980652252E-3"/>
    <x v="1"/>
    <x v="34"/>
    <n v="43855"/>
  </r>
  <r>
    <s v="P230"/>
    <x v="3"/>
    <d v="2024-07-15T00:00:00"/>
    <s v="Reel"/>
    <s v="Check out our latest reel on facebook!"/>
    <n v="3663"/>
    <n v="17"/>
    <n v="295"/>
    <n v="51282"/>
    <n v="50567"/>
    <n v="84"/>
    <s v="#EVRevolution"/>
    <s v="FSDUpdate"/>
    <n v="50862"/>
    <n v="15305"/>
    <n v="5.6486000000000001"/>
    <x v="3"/>
    <n v="2.716124734422151E-3"/>
    <x v="3"/>
    <x v="46"/>
    <n v="41579.333333333336"/>
  </r>
  <r>
    <s v="P231"/>
    <x v="1"/>
    <d v="2025-05-01T00:00:00"/>
    <s v="Text"/>
    <s v="Check out our latest text on instagram!"/>
    <n v="1430"/>
    <n v="376"/>
    <n v="33"/>
    <n v="21450"/>
    <n v="20509"/>
    <n v="251"/>
    <s v="#FutureOfDriving"/>
    <s v="CybertruckLaunch"/>
    <n v="58311"/>
    <n v="10307"/>
    <n v="5.7155999999999993"/>
    <x v="1"/>
    <n v="1.4436954481081234E-3"/>
    <x v="1"/>
    <x v="32"/>
    <n v="41579.333333333336"/>
  </r>
  <r>
    <s v="P232"/>
    <x v="0"/>
    <d v="2025-04-29T00:00:00"/>
    <s v="Story"/>
    <s v="Check out our latest story on twitter!"/>
    <n v="249"/>
    <n v="592"/>
    <n v="230"/>
    <n v="1494"/>
    <n v="1044"/>
    <n v="201"/>
    <s v="#EVRevolution"/>
    <s v="SustainabilityDrive"/>
    <n v="53484"/>
    <n v="12307"/>
    <n v="5.6557999999999993"/>
    <x v="0"/>
    <n v="4.2438537209637888E-4"/>
    <x v="0"/>
    <x v="32"/>
    <n v="37430.333333333336"/>
  </r>
  <r>
    <s v="P233"/>
    <x v="3"/>
    <d v="2025-03-08T00:00:00"/>
    <s v="Image"/>
    <s v="Check out our latest image on facebook!"/>
    <n v="2382"/>
    <n v="265"/>
    <n v="134"/>
    <n v="38112"/>
    <n v="37437"/>
    <n v="249"/>
    <s v="#FutureOfDriving"/>
    <s v="SustainabilityDrive"/>
    <n v="50862"/>
    <n v="15305"/>
    <n v="5.6486000000000001"/>
    <x v="3"/>
    <n v="1.9071588407431758E-3"/>
    <x v="3"/>
    <x v="23"/>
    <n v="35557"/>
  </r>
  <r>
    <s v="P234"/>
    <x v="3"/>
    <d v="2024-06-01T00:00:00"/>
    <s v="Text"/>
    <s v="Check out our latest text on facebook!"/>
    <n v="1272"/>
    <n v="465"/>
    <n v="99"/>
    <n v="24168"/>
    <n v="23719"/>
    <n v="42"/>
    <s v="#TeslaCoInnovation"/>
    <m/>
    <n v="50862"/>
    <n v="15305"/>
    <n v="5.6486000000000001"/>
    <x v="3"/>
    <n v="9.5249210062201938E-4"/>
    <x v="3"/>
    <x v="50"/>
    <n v="35557"/>
  </r>
  <r>
    <s v="P235"/>
    <x v="3"/>
    <d v="2024-12-22T00:00:00"/>
    <s v="Image"/>
    <s v="Check out our latest image on facebook!"/>
    <n v="3196"/>
    <n v="941"/>
    <n v="376"/>
    <n v="35156"/>
    <n v="34444"/>
    <n v="241"/>
    <s v="#TeslaCoInnovation"/>
    <s v="FSDUpdate"/>
    <n v="50862"/>
    <n v="15305"/>
    <n v="5.6486000000000001"/>
    <x v="3"/>
    <n v="2.4914119861779915E-3"/>
    <x v="3"/>
    <x v="0"/>
    <n v="39706"/>
  </r>
  <r>
    <s v="P236"/>
    <x v="3"/>
    <d v="2024-08-19T00:00:00"/>
    <s v="Text"/>
    <s v="Check out our latest text on facebook!"/>
    <n v="1257"/>
    <n v="19"/>
    <n v="351"/>
    <n v="12570"/>
    <n v="11660"/>
    <n v="194"/>
    <s v="#FutureOfDriving"/>
    <s v="ModelYCampaign"/>
    <n v="50862"/>
    <n v="15305"/>
    <n v="5.6486000000000001"/>
    <x v="3"/>
    <n v="1.0518006377492771E-3"/>
    <x v="3"/>
    <x v="15"/>
    <n v="41579.333333333336"/>
  </r>
  <r>
    <s v="P237"/>
    <x v="1"/>
    <d v="2024-10-22T00:00:00"/>
    <s v="Story"/>
    <s v="Check out our latest story on instagram!"/>
    <n v="3770"/>
    <n v="917"/>
    <n v="129"/>
    <n v="71630"/>
    <n v="71322"/>
    <n v="76"/>
    <s v="#FutureOfDriving"/>
    <s v="CybertruckLaunch"/>
    <n v="58311"/>
    <n v="10307"/>
    <n v="5.7155999999999993"/>
    <x v="1"/>
    <n v="3.3030652548624883E-3"/>
    <x v="1"/>
    <x v="13"/>
    <n v="41516"/>
  </r>
  <r>
    <s v="P238"/>
    <x v="0"/>
    <d v="2024-07-16T00:00:00"/>
    <s v="Text"/>
    <s v="Check out our latest text on twitter!"/>
    <n v="4725"/>
    <n v="400"/>
    <n v="362"/>
    <n v="75600"/>
    <n v="74927"/>
    <n v="43"/>
    <s v="#FutureOfDriving"/>
    <s v="SustainabilityDrive"/>
    <n v="53484"/>
    <n v="12307"/>
    <n v="5.6557999999999993"/>
    <x v="0"/>
    <n v="4.4965987870122983E-3"/>
    <x v="0"/>
    <x v="46"/>
    <n v="39240.333333333336"/>
  </r>
  <r>
    <s v="P239"/>
    <x v="2"/>
    <d v="2025-02-24T00:00:00"/>
    <s v="Text"/>
    <s v="Check out our latest text on youtube!"/>
    <n v="4188"/>
    <n v="942"/>
    <n v="118"/>
    <n v="20940"/>
    <n v="20471"/>
    <n v="102"/>
    <s v="#FutureOfDriving"/>
    <m/>
    <n v="47471"/>
    <n v="12104"/>
    <n v="5.5587999999999997"/>
    <x v="2"/>
    <n v="3.4916456883059169E-3"/>
    <x v="2"/>
    <x v="18"/>
    <n v="37367"/>
  </r>
  <r>
    <s v="P240"/>
    <x v="0"/>
    <d v="2024-08-26T00:00:00"/>
    <s v="Carousel"/>
    <s v="Check out our latest carousel on twitter!"/>
    <n v="929"/>
    <n v="192"/>
    <n v="322"/>
    <n v="16722"/>
    <n v="15996"/>
    <n v="145"/>
    <s v="#EVRevolution"/>
    <s v="FSDUpdate"/>
    <n v="53484"/>
    <n v="12307"/>
    <n v="5.6557999999999993"/>
    <x v="0"/>
    <n v="1.0128664214033576E-3"/>
    <x v="0"/>
    <x v="7"/>
    <n v="37430.333333333336"/>
  </r>
  <r>
    <s v="P241"/>
    <x v="3"/>
    <d v="2025-01-18T00:00:00"/>
    <s v="Story"/>
    <s v="Check out our latest story on facebook!"/>
    <n v="4321"/>
    <n v="874"/>
    <n v="172"/>
    <n v="30247"/>
    <n v="29254"/>
    <n v="122"/>
    <s v="#TeslaCoInnovation"/>
    <s v="SustainabilityDrive"/>
    <n v="50862"/>
    <n v="15305"/>
    <n v="5.6486000000000001"/>
    <x v="3"/>
    <n v="3.2206410982219421E-3"/>
    <x v="3"/>
    <x v="49"/>
    <n v="37430.333333333336"/>
  </r>
  <r>
    <s v="P242"/>
    <x v="3"/>
    <d v="2024-07-07T00:00:00"/>
    <s v="Reel"/>
    <s v="Check out our latest reel on facebook!"/>
    <n v="4767"/>
    <n v="190"/>
    <n v="340"/>
    <n v="28602"/>
    <n v="28044"/>
    <n v="210"/>
    <s v="#EVRevolution"/>
    <s v="FSDUpdate"/>
    <n v="50862"/>
    <n v="15305"/>
    <n v="5.6486000000000001"/>
    <x v="3"/>
    <n v="3.6077269290683339E-3"/>
    <x v="3"/>
    <x v="6"/>
    <n v="37367"/>
  </r>
  <r>
    <s v="P243"/>
    <x v="0"/>
    <d v="2025-03-06T00:00:00"/>
    <s v="Image"/>
    <s v="Check out our latest image on twitter!"/>
    <n v="3592"/>
    <n v="911"/>
    <n v="375"/>
    <n v="50288"/>
    <n v="49490"/>
    <n v="32"/>
    <s v="#FutureOfDriving"/>
    <s v="SustainabilityDrive"/>
    <n v="53484"/>
    <n v="12307"/>
    <n v="5.6557999999999993"/>
    <x v="0"/>
    <n v="3.4177168632828379E-3"/>
    <x v="0"/>
    <x v="23"/>
    <n v="37367"/>
  </r>
  <r>
    <s v="P244"/>
    <x v="2"/>
    <d v="2024-10-25T00:00:00"/>
    <s v="Video"/>
    <s v="Check out our latest video on youtube!"/>
    <n v="4661"/>
    <n v="935"/>
    <n v="433"/>
    <n v="23305"/>
    <n v="22583"/>
    <n v="63"/>
    <s v="#FutureOfDriving"/>
    <s v="FSDUpdate"/>
    <n v="47471"/>
    <n v="12104"/>
    <n v="5.5587999999999997"/>
    <x v="2"/>
    <n v="3.8448797742557462E-3"/>
    <x v="2"/>
    <x v="13"/>
    <n v="35493.666666666664"/>
  </r>
  <r>
    <s v="P245"/>
    <x v="3"/>
    <d v="2025-01-12T00:00:00"/>
    <s v="Reel"/>
    <s v="Check out our latest reel on facebook!"/>
    <n v="4134"/>
    <n v="824"/>
    <n v="99"/>
    <n v="41340"/>
    <n v="41050"/>
    <n v="177"/>
    <s v="#EVRevolution"/>
    <s v="CybertruckLaunch"/>
    <n v="50862"/>
    <n v="15305"/>
    <n v="5.6486000000000001"/>
    <x v="3"/>
    <n v="3.1249569602599127E-3"/>
    <x v="3"/>
    <x v="49"/>
    <n v="35557"/>
  </r>
  <r>
    <s v="P246"/>
    <x v="3"/>
    <d v="2024-10-11T00:00:00"/>
    <s v="Image"/>
    <s v="Check out our latest image on facebook!"/>
    <n v="400"/>
    <n v="680"/>
    <n v="434"/>
    <n v="6400"/>
    <n v="5472"/>
    <n v="160"/>
    <s v="#FutureOfDriving"/>
    <s v="ModelYCampaign"/>
    <n v="50862"/>
    <n v="15305"/>
    <n v="5.6486000000000001"/>
    <x v="3"/>
    <n v="4.0593270650557905E-4"/>
    <x v="3"/>
    <x v="38"/>
    <n v="35557"/>
  </r>
  <r>
    <s v="P247"/>
    <x v="3"/>
    <d v="2024-08-27T00:00:00"/>
    <s v="Reel"/>
    <s v="Check out our latest reel on facebook!"/>
    <n v="3960"/>
    <n v="266"/>
    <n v="8"/>
    <n v="35640"/>
    <n v="34850"/>
    <n v="208"/>
    <s v="#FutureOfDriving"/>
    <m/>
    <n v="50862"/>
    <n v="15305"/>
    <n v="5.6486000000000001"/>
    <x v="3"/>
    <n v="3.0212991441343809E-3"/>
    <x v="3"/>
    <x v="7"/>
    <n v="37430.333333333336"/>
  </r>
  <r>
    <s v="P248"/>
    <x v="3"/>
    <d v="2025-02-02T00:00:00"/>
    <s v="Story"/>
    <s v="Check out our latest story on facebook!"/>
    <n v="886"/>
    <n v="126"/>
    <n v="153"/>
    <n v="4430"/>
    <n v="4037"/>
    <n v="212"/>
    <s v="#EVRevolution"/>
    <m/>
    <n v="50862"/>
    <n v="15305"/>
    <n v="5.6486000000000001"/>
    <x v="3"/>
    <n v="7.959180566841532E-4"/>
    <x v="3"/>
    <x v="9"/>
    <n v="37430.333333333336"/>
  </r>
  <r>
    <s v="P249"/>
    <x v="0"/>
    <d v="2024-07-18T00:00:00"/>
    <s v="Image"/>
    <s v="Check out our latest image on twitter!"/>
    <n v="827"/>
    <n v="77"/>
    <n v="402"/>
    <n v="14886"/>
    <n v="14129"/>
    <n v="254"/>
    <s v="#EVRevolution"/>
    <s v="ModelYCampaign"/>
    <n v="53484"/>
    <n v="12307"/>
    <n v="5.6557999999999993"/>
    <x v="0"/>
    <n v="1.0194679716359679E-3"/>
    <x v="0"/>
    <x v="46"/>
    <n v="41579.333333333336"/>
  </r>
  <r>
    <s v="P250"/>
    <x v="3"/>
    <d v="2024-06-22T00:00:00"/>
    <s v="Reel"/>
    <s v="Check out our latest reel on facebook!"/>
    <n v="3813"/>
    <n v="935"/>
    <n v="274"/>
    <n v="68634"/>
    <n v="68488"/>
    <n v="251"/>
    <s v="#FutureOfDriving"/>
    <m/>
    <n v="50862"/>
    <n v="15305"/>
    <n v="5.6486000000000001"/>
    <x v="3"/>
    <n v="2.9459116414976309E-3"/>
    <x v="3"/>
    <x v="35"/>
    <n v="39706"/>
  </r>
  <r>
    <s v="P251"/>
    <x v="1"/>
    <d v="2025-03-27T00:00:00"/>
    <s v="Carousel"/>
    <s v="Check out our latest carousel on instagram!"/>
    <n v="1377"/>
    <n v="796"/>
    <n v="387"/>
    <n v="22032"/>
    <n v="21869"/>
    <n v="189"/>
    <s v="#FutureOfDriving"/>
    <m/>
    <n v="58311"/>
    <n v="10307"/>
    <n v="5.7155999999999993"/>
    <x v="1"/>
    <n v="1.3449298463636653E-3"/>
    <x v="1"/>
    <x v="27"/>
    <n v="41579.333333333336"/>
  </r>
  <r>
    <s v="P252"/>
    <x v="3"/>
    <d v="2025-04-28T00:00:00"/>
    <s v="Carousel"/>
    <s v="Check out our latest carousel on facebook!"/>
    <n v="2089"/>
    <n v="476"/>
    <n v="69"/>
    <n v="16712"/>
    <n v="16309"/>
    <n v="64"/>
    <s v="#FutureOfDriving"/>
    <s v="FSDUpdate"/>
    <n v="50862"/>
    <n v="15305"/>
    <n v="5.6486000000000001"/>
    <x v="3"/>
    <n v="1.5606662805473424E-3"/>
    <x v="3"/>
    <x v="32"/>
    <n v="39303.666666666664"/>
  </r>
  <r>
    <s v="P253"/>
    <x v="0"/>
    <d v="2024-08-03T00:00:00"/>
    <s v="Reel"/>
    <s v="Check out our latest reel on twitter!"/>
    <n v="3791"/>
    <n v="593"/>
    <n v="228"/>
    <n v="53074"/>
    <n v="52613"/>
    <n v="205"/>
    <s v="#EVRevolution"/>
    <m/>
    <n v="53484"/>
    <n v="12307"/>
    <n v="5.6557999999999993"/>
    <x v="0"/>
    <n v="3.7685421042158444E-3"/>
    <x v="0"/>
    <x v="26"/>
    <n v="39303.666666666664"/>
  </r>
  <r>
    <s v="P254"/>
    <x v="0"/>
    <d v="2025-01-14T00:00:00"/>
    <s v="Image"/>
    <s v="Check out our latest image on twitter!"/>
    <n v="2692"/>
    <n v="115"/>
    <n v="64"/>
    <n v="21536"/>
    <n v="21120"/>
    <n v="224"/>
    <s v="#FutureOfDriving"/>
    <s v="ModelYCampaign"/>
    <n v="53484"/>
    <n v="12307"/>
    <n v="5.6557999999999993"/>
    <x v="0"/>
    <n v="2.7500172111845351E-3"/>
    <x v="0"/>
    <x v="49"/>
    <n v="37367"/>
  </r>
  <r>
    <s v="P255"/>
    <x v="3"/>
    <d v="2025-04-03T00:00:00"/>
    <s v="Story"/>
    <s v="Check out our latest story on facebook!"/>
    <n v="3767"/>
    <n v="514"/>
    <n v="238"/>
    <n v="37670"/>
    <n v="36807"/>
    <n v="226"/>
    <s v="#FutureOfDriving"/>
    <s v="SustainabilityDrive"/>
    <n v="50862"/>
    <n v="15305"/>
    <n v="5.6486000000000001"/>
    <x v="3"/>
    <n v="2.8944451733513878E-3"/>
    <x v="3"/>
    <x v="1"/>
    <n v="35493.666666666664"/>
  </r>
  <r>
    <s v="P256"/>
    <x v="2"/>
    <d v="2024-09-18T00:00:00"/>
    <s v="Carousel"/>
    <s v="Check out our latest carousel on youtube!"/>
    <n v="2143"/>
    <n v="12"/>
    <n v="204"/>
    <n v="40717"/>
    <n v="40125"/>
    <n v="248"/>
    <s v="#EVRevolution"/>
    <s v="ModelYCampaign"/>
    <n v="47471"/>
    <n v="12104"/>
    <n v="5.5587999999999997"/>
    <x v="2"/>
    <n v="1.9460430864194516E-3"/>
    <x v="2"/>
    <x v="22"/>
    <n v="39642.666666666664"/>
  </r>
  <r>
    <s v="P257"/>
    <x v="3"/>
    <d v="2025-04-06T00:00:00"/>
    <s v="Image"/>
    <s v="Check out our latest image on facebook!"/>
    <n v="3090"/>
    <n v="697"/>
    <n v="164"/>
    <n v="49440"/>
    <n v="48524"/>
    <n v="25"/>
    <s v="#EVRevolution"/>
    <s v="ModelYCampaign"/>
    <n v="50862"/>
    <n v="15305"/>
    <n v="5.6486000000000001"/>
    <x v="3"/>
    <n v="2.2580006799372836E-3"/>
    <x v="3"/>
    <x v="21"/>
    <n v="39706"/>
  </r>
  <r>
    <s v="P258"/>
    <x v="1"/>
    <d v="2024-08-05T00:00:00"/>
    <s v="Story"/>
    <s v="Check out our latest story on instagram!"/>
    <n v="3601"/>
    <n v="695"/>
    <n v="75"/>
    <n v="21606"/>
    <n v="21454"/>
    <n v="172"/>
    <s v="#EVRevolution"/>
    <s v="ModelYCampaign"/>
    <n v="58311"/>
    <n v="10307"/>
    <n v="5.7155999999999993"/>
    <x v="1"/>
    <n v="3.2403705685377453E-3"/>
    <x v="1"/>
    <x v="41"/>
    <n v="43855"/>
  </r>
  <r>
    <s v="P259"/>
    <x v="3"/>
    <d v="2025-02-10T00:00:00"/>
    <s v="Text"/>
    <s v="Check out our latest text on facebook!"/>
    <n v="562"/>
    <n v="158"/>
    <n v="149"/>
    <n v="3372"/>
    <n v="2940"/>
    <n v="93"/>
    <s v="#TeslaCoInnovation"/>
    <s v="CybertruckLaunch"/>
    <n v="50862"/>
    <n v="15305"/>
    <n v="5.6486000000000001"/>
    <x v="3"/>
    <n v="4.7479629064491833E-4"/>
    <x v="3"/>
    <x v="40"/>
    <n v="43855"/>
  </r>
  <r>
    <s v="P260"/>
    <x v="1"/>
    <d v="2025-02-12T00:00:00"/>
    <s v="Story"/>
    <s v="Check out our latest story on instagram!"/>
    <n v="4332"/>
    <n v="771"/>
    <n v="219"/>
    <n v="60648"/>
    <n v="60397"/>
    <n v="10"/>
    <s v="#TeslaCoInnovation"/>
    <s v="FSDUpdate"/>
    <n v="58311"/>
    <n v="10307"/>
    <n v="5.7155999999999993"/>
    <x v="1"/>
    <n v="3.7290455893429341E-3"/>
    <x v="1"/>
    <x v="40"/>
    <n v="43791.666666666664"/>
  </r>
  <r>
    <s v="P261"/>
    <x v="1"/>
    <d v="2024-10-27T00:00:00"/>
    <s v="Image"/>
    <s v="Check out our latest image on instagram!"/>
    <n v="4853"/>
    <n v="837"/>
    <n v="340"/>
    <n v="72795"/>
    <n v="72237"/>
    <n v="170"/>
    <s v="#EVRevolution"/>
    <s v="CybertruckLaunch"/>
    <n v="58311"/>
    <n v="10307"/>
    <n v="5.7155999999999993"/>
    <x v="1"/>
    <n v="4.3139097179340294E-3"/>
    <x v="1"/>
    <x v="5"/>
    <n v="43791.666666666664"/>
  </r>
  <r>
    <s v="P262"/>
    <x v="2"/>
    <d v="2025-01-18T00:00:00"/>
    <s v="Image"/>
    <s v="Check out our latest image on youtube!"/>
    <n v="1206"/>
    <n v="238"/>
    <n v="36"/>
    <n v="9648"/>
    <n v="9417"/>
    <n v="237"/>
    <s v="#TeslaCoInnovation"/>
    <m/>
    <n v="47471"/>
    <n v="12104"/>
    <n v="5.5587999999999997"/>
    <x v="2"/>
    <n v="1.1744626406119904E-3"/>
    <x v="2"/>
    <x v="49"/>
    <n v="41516"/>
  </r>
  <r>
    <s v="P263"/>
    <x v="1"/>
    <d v="2024-08-20T00:00:00"/>
    <s v="Reel"/>
    <s v="Check out our latest reel on instagram!"/>
    <n v="2603"/>
    <n v="690"/>
    <n v="205"/>
    <n v="13015"/>
    <n v="12130"/>
    <n v="20"/>
    <s v="#FutureOfDriving"/>
    <s v="ModelYCampaign"/>
    <n v="58311"/>
    <n v="10307"/>
    <n v="5.7155999999999993"/>
    <x v="1"/>
    <n v="2.2527145510931636E-3"/>
    <x v="1"/>
    <x v="15"/>
    <n v="43452.666666666664"/>
  </r>
  <r>
    <s v="P264"/>
    <x v="0"/>
    <d v="2025-01-30T00:00:00"/>
    <s v="Image"/>
    <s v="Check out our latest image on twitter!"/>
    <n v="59"/>
    <n v="163"/>
    <n v="93"/>
    <n v="590"/>
    <n v="475"/>
    <n v="293"/>
    <s v="#TeslaCoInnovation"/>
    <s v="ModelYCampaign"/>
    <n v="53484"/>
    <n v="12307"/>
    <n v="5.6557999999999993"/>
    <x v="0"/>
    <n v="3.3196366883983411E-4"/>
    <x v="0"/>
    <x v="24"/>
    <n v="39303.666666666664"/>
  </r>
  <r>
    <s v="P265"/>
    <x v="0"/>
    <d v="2025-02-20T00:00:00"/>
    <s v="Carousel"/>
    <s v="Check out our latest carousel on twitter!"/>
    <n v="1877"/>
    <n v="745"/>
    <n v="225"/>
    <n v="11262"/>
    <n v="10967"/>
    <n v="41"/>
    <s v="#EVRevolution"/>
    <s v="SustainabilityDrive"/>
    <n v="53484"/>
    <n v="12307"/>
    <n v="5.6557999999999993"/>
    <x v="0"/>
    <n v="1.8088247637352325E-3"/>
    <x v="0"/>
    <x v="12"/>
    <n v="39303.666666666664"/>
  </r>
  <r>
    <s v="P266"/>
    <x v="3"/>
    <d v="2024-11-25T00:00:00"/>
    <s v="Story"/>
    <s v="Check out our latest story on facebook!"/>
    <n v="4182"/>
    <n v="640"/>
    <n v="240"/>
    <n v="50184"/>
    <n v="49351"/>
    <n v="10"/>
    <s v="#TeslaCoInnovation"/>
    <s v="FSDUpdate"/>
    <n v="50862"/>
    <n v="15305"/>
    <n v="5.6486000000000001"/>
    <x v="3"/>
    <n v="3.0386962601274773E-3"/>
    <x v="3"/>
    <x v="28"/>
    <n v="41579.333333333336"/>
  </r>
  <r>
    <s v="P267"/>
    <x v="0"/>
    <d v="2024-10-04T00:00:00"/>
    <s v="Reel"/>
    <s v="Check out our latest reel on twitter!"/>
    <n v="4187"/>
    <n v="66"/>
    <n v="31"/>
    <n v="66992"/>
    <n v="66614"/>
    <n v="62"/>
    <s v="#FutureOfDriving"/>
    <m/>
    <n v="53484"/>
    <n v="12307"/>
    <n v="5.6557999999999993"/>
    <x v="0"/>
    <n v="4.0071409911944748E-3"/>
    <x v="0"/>
    <x v="42"/>
    <n v="45728.333333333336"/>
  </r>
  <r>
    <s v="P268"/>
    <x v="1"/>
    <d v="2025-04-13T00:00:00"/>
    <s v="Reel"/>
    <s v="Check out our latest reel on instagram!"/>
    <n v="4579"/>
    <n v="125"/>
    <n v="300"/>
    <n v="59527"/>
    <n v="59400"/>
    <n v="269"/>
    <s v="#EVRevolution"/>
    <s v="CybertruckLaunch"/>
    <n v="58311"/>
    <n v="10307"/>
    <n v="5.7155999999999993"/>
    <x v="1"/>
    <n v="4.1636142370185501E-3"/>
    <x v="1"/>
    <x v="29"/>
    <n v="43791.666666666664"/>
  </r>
  <r>
    <s v="P269"/>
    <x v="1"/>
    <d v="2024-11-05T00:00:00"/>
    <s v="Video"/>
    <s v="Check out our latest video on instagram!"/>
    <n v="4561"/>
    <n v="51"/>
    <n v="441"/>
    <n v="22805"/>
    <n v="21890"/>
    <n v="45"/>
    <s v="#TeslaCoInnovation"/>
    <s v="ModelYCampaign"/>
    <n v="58311"/>
    <n v="10307"/>
    <n v="5.7155999999999993"/>
    <x v="1"/>
    <n v="3.9557770576954289E-3"/>
    <x v="1"/>
    <x v="19"/>
    <n v="43791.666666666664"/>
  </r>
  <r>
    <s v="P270"/>
    <x v="2"/>
    <d v="2025-01-15T00:00:00"/>
    <s v="Reel"/>
    <s v="Check out our latest reel on youtube!"/>
    <n v="3774"/>
    <n v="239"/>
    <n v="39"/>
    <n v="60384"/>
    <n v="59490"/>
    <n v="241"/>
    <s v="#TeslaCoInnovation"/>
    <s v="FSDUpdate"/>
    <n v="47471"/>
    <n v="12104"/>
    <n v="5.5587999999999997"/>
    <x v="2"/>
    <n v="3.2678222467478453E-3"/>
    <x v="2"/>
    <x v="49"/>
    <n v="43791.666666666664"/>
  </r>
  <r>
    <s v="P271"/>
    <x v="1"/>
    <d v="2024-10-17T00:00:00"/>
    <s v="Video"/>
    <s v="Check out our latest video on instagram!"/>
    <n v="3575"/>
    <n v="749"/>
    <n v="111"/>
    <n v="21450"/>
    <n v="20785"/>
    <n v="195"/>
    <s v="#EVRevolution"/>
    <s v="ModelYCampaign"/>
    <n v="58311"/>
    <n v="10307"/>
    <n v="5.7155999999999993"/>
    <x v="1"/>
    <n v="3.237794074579194E-3"/>
    <x v="1"/>
    <x v="37"/>
    <n v="43791.666666666664"/>
  </r>
  <r>
    <s v="P272"/>
    <x v="1"/>
    <d v="2025-03-27T00:00:00"/>
    <s v="Text"/>
    <s v="Check out our latest text on instagram!"/>
    <n v="4941"/>
    <n v="414"/>
    <n v="266"/>
    <n v="39528"/>
    <n v="39154"/>
    <n v="217"/>
    <s v="#TeslaCoInnovation"/>
    <s v="FSDUpdate"/>
    <n v="58311"/>
    <n v="10307"/>
    <n v="5.7155999999999993"/>
    <x v="1"/>
    <n v="4.4298519460688286E-3"/>
    <x v="1"/>
    <x v="27"/>
    <n v="41516"/>
  </r>
  <r>
    <s v="P273"/>
    <x v="2"/>
    <d v="2024-10-12T00:00:00"/>
    <s v="Story"/>
    <s v="Check out our latest story on youtube!"/>
    <n v="3641"/>
    <n v="226"/>
    <n v="46"/>
    <n v="40051"/>
    <n v="39319"/>
    <n v="296"/>
    <s v="#EVRevolution"/>
    <s v="SustainabilityDrive"/>
    <n v="47471"/>
    <n v="12104"/>
    <n v="5.5587999999999997"/>
    <x v="2"/>
    <n v="3.2043377796877378E-3"/>
    <x v="2"/>
    <x v="38"/>
    <n v="37367"/>
  </r>
  <r>
    <s v="P274"/>
    <x v="0"/>
    <d v="2025-01-01T00:00:00"/>
    <s v="Carousel"/>
    <s v="Check out our latest carousel on twitter!"/>
    <n v="3535"/>
    <n v="494"/>
    <n v="152"/>
    <n v="53025"/>
    <n v="52791"/>
    <n v="44"/>
    <s v="#TeslaCoInnovation"/>
    <s v="SustainabilityDrive"/>
    <n v="53484"/>
    <n v="12307"/>
    <n v="5.6557999999999993"/>
    <x v="0"/>
    <n v="3.3752783260731999E-3"/>
    <x v="0"/>
    <x v="17"/>
    <n v="39303.666666666664"/>
  </r>
  <r>
    <s v="P275"/>
    <x v="3"/>
    <d v="2024-08-05T00:00:00"/>
    <s v="Reel"/>
    <s v="Check out our latest reel on facebook!"/>
    <n v="1741"/>
    <n v="831"/>
    <n v="345"/>
    <n v="17410"/>
    <n v="16844"/>
    <n v="58"/>
    <s v="#EVRevolution"/>
    <s v="FSDUpdate"/>
    <n v="50862"/>
    <n v="15305"/>
    <n v="5.6486000000000001"/>
    <x v="3"/>
    <n v="1.3040588196491726E-3"/>
    <x v="3"/>
    <x v="41"/>
    <n v="37430.333333333336"/>
  </r>
  <r>
    <s v="P276"/>
    <x v="0"/>
    <d v="2024-06-07T00:00:00"/>
    <s v="Carousel"/>
    <s v="Check out our latest carousel on twitter!"/>
    <n v="1556"/>
    <n v="195"/>
    <n v="131"/>
    <n v="9336"/>
    <n v="8875"/>
    <n v="137"/>
    <s v="#TeslaCoInnovation"/>
    <s v="ModelYCampaign"/>
    <n v="53484"/>
    <n v="12307"/>
    <n v="5.6557999999999993"/>
    <x v="0"/>
    <n v="1.5966320776870432E-3"/>
    <x v="0"/>
    <x v="39"/>
    <n v="39303.666666666664"/>
  </r>
  <r>
    <s v="P277"/>
    <x v="3"/>
    <d v="2025-04-06T00:00:00"/>
    <s v="Image"/>
    <s v="Check out our latest image on facebook!"/>
    <n v="4236"/>
    <n v="711"/>
    <n v="298"/>
    <n v="21180"/>
    <n v="20516"/>
    <n v="238"/>
    <s v="#FutureOfDriving"/>
    <s v="CybertruckLaunch"/>
    <n v="50862"/>
    <n v="15305"/>
    <n v="5.6486000000000001"/>
    <x v="3"/>
    <n v="3.2431123730463584E-3"/>
    <x v="3"/>
    <x v="21"/>
    <n v="37367"/>
  </r>
  <r>
    <s v="P278"/>
    <x v="0"/>
    <d v="2024-11-26T00:00:00"/>
    <s v="Text"/>
    <s v="Check out our latest text on twitter!"/>
    <n v="4516"/>
    <n v="836"/>
    <n v="169"/>
    <n v="49676"/>
    <n v="49257"/>
    <n v="282"/>
    <s v="#EVRevolution"/>
    <s v="SustainabilityDrive"/>
    <n v="53484"/>
    <n v="12307"/>
    <n v="5.6557999999999993"/>
    <x v="0"/>
    <n v="4.5248911451520575E-3"/>
    <x v="0"/>
    <x v="28"/>
    <n v="37303.666666666664"/>
  </r>
  <r>
    <s v="P279"/>
    <x v="2"/>
    <d v="2024-09-02T00:00:00"/>
    <s v="Image"/>
    <s v="Check out our latest image on youtube!"/>
    <n v="4905"/>
    <n v="845"/>
    <n v="129"/>
    <n v="98100"/>
    <n v="97772"/>
    <n v="279"/>
    <s v="#TeslaCoInnovation"/>
    <s v="ModelYCampaign"/>
    <n v="47471"/>
    <n v="12104"/>
    <n v="5.5587999999999997"/>
    <x v="2"/>
    <n v="4.2192753492256117E-3"/>
    <x v="2"/>
    <x v="36"/>
    <n v="35367"/>
  </r>
  <r>
    <s v="P280"/>
    <x v="2"/>
    <d v="2024-10-21T00:00:00"/>
    <s v="Video"/>
    <s v="Check out our latest video on youtube!"/>
    <n v="4275"/>
    <n v="680"/>
    <n v="385"/>
    <n v="64125"/>
    <n v="63650"/>
    <n v="104"/>
    <s v="#EVRevolution"/>
    <s v="SustainabilityDrive"/>
    <n v="47471"/>
    <n v="12104"/>
    <n v="5.5587999999999997"/>
    <x v="2"/>
    <n v="3.5640830930283476E-3"/>
    <x v="2"/>
    <x v="13"/>
    <n v="39579.333333333336"/>
  </r>
  <r>
    <s v="P281"/>
    <x v="2"/>
    <d v="2025-03-22T00:00:00"/>
    <s v="Image"/>
    <s v="Check out our latest image on youtube!"/>
    <n v="3166"/>
    <n v="90"/>
    <n v="341"/>
    <n v="56988"/>
    <n v="56125"/>
    <n v="135"/>
    <s v="#EVRevolution"/>
    <s v="ModelYCampaign"/>
    <n v="47471"/>
    <n v="12104"/>
    <n v="5.5587999999999997"/>
    <x v="2"/>
    <n v="2.6866952021207067E-3"/>
    <x v="2"/>
    <x v="44"/>
    <n v="41516"/>
  </r>
  <r>
    <s v="P282"/>
    <x v="1"/>
    <d v="2024-10-03T00:00:00"/>
    <s v="Video"/>
    <s v="Check out our latest video on instagram!"/>
    <n v="1488"/>
    <n v="417"/>
    <n v="168"/>
    <n v="19344"/>
    <n v="18395"/>
    <n v="30"/>
    <s v="#FutureOfDriving"/>
    <s v="FSDUpdate"/>
    <n v="58311"/>
    <n v="10307"/>
    <n v="5.7155999999999993"/>
    <x v="1"/>
    <n v="1.3037059430268479E-3"/>
    <x v="1"/>
    <x v="42"/>
    <n v="43452.666666666664"/>
  </r>
  <r>
    <s v="P283"/>
    <x v="0"/>
    <d v="2025-05-09T00:00:00"/>
    <s v="Reel"/>
    <s v="Check out our latest reel on twitter!"/>
    <n v="3367"/>
    <n v="302"/>
    <n v="57"/>
    <n v="63973"/>
    <n v="63789"/>
    <n v="157"/>
    <s v="#FutureOfDriving"/>
    <s v="ModelYCampaign"/>
    <n v="53484"/>
    <n v="12307"/>
    <n v="5.6557999999999993"/>
    <x v="0"/>
    <n v="3.3234090028169756E-3"/>
    <x v="0"/>
    <x v="14"/>
    <n v="39240.333333333336"/>
  </r>
  <r>
    <s v="P284"/>
    <x v="0"/>
    <d v="2024-09-17T00:00:00"/>
    <s v="Text"/>
    <s v="Check out our latest text on twitter!"/>
    <n v="571"/>
    <n v="190"/>
    <n v="352"/>
    <n v="9707"/>
    <n v="9418"/>
    <n v="231"/>
    <s v="#TeslaCoInnovation"/>
    <s v="SustainabilityDrive"/>
    <n v="53484"/>
    <n v="12307"/>
    <n v="5.6557999999999993"/>
    <x v="0"/>
    <n v="7.5634904093621299E-4"/>
    <x v="0"/>
    <x v="22"/>
    <n v="37303.666666666664"/>
  </r>
  <r>
    <s v="P285"/>
    <x v="2"/>
    <d v="2024-07-18T00:00:00"/>
    <s v="Text"/>
    <s v="Check out our latest text on youtube!"/>
    <n v="4021"/>
    <n v="794"/>
    <n v="77"/>
    <n v="36189"/>
    <n v="35505"/>
    <n v="174"/>
    <s v="#EVRevolution"/>
    <m/>
    <n v="47471"/>
    <n v="12104"/>
    <n v="5.5587999999999997"/>
    <x v="2"/>
    <n v="3.4143248630404016E-3"/>
    <x v="2"/>
    <x v="46"/>
    <n v="39579.333333333336"/>
  </r>
  <r>
    <s v="P286"/>
    <x v="2"/>
    <d v="2024-09-25T00:00:00"/>
    <s v="Video"/>
    <s v="Check out our latest video on youtube!"/>
    <n v="3389"/>
    <n v="344"/>
    <n v="229"/>
    <n v="20334"/>
    <n v="19443"/>
    <n v="228"/>
    <s v="#FutureOfDriving"/>
    <s v="FSDUpdate"/>
    <n v="47471"/>
    <n v="12104"/>
    <n v="5.5587999999999997"/>
    <x v="2"/>
    <n v="2.9438886840565271E-3"/>
    <x v="2"/>
    <x v="51"/>
    <n v="39579.333333333336"/>
  </r>
  <r>
    <s v="P287"/>
    <x v="1"/>
    <d v="2024-08-15T00:00:00"/>
    <s v="Reel"/>
    <s v="Check out our latest reel on instagram!"/>
    <n v="1164"/>
    <n v="616"/>
    <n v="324"/>
    <n v="6984"/>
    <n v="6636"/>
    <n v="82"/>
    <s v="#EVRevolution"/>
    <s v="CybertruckLaunch"/>
    <n v="58311"/>
    <n v="10307"/>
    <n v="5.7155999999999993"/>
    <x v="1"/>
    <n v="1.0701038241182164E-3"/>
    <x v="1"/>
    <x v="2"/>
    <n v="39642.666666666664"/>
  </r>
  <r>
    <s v="P288"/>
    <x v="2"/>
    <d v="2025-04-17T00:00:00"/>
    <s v="Carousel"/>
    <s v="Check out our latest carousel on youtube!"/>
    <n v="4780"/>
    <n v="691"/>
    <n v="380"/>
    <n v="86040"/>
    <n v="85743"/>
    <n v="262"/>
    <s v="#FutureOfDriving"/>
    <s v="FSDUpdate"/>
    <n v="47471"/>
    <n v="12104"/>
    <n v="5.5587999999999997"/>
    <x v="2"/>
    <n v="4.1037010630392617E-3"/>
    <x v="2"/>
    <x v="29"/>
    <n v="39642.666666666664"/>
  </r>
  <r>
    <s v="P289"/>
    <x v="3"/>
    <d v="2024-11-28T00:00:00"/>
    <s v="Carousel"/>
    <s v="Check out our latest carousel on facebook!"/>
    <n v="2751"/>
    <n v="33"/>
    <n v="430"/>
    <n v="44016"/>
    <n v="43415"/>
    <n v="129"/>
    <s v="#FutureOfDriving"/>
    <m/>
    <n v="50862"/>
    <n v="15305"/>
    <n v="5.6486000000000001"/>
    <x v="3"/>
    <n v="2.0876539191715493E-3"/>
    <x v="3"/>
    <x v="28"/>
    <n v="39706"/>
  </r>
  <r>
    <s v="P290"/>
    <x v="1"/>
    <d v="2024-12-20T00:00:00"/>
    <s v="Carousel"/>
    <s v="Check out our latest carousel on instagram!"/>
    <n v="2107"/>
    <n v="550"/>
    <n v="349"/>
    <n v="35819"/>
    <n v="35340"/>
    <n v="191"/>
    <s v="#EVRevolution"/>
    <s v="SustainabilityDrive"/>
    <n v="58311"/>
    <n v="10307"/>
    <n v="5.7155999999999993"/>
    <x v="1"/>
    <n v="1.9735943722501295E-3"/>
    <x v="1"/>
    <x v="25"/>
    <n v="39706"/>
  </r>
  <r>
    <s v="P291"/>
    <x v="3"/>
    <d v="2024-11-06T00:00:00"/>
    <s v="Video"/>
    <s v="Check out our latest video on facebook!"/>
    <n v="4663"/>
    <n v="145"/>
    <n v="225"/>
    <n v="69945"/>
    <n v="69596"/>
    <n v="35"/>
    <s v="#EVRevolution"/>
    <s v="SustainabilityDrive"/>
    <n v="50862"/>
    <n v="15305"/>
    <n v="5.6486000000000001"/>
    <x v="3"/>
    <n v="3.4054854556485898E-3"/>
    <x v="3"/>
    <x v="19"/>
    <n v="35557"/>
  </r>
  <r>
    <s v="P292"/>
    <x v="3"/>
    <d v="2024-11-17T00:00:00"/>
    <s v="Text"/>
    <s v="Check out our latest text on facebook!"/>
    <n v="880"/>
    <n v="297"/>
    <n v="345"/>
    <n v="12320"/>
    <n v="11978"/>
    <n v="238"/>
    <s v="#TeslaCoInnovation"/>
    <m/>
    <n v="50862"/>
    <n v="15305"/>
    <n v="5.6486000000000001"/>
    <x v="3"/>
    <n v="8.1041565334506673E-4"/>
    <x v="3"/>
    <x v="11"/>
    <n v="35557"/>
  </r>
  <r>
    <s v="P293"/>
    <x v="3"/>
    <d v="2025-05-14T00:00:00"/>
    <s v="Text"/>
    <s v="Check out our latest text on facebook!"/>
    <n v="2634"/>
    <n v="726"/>
    <n v="241"/>
    <n v="28974"/>
    <n v="28102"/>
    <n v="277"/>
    <s v="#EVRevolution"/>
    <s v="CybertruckLaunch"/>
    <n v="50862"/>
    <n v="15305"/>
    <n v="5.6486000000000001"/>
    <x v="3"/>
    <n v="2.1101251939959651E-3"/>
    <x v="3"/>
    <x v="3"/>
    <n v="37430.333333333336"/>
  </r>
  <r>
    <s v="P294"/>
    <x v="3"/>
    <d v="2024-06-19T00:00:00"/>
    <s v="Carousel"/>
    <s v="Check out our latest carousel on facebook!"/>
    <n v="4731"/>
    <n v="173"/>
    <n v="276"/>
    <n v="28386"/>
    <n v="28185"/>
    <n v="89"/>
    <s v="#EVRevolution"/>
    <s v="FSDUpdate"/>
    <n v="50862"/>
    <n v="15305"/>
    <n v="5.6486000000000001"/>
    <x v="3"/>
    <n v="3.4939207952801622E-3"/>
    <x v="3"/>
    <x v="35"/>
    <n v="39303.666666666664"/>
  </r>
  <r>
    <s v="P295"/>
    <x v="0"/>
    <d v="2025-05-06T00:00:00"/>
    <s v="Image"/>
    <s v="Check out our latest image on twitter!"/>
    <n v="1952"/>
    <n v="344"/>
    <n v="287"/>
    <n v="15616"/>
    <n v="15403"/>
    <n v="235"/>
    <s v="#FutureOfDriving"/>
    <s v="ModelYCampaign"/>
    <n v="53484"/>
    <n v="12307"/>
    <n v="5.6557999999999993"/>
    <x v="0"/>
    <n v="2.0625129083884012E-3"/>
    <x v="0"/>
    <x v="14"/>
    <n v="41177"/>
  </r>
  <r>
    <s v="P296"/>
    <x v="0"/>
    <d v="2025-02-11T00:00:00"/>
    <s v="Video"/>
    <s v="Check out our latest video on twitter!"/>
    <n v="3440"/>
    <n v="13"/>
    <n v="20"/>
    <n v="58480"/>
    <n v="58146"/>
    <n v="210"/>
    <s v="#TeslaCoInnovation"/>
    <s v="SustainabilityDrive"/>
    <n v="53484"/>
    <n v="12307"/>
    <n v="5.6557999999999993"/>
    <x v="0"/>
    <n v="3.4422369070039619E-3"/>
    <x v="0"/>
    <x v="40"/>
    <n v="39303.666666666664"/>
  </r>
  <r>
    <s v="P297"/>
    <x v="0"/>
    <d v="2024-12-24T00:00:00"/>
    <s v="Text"/>
    <s v="Check out our latest text on twitter!"/>
    <n v="2166"/>
    <n v="354"/>
    <n v="117"/>
    <n v="10830"/>
    <n v="10245"/>
    <n v="24"/>
    <s v="#EVRevolution"/>
    <s v="SustainabilityDrive"/>
    <n v="53484"/>
    <n v="12307"/>
    <n v="5.6557999999999993"/>
    <x v="0"/>
    <n v="2.065342144202377E-3"/>
    <x v="0"/>
    <x v="0"/>
    <n v="37430.333333333336"/>
  </r>
  <r>
    <s v="P298"/>
    <x v="3"/>
    <d v="2024-10-24T00:00:00"/>
    <s v="Image"/>
    <s v="Check out our latest image on facebook!"/>
    <n v="4303"/>
    <n v="451"/>
    <n v="286"/>
    <n v="86060"/>
    <n v="85823"/>
    <n v="14"/>
    <s v="#TeslaCoInnovation"/>
    <s v="FSDUpdate"/>
    <n v="50862"/>
    <n v="15305"/>
    <n v="5.6486000000000001"/>
    <x v="3"/>
    <n v="3.1293062392581871E-3"/>
    <x v="3"/>
    <x v="13"/>
    <n v="37430.333333333336"/>
  </r>
  <r>
    <s v="P299"/>
    <x v="3"/>
    <d v="2024-08-26T00:00:00"/>
    <s v="Image"/>
    <s v="Check out our latest image on facebook!"/>
    <n v="2581"/>
    <n v="517"/>
    <n v="117"/>
    <n v="23229"/>
    <n v="22331"/>
    <n v="70"/>
    <s v="#FutureOfDriving"/>
    <s v="FSDUpdate"/>
    <n v="50862"/>
    <n v="15305"/>
    <n v="5.6486000000000001"/>
    <x v="3"/>
    <n v="1.9216564374040894E-3"/>
    <x v="3"/>
    <x v="7"/>
    <n v="38367"/>
  </r>
  <r>
    <s v="P300"/>
    <x v="0"/>
    <d v="2024-08-31T00:00:00"/>
    <s v="Carousel"/>
    <s v="Check out our latest carousel on twitter!"/>
    <n v="4494"/>
    <n v="717"/>
    <n v="45"/>
    <n v="62916"/>
    <n v="62688"/>
    <n v="191"/>
    <s v="#TeslaCoInnovation"/>
    <s v="CybertruckLaunch"/>
    <n v="53484"/>
    <n v="12307"/>
    <n v="5.6557999999999993"/>
    <x v="0"/>
    <n v="4.4183232628256328E-3"/>
    <x v="0"/>
    <x v="7"/>
    <n v="411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DF233-7828-4DFF-9B71-6079EDEAE81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P14" firstHeaderRow="1" firstDataRow="3" firstDataCol="1"/>
  <pivotFields count="14">
    <pivotField showAll="0"/>
    <pivotField axis="axisCol" showAll="0">
      <items count="5">
        <item x="1"/>
        <item x="3"/>
        <item x="0"/>
        <item x="2"/>
        <item t="default"/>
      </items>
    </pivotField>
    <pivotField numFmtId="14" showAll="0"/>
    <pivotField axis="axisRow" showAll="0">
      <items count="7">
        <item x="0"/>
        <item x="5"/>
        <item x="2"/>
        <item x="4"/>
        <item x="3"/>
        <item x="1"/>
        <item t="default"/>
      </items>
    </pivotField>
    <pivotField showAll="0"/>
    <pivotField dataField="1" showAll="0">
      <items count="294">
        <item x="287"/>
        <item x="286"/>
        <item x="285"/>
        <item x="292"/>
        <item x="291"/>
        <item x="289"/>
        <item x="288"/>
        <item x="283"/>
        <item x="150"/>
        <item x="290"/>
        <item x="284"/>
        <item x="108"/>
        <item x="188"/>
        <item x="213"/>
        <item x="273"/>
        <item x="260"/>
        <item x="225"/>
        <item x="272"/>
        <item x="233"/>
        <item x="177"/>
        <item x="282"/>
        <item x="267"/>
        <item x="154"/>
        <item x="278"/>
        <item x="261"/>
        <item x="96"/>
        <item x="279"/>
        <item x="230"/>
        <item x="258"/>
        <item x="113"/>
        <item x="281"/>
        <item x="105"/>
        <item x="168"/>
        <item x="269"/>
        <item x="215"/>
        <item x="191"/>
        <item x="99"/>
        <item x="144"/>
        <item x="210"/>
        <item x="82"/>
        <item x="277"/>
        <item x="280"/>
        <item x="127"/>
        <item x="242"/>
        <item x="135"/>
        <item x="200"/>
        <item x="115"/>
        <item x="214"/>
        <item x="224"/>
        <item x="79"/>
        <item x="275"/>
        <item x="63"/>
        <item x="202"/>
        <item x="266"/>
        <item x="206"/>
        <item x="117"/>
        <item x="139"/>
        <item x="247"/>
        <item x="180"/>
        <item x="73"/>
        <item x="64"/>
        <item x="120"/>
        <item x="201"/>
        <item x="158"/>
        <item x="174"/>
        <item x="98"/>
        <item x="271"/>
        <item x="249"/>
        <item x="114"/>
        <item x="143"/>
        <item x="10"/>
        <item x="254"/>
        <item x="244"/>
        <item x="76"/>
        <item x="151"/>
        <item x="66"/>
        <item x="89"/>
        <item x="40"/>
        <item x="164"/>
        <item x="216"/>
        <item x="68"/>
        <item x="220"/>
        <item x="152"/>
        <item x="118"/>
        <item x="157"/>
        <item x="172"/>
        <item x="149"/>
        <item x="123"/>
        <item x="102"/>
        <item x="183"/>
        <item x="236"/>
        <item x="83"/>
        <item x="265"/>
        <item x="4"/>
        <item x="161"/>
        <item x="176"/>
        <item x="185"/>
        <item x="57"/>
        <item x="217"/>
        <item x="227"/>
        <item x="3"/>
        <item x="276"/>
        <item x="38"/>
        <item x="44"/>
        <item x="43"/>
        <item x="211"/>
        <item x="70"/>
        <item x="90"/>
        <item x="235"/>
        <item x="8"/>
        <item x="226"/>
        <item x="142"/>
        <item x="262"/>
        <item x="253"/>
        <item x="119"/>
        <item x="71"/>
        <item x="223"/>
        <item x="274"/>
        <item x="237"/>
        <item x="155"/>
        <item x="209"/>
        <item x="128"/>
        <item x="54"/>
        <item x="204"/>
        <item x="60"/>
        <item x="17"/>
        <item x="95"/>
        <item x="162"/>
        <item x="251"/>
        <item x="194"/>
        <item x="270"/>
        <item x="239"/>
        <item x="169"/>
        <item x="222"/>
        <item x="182"/>
        <item x="84"/>
        <item x="218"/>
        <item x="59"/>
        <item x="94"/>
        <item x="121"/>
        <item x="55"/>
        <item x="186"/>
        <item x="2"/>
        <item x="78"/>
        <item x="81"/>
        <item x="110"/>
        <item x="231"/>
        <item x="178"/>
        <item x="100"/>
        <item x="138"/>
        <item x="250"/>
        <item x="111"/>
        <item x="229"/>
        <item x="252"/>
        <item x="109"/>
        <item x="53"/>
        <item x="74"/>
        <item x="171"/>
        <item x="7"/>
        <item x="116"/>
        <item x="14"/>
        <item x="246"/>
        <item x="173"/>
        <item x="85"/>
        <item x="21"/>
        <item x="257"/>
        <item x="35"/>
        <item x="175"/>
        <item x="190"/>
        <item x="208"/>
        <item x="205"/>
        <item x="16"/>
        <item x="146"/>
        <item x="51"/>
        <item x="9"/>
        <item x="61"/>
        <item x="240"/>
        <item x="30"/>
        <item x="101"/>
        <item x="77"/>
        <item x="12"/>
        <item x="37"/>
        <item x="166"/>
        <item x="72"/>
        <item x="31"/>
        <item x="147"/>
        <item x="50"/>
        <item x="248"/>
        <item x="36"/>
        <item x="125"/>
        <item x="245"/>
        <item x="126"/>
        <item x="219"/>
        <item x="192"/>
        <item x="69"/>
        <item x="132"/>
        <item x="221"/>
        <item x="112"/>
        <item x="19"/>
        <item x="42"/>
        <item x="163"/>
        <item x="33"/>
        <item x="6"/>
        <item x="32"/>
        <item x="159"/>
        <item x="107"/>
        <item x="103"/>
        <item x="62"/>
        <item x="1"/>
        <item x="189"/>
        <item x="170"/>
        <item x="197"/>
        <item x="56"/>
        <item x="141"/>
        <item x="193"/>
        <item x="39"/>
        <item x="41"/>
        <item x="167"/>
        <item x="13"/>
        <item x="140"/>
        <item x="160"/>
        <item x="48"/>
        <item x="179"/>
        <item x="187"/>
        <item x="134"/>
        <item x="24"/>
        <item x="26"/>
        <item x="243"/>
        <item x="165"/>
        <item x="133"/>
        <item x="47"/>
        <item x="238"/>
        <item x="136"/>
        <item x="25"/>
        <item x="264"/>
        <item x="27"/>
        <item x="263"/>
        <item x="46"/>
        <item x="203"/>
        <item x="199"/>
        <item x="87"/>
        <item x="131"/>
        <item x="93"/>
        <item x="22"/>
        <item x="11"/>
        <item x="228"/>
        <item x="106"/>
        <item x="92"/>
        <item x="259"/>
        <item x="153"/>
        <item x="122"/>
        <item x="58"/>
        <item x="212"/>
        <item x="88"/>
        <item x="256"/>
        <item x="0"/>
        <item x="148"/>
        <item x="65"/>
        <item x="124"/>
        <item x="75"/>
        <item x="255"/>
        <item x="91"/>
        <item x="20"/>
        <item x="97"/>
        <item x="268"/>
        <item x="45"/>
        <item x="156"/>
        <item x="5"/>
        <item x="137"/>
        <item x="23"/>
        <item x="52"/>
        <item x="232"/>
        <item x="104"/>
        <item x="195"/>
        <item x="234"/>
        <item x="129"/>
        <item x="145"/>
        <item x="34"/>
        <item x="28"/>
        <item x="184"/>
        <item x="241"/>
        <item x="80"/>
        <item x="18"/>
        <item x="67"/>
        <item x="181"/>
        <item x="86"/>
        <item x="130"/>
        <item x="49"/>
        <item x="198"/>
        <item x="15"/>
        <item x="29"/>
        <item x="207"/>
        <item x="196"/>
        <item t="default"/>
      </items>
    </pivotField>
    <pivotField dataField="1" showAll="0">
      <items count="260">
        <item x="214"/>
        <item x="8"/>
        <item x="12"/>
        <item x="153"/>
        <item x="59"/>
        <item x="171"/>
        <item x="121"/>
        <item x="1"/>
        <item x="55"/>
        <item x="168"/>
        <item x="7"/>
        <item x="192"/>
        <item x="177"/>
        <item x="130"/>
        <item x="94"/>
        <item x="142"/>
        <item x="106"/>
        <item x="122"/>
        <item x="4"/>
        <item x="25"/>
        <item x="104"/>
        <item x="193"/>
        <item x="254"/>
        <item x="10"/>
        <item x="40"/>
        <item x="21"/>
        <item x="116"/>
        <item x="223"/>
        <item x="17"/>
        <item x="2"/>
        <item x="61"/>
        <item x="195"/>
        <item x="42"/>
        <item x="221"/>
        <item x="224"/>
        <item x="115"/>
        <item x="139"/>
        <item x="166"/>
        <item x="92"/>
        <item x="216"/>
        <item x="175"/>
        <item x="134"/>
        <item x="80"/>
        <item x="107"/>
        <item x="45"/>
        <item x="180"/>
        <item x="145"/>
        <item x="182"/>
        <item x="240"/>
        <item x="119"/>
        <item x="225"/>
        <item x="253"/>
        <item x="236"/>
        <item x="131"/>
        <item x="242"/>
        <item x="140"/>
        <item x="206"/>
        <item x="112"/>
        <item x="203"/>
        <item x="77"/>
        <item x="148"/>
        <item x="98"/>
        <item x="43"/>
        <item x="211"/>
        <item x="173"/>
        <item x="39"/>
        <item x="86"/>
        <item x="113"/>
        <item x="149"/>
        <item x="14"/>
        <item x="3"/>
        <item x="201"/>
        <item x="0"/>
        <item x="124"/>
        <item x="147"/>
        <item x="190"/>
        <item x="32"/>
        <item x="82"/>
        <item x="205"/>
        <item x="84"/>
        <item x="27"/>
        <item x="111"/>
        <item x="117"/>
        <item x="54"/>
        <item x="154"/>
        <item x="164"/>
        <item x="38"/>
        <item x="16"/>
        <item x="67"/>
        <item x="64"/>
        <item x="57"/>
        <item x="162"/>
        <item x="6"/>
        <item x="9"/>
        <item x="204"/>
        <item x="30"/>
        <item x="186"/>
        <item x="128"/>
        <item x="83"/>
        <item x="5"/>
        <item x="194"/>
        <item x="185"/>
        <item x="199"/>
        <item x="110"/>
        <item x="232"/>
        <item x="252"/>
        <item x="188"/>
        <item x="136"/>
        <item x="217"/>
        <item x="227"/>
        <item x="97"/>
        <item x="63"/>
        <item x="135"/>
        <item x="19"/>
        <item x="66"/>
        <item x="74"/>
        <item x="52"/>
        <item x="146"/>
        <item x="109"/>
        <item x="183"/>
        <item x="138"/>
        <item x="26"/>
        <item x="208"/>
        <item x="108"/>
        <item x="125"/>
        <item x="11"/>
        <item x="213"/>
        <item x="189"/>
        <item x="179"/>
        <item x="65"/>
        <item x="218"/>
        <item x="237"/>
        <item x="196"/>
        <item x="99"/>
        <item x="24"/>
        <item x="73"/>
        <item x="169"/>
        <item x="155"/>
        <item x="72"/>
        <item x="120"/>
        <item x="157"/>
        <item x="181"/>
        <item x="133"/>
        <item x="51"/>
        <item x="103"/>
        <item x="44"/>
        <item x="95"/>
        <item x="79"/>
        <item x="90"/>
        <item x="68"/>
        <item x="47"/>
        <item x="137"/>
        <item x="91"/>
        <item x="53"/>
        <item x="187"/>
        <item x="35"/>
        <item x="100"/>
        <item x="23"/>
        <item x="215"/>
        <item x="241"/>
        <item x="256"/>
        <item x="102"/>
        <item x="246"/>
        <item x="36"/>
        <item x="13"/>
        <item x="151"/>
        <item x="243"/>
        <item x="165"/>
        <item x="207"/>
        <item x="118"/>
        <item x="85"/>
        <item x="50"/>
        <item x="249"/>
        <item x="69"/>
        <item x="255"/>
        <item x="230"/>
        <item x="37"/>
        <item x="144"/>
        <item x="172"/>
        <item x="62"/>
        <item x="244"/>
        <item x="88"/>
        <item x="167"/>
        <item x="31"/>
        <item x="170"/>
        <item x="238"/>
        <item x="34"/>
        <item x="114"/>
        <item x="219"/>
        <item x="75"/>
        <item x="247"/>
        <item x="233"/>
        <item x="76"/>
        <item x="89"/>
        <item x="28"/>
        <item x="163"/>
        <item x="235"/>
        <item x="250"/>
        <item x="29"/>
        <item x="70"/>
        <item x="200"/>
        <item x="160"/>
        <item x="60"/>
        <item x="48"/>
        <item x="222"/>
        <item x="257"/>
        <item x="93"/>
        <item x="81"/>
        <item x="126"/>
        <item x="231"/>
        <item x="176"/>
        <item x="152"/>
        <item x="105"/>
        <item x="127"/>
        <item x="226"/>
        <item x="96"/>
        <item x="159"/>
        <item x="202"/>
        <item x="143"/>
        <item x="87"/>
        <item x="174"/>
        <item x="15"/>
        <item x="101"/>
        <item x="22"/>
        <item x="228"/>
        <item x="184"/>
        <item x="78"/>
        <item x="132"/>
        <item x="210"/>
        <item x="150"/>
        <item x="209"/>
        <item x="161"/>
        <item x="129"/>
        <item x="220"/>
        <item x="71"/>
        <item x="18"/>
        <item x="258"/>
        <item x="46"/>
        <item x="198"/>
        <item x="123"/>
        <item x="156"/>
        <item x="33"/>
        <item x="49"/>
        <item x="229"/>
        <item x="158"/>
        <item x="212"/>
        <item x="20"/>
        <item x="245"/>
        <item x="56"/>
        <item x="141"/>
        <item x="234"/>
        <item x="239"/>
        <item x="41"/>
        <item x="251"/>
        <item x="178"/>
        <item x="191"/>
        <item x="197"/>
        <item x="248"/>
        <item x="58"/>
        <item t="default"/>
      </items>
    </pivotField>
    <pivotField dataField="1" showAll="0">
      <items count="228">
        <item x="87"/>
        <item x="141"/>
        <item x="18"/>
        <item x="0"/>
        <item x="200"/>
        <item x="74"/>
        <item x="3"/>
        <item x="12"/>
        <item x="178"/>
        <item x="122"/>
        <item x="212"/>
        <item x="25"/>
        <item x="5"/>
        <item x="93"/>
        <item x="168"/>
        <item x="171"/>
        <item x="144"/>
        <item x="6"/>
        <item x="32"/>
        <item x="112"/>
        <item x="151"/>
        <item x="219"/>
        <item x="17"/>
        <item x="83"/>
        <item x="115"/>
        <item x="44"/>
        <item x="2"/>
        <item x="58"/>
        <item x="193"/>
        <item x="117"/>
        <item x="9"/>
        <item x="179"/>
        <item x="155"/>
        <item x="175"/>
        <item x="111"/>
        <item x="42"/>
        <item x="148"/>
        <item x="197"/>
        <item x="157"/>
        <item x="7"/>
        <item x="223"/>
        <item x="28"/>
        <item x="30"/>
        <item x="45"/>
        <item x="156"/>
        <item x="224"/>
        <item x="63"/>
        <item x="39"/>
        <item x="67"/>
        <item x="41"/>
        <item x="198"/>
        <item x="162"/>
        <item x="16"/>
        <item x="73"/>
        <item x="23"/>
        <item x="13"/>
        <item x="15"/>
        <item x="134"/>
        <item x="46"/>
        <item x="52"/>
        <item x="40"/>
        <item x="226"/>
        <item x="170"/>
        <item x="206"/>
        <item x="101"/>
        <item x="199"/>
        <item x="56"/>
        <item x="210"/>
        <item x="84"/>
        <item x="69"/>
        <item x="182"/>
        <item x="172"/>
        <item x="113"/>
        <item x="34"/>
        <item x="218"/>
        <item x="10"/>
        <item x="70"/>
        <item x="127"/>
        <item x="132"/>
        <item x="184"/>
        <item x="90"/>
        <item x="187"/>
        <item x="51"/>
        <item x="47"/>
        <item x="48"/>
        <item x="4"/>
        <item x="225"/>
        <item x="14"/>
        <item x="146"/>
        <item x="159"/>
        <item x="110"/>
        <item x="8"/>
        <item x="142"/>
        <item x="129"/>
        <item x="71"/>
        <item x="154"/>
        <item x="185"/>
        <item x="89"/>
        <item x="165"/>
        <item x="99"/>
        <item x="43"/>
        <item x="97"/>
        <item x="194"/>
        <item x="20"/>
        <item x="62"/>
        <item x="143"/>
        <item x="68"/>
        <item x="123"/>
        <item x="120"/>
        <item x="177"/>
        <item x="105"/>
        <item x="160"/>
        <item x="161"/>
        <item x="188"/>
        <item x="72"/>
        <item x="164"/>
        <item x="126"/>
        <item x="195"/>
        <item x="54"/>
        <item x="213"/>
        <item x="190"/>
        <item x="125"/>
        <item x="1"/>
        <item x="214"/>
        <item x="167"/>
        <item x="57"/>
        <item x="11"/>
        <item x="181"/>
        <item x="77"/>
        <item x="131"/>
        <item x="104"/>
        <item x="147"/>
        <item x="66"/>
        <item x="80"/>
        <item x="208"/>
        <item x="86"/>
        <item x="205"/>
        <item x="119"/>
        <item x="19"/>
        <item x="220"/>
        <item x="65"/>
        <item x="209"/>
        <item x="75"/>
        <item x="192"/>
        <item x="94"/>
        <item x="203"/>
        <item x="216"/>
        <item x="22"/>
        <item x="59"/>
        <item x="102"/>
        <item x="116"/>
        <item x="201"/>
        <item x="78"/>
        <item x="81"/>
        <item x="21"/>
        <item x="96"/>
        <item x="106"/>
        <item x="145"/>
        <item x="121"/>
        <item x="85"/>
        <item x="174"/>
        <item x="149"/>
        <item x="137"/>
        <item x="189"/>
        <item x="38"/>
        <item x="103"/>
        <item x="61"/>
        <item x="50"/>
        <item x="133"/>
        <item x="138"/>
        <item x="152"/>
        <item x="136"/>
        <item x="24"/>
        <item x="114"/>
        <item x="118"/>
        <item x="150"/>
        <item x="204"/>
        <item x="33"/>
        <item x="64"/>
        <item x="82"/>
        <item x="37"/>
        <item x="108"/>
        <item x="88"/>
        <item x="186"/>
        <item x="169"/>
        <item x="60"/>
        <item x="222"/>
        <item x="221"/>
        <item x="158"/>
        <item x="98"/>
        <item x="95"/>
        <item x="100"/>
        <item x="140"/>
        <item x="166"/>
        <item x="217"/>
        <item x="183"/>
        <item x="163"/>
        <item x="76"/>
        <item x="176"/>
        <item x="135"/>
        <item x="31"/>
        <item x="91"/>
        <item x="53"/>
        <item x="215"/>
        <item x="211"/>
        <item x="27"/>
        <item x="202"/>
        <item x="36"/>
        <item x="79"/>
        <item x="124"/>
        <item x="196"/>
        <item x="29"/>
        <item x="128"/>
        <item x="207"/>
        <item x="180"/>
        <item x="55"/>
        <item x="130"/>
        <item x="107"/>
        <item x="173"/>
        <item x="26"/>
        <item x="153"/>
        <item x="191"/>
        <item x="35"/>
        <item x="109"/>
        <item x="139"/>
        <item x="92"/>
        <item x="4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4AB3D-D858-4B0A-84F8-86B052BA5BA1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8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1"/>
  </rowFields>
  <rowItems count="7">
    <i>
      <x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Average of Clicks" fld="10" subtotal="average" baseField="11" baseItem="0"/>
  </dataField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0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42AB7-2C4B-445A-A56A-A337EB57E4A5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7"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92">
        <item x="133"/>
        <item x="127"/>
        <item x="190"/>
        <item x="63"/>
        <item x="19"/>
        <item x="140"/>
        <item x="33"/>
        <item x="25"/>
        <item x="92"/>
        <item x="95"/>
        <item x="85"/>
        <item x="65"/>
        <item x="78"/>
        <item x="37"/>
        <item x="44"/>
        <item x="47"/>
        <item x="27"/>
        <item x="16"/>
        <item x="49"/>
        <item x="69"/>
        <item x="98"/>
        <item x="75"/>
        <item x="15"/>
        <item x="101"/>
        <item x="189"/>
        <item x="153"/>
        <item x="21"/>
        <item x="175"/>
        <item x="146"/>
        <item x="166"/>
        <item x="156"/>
        <item x="11"/>
        <item x="184"/>
        <item x="79"/>
        <item x="51"/>
        <item x="6"/>
        <item x="74"/>
        <item x="167"/>
        <item x="61"/>
        <item x="106"/>
        <item x="94"/>
        <item x="39"/>
        <item x="42"/>
        <item x="164"/>
        <item x="17"/>
        <item x="28"/>
        <item x="155"/>
        <item x="96"/>
        <item x="176"/>
        <item x="54"/>
        <item x="171"/>
        <item x="35"/>
        <item x="2"/>
        <item x="165"/>
        <item x="174"/>
        <item x="97"/>
        <item x="83"/>
        <item x="77"/>
        <item x="36"/>
        <item x="126"/>
        <item x="32"/>
        <item x="4"/>
        <item x="130"/>
        <item x="81"/>
        <item x="80"/>
        <item x="26"/>
        <item x="55"/>
        <item x="110"/>
        <item x="58"/>
        <item x="70"/>
        <item x="183"/>
        <item x="60"/>
        <item x="31"/>
        <item x="122"/>
        <item x="64"/>
        <item x="38"/>
        <item x="181"/>
        <item x="188"/>
        <item x="84"/>
        <item x="150"/>
        <item x="23"/>
        <item x="124"/>
        <item x="12"/>
        <item x="139"/>
        <item x="154"/>
        <item x="88"/>
        <item x="177"/>
        <item x="22"/>
        <item x="169"/>
        <item x="113"/>
        <item x="121"/>
        <item x="168"/>
        <item x="186"/>
        <item x="131"/>
        <item x="8"/>
        <item x="151"/>
        <item x="91"/>
        <item x="162"/>
        <item x="45"/>
        <item x="114"/>
        <item x="157"/>
        <item x="160"/>
        <item x="0"/>
        <item x="116"/>
        <item x="144"/>
        <item x="179"/>
        <item x="115"/>
        <item x="138"/>
        <item x="132"/>
        <item x="7"/>
        <item x="43"/>
        <item x="67"/>
        <item x="182"/>
        <item x="14"/>
        <item x="134"/>
        <item x="102"/>
        <item x="142"/>
        <item x="50"/>
        <item x="172"/>
        <item x="1"/>
        <item x="128"/>
        <item x="10"/>
        <item x="161"/>
        <item x="152"/>
        <item x="178"/>
        <item x="29"/>
        <item x="158"/>
        <item x="59"/>
        <item x="136"/>
        <item x="18"/>
        <item x="52"/>
        <item x="173"/>
        <item x="68"/>
        <item x="148"/>
        <item x="105"/>
        <item x="87"/>
        <item x="62"/>
        <item x="93"/>
        <item x="107"/>
        <item x="120"/>
        <item x="135"/>
        <item x="111"/>
        <item x="90"/>
        <item x="108"/>
        <item x="53"/>
        <item x="76"/>
        <item x="40"/>
        <item x="41"/>
        <item x="3"/>
        <item x="137"/>
        <item x="185"/>
        <item x="143"/>
        <item x="56"/>
        <item x="163"/>
        <item x="112"/>
        <item x="123"/>
        <item x="159"/>
        <item x="147"/>
        <item x="48"/>
        <item x="180"/>
        <item x="103"/>
        <item x="5"/>
        <item x="30"/>
        <item x="82"/>
        <item x="100"/>
        <item x="129"/>
        <item x="46"/>
        <item x="9"/>
        <item x="34"/>
        <item x="20"/>
        <item x="187"/>
        <item x="13"/>
        <item x="119"/>
        <item x="86"/>
        <item x="89"/>
        <item x="57"/>
        <item x="99"/>
        <item x="125"/>
        <item x="149"/>
        <item x="145"/>
        <item x="117"/>
        <item x="104"/>
        <item x="66"/>
        <item x="71"/>
        <item x="73"/>
        <item x="109"/>
        <item x="72"/>
        <item x="170"/>
        <item x="141"/>
        <item x="24"/>
        <item x="118"/>
        <item t="default"/>
      </items>
    </pivotField>
    <pivotField showAll="0"/>
    <pivotField showAll="0">
      <items count="201">
        <item x="191"/>
        <item x="166"/>
        <item x="162"/>
        <item x="131"/>
        <item x="167"/>
        <item x="110"/>
        <item x="81"/>
        <item x="32"/>
        <item x="119"/>
        <item x="13"/>
        <item x="178"/>
        <item x="12"/>
        <item x="109"/>
        <item x="1"/>
        <item x="4"/>
        <item x="60"/>
        <item x="96"/>
        <item x="92"/>
        <item x="88"/>
        <item x="20"/>
        <item x="35"/>
        <item x="103"/>
        <item x="184"/>
        <item x="67"/>
        <item x="59"/>
        <item x="70"/>
        <item x="180"/>
        <item x="181"/>
        <item x="176"/>
        <item x="118"/>
        <item x="199"/>
        <item x="94"/>
        <item x="47"/>
        <item x="102"/>
        <item x="117"/>
        <item x="71"/>
        <item x="127"/>
        <item x="125"/>
        <item x="163"/>
        <item x="177"/>
        <item x="52"/>
        <item x="43"/>
        <item x="149"/>
        <item x="151"/>
        <item x="19"/>
        <item x="75"/>
        <item x="63"/>
        <item x="95"/>
        <item x="10"/>
        <item x="134"/>
        <item x="37"/>
        <item x="152"/>
        <item x="146"/>
        <item x="141"/>
        <item x="123"/>
        <item x="120"/>
        <item x="182"/>
        <item x="150"/>
        <item x="2"/>
        <item x="195"/>
        <item x="24"/>
        <item x="27"/>
        <item x="77"/>
        <item x="9"/>
        <item x="142"/>
        <item x="45"/>
        <item x="50"/>
        <item x="72"/>
        <item x="46"/>
        <item x="30"/>
        <item x="174"/>
        <item x="79"/>
        <item x="85"/>
        <item x="170"/>
        <item x="17"/>
        <item x="108"/>
        <item x="107"/>
        <item x="144"/>
        <item x="159"/>
        <item x="129"/>
        <item x="189"/>
        <item x="26"/>
        <item x="153"/>
        <item x="23"/>
        <item x="51"/>
        <item x="65"/>
        <item x="86"/>
        <item x="21"/>
        <item x="6"/>
        <item x="83"/>
        <item x="156"/>
        <item x="82"/>
        <item x="91"/>
        <item x="138"/>
        <item x="66"/>
        <item x="143"/>
        <item x="187"/>
        <item x="122"/>
        <item x="116"/>
        <item x="100"/>
        <item x="172"/>
        <item x="34"/>
        <item x="179"/>
        <item x="29"/>
        <item x="14"/>
        <item x="99"/>
        <item x="87"/>
        <item x="31"/>
        <item x="57"/>
        <item x="41"/>
        <item x="93"/>
        <item x="78"/>
        <item x="106"/>
        <item x="145"/>
        <item x="18"/>
        <item x="5"/>
        <item x="154"/>
        <item x="54"/>
        <item x="89"/>
        <item x="39"/>
        <item x="137"/>
        <item x="44"/>
        <item x="114"/>
        <item x="186"/>
        <item x="25"/>
        <item x="101"/>
        <item x="135"/>
        <item x="97"/>
        <item x="161"/>
        <item x="165"/>
        <item x="0"/>
        <item x="84"/>
        <item x="128"/>
        <item x="140"/>
        <item x="80"/>
        <item x="136"/>
        <item x="168"/>
        <item x="197"/>
        <item x="157"/>
        <item x="183"/>
        <item x="173"/>
        <item x="68"/>
        <item x="55"/>
        <item x="126"/>
        <item x="169"/>
        <item x="185"/>
        <item x="56"/>
        <item x="73"/>
        <item x="49"/>
        <item x="121"/>
        <item x="11"/>
        <item x="132"/>
        <item x="76"/>
        <item x="22"/>
        <item x="62"/>
        <item x="3"/>
        <item x="164"/>
        <item x="7"/>
        <item x="113"/>
        <item x="193"/>
        <item x="16"/>
        <item x="104"/>
        <item x="64"/>
        <item x="15"/>
        <item x="58"/>
        <item x="42"/>
        <item x="33"/>
        <item x="175"/>
        <item x="36"/>
        <item x="90"/>
        <item x="171"/>
        <item x="188"/>
        <item x="192"/>
        <item x="38"/>
        <item x="111"/>
        <item x="148"/>
        <item x="69"/>
        <item x="48"/>
        <item x="198"/>
        <item x="8"/>
        <item x="139"/>
        <item x="160"/>
        <item x="155"/>
        <item x="112"/>
        <item x="124"/>
        <item x="158"/>
        <item x="196"/>
        <item x="105"/>
        <item x="28"/>
        <item x="61"/>
        <item x="74"/>
        <item x="133"/>
        <item x="194"/>
        <item x="147"/>
        <item x="190"/>
        <item x="98"/>
        <item x="130"/>
        <item x="115"/>
        <item x="40"/>
        <item x="53"/>
        <item t="default"/>
      </items>
    </pivotField>
    <pivotField dataField="1" showAll="0">
      <items count="173">
        <item x="74"/>
        <item x="163"/>
        <item x="68"/>
        <item x="55"/>
        <item x="65"/>
        <item x="143"/>
        <item x="99"/>
        <item x="168"/>
        <item x="147"/>
        <item x="21"/>
        <item x="81"/>
        <item x="120"/>
        <item x="106"/>
        <item x="66"/>
        <item x="112"/>
        <item x="61"/>
        <item x="5"/>
        <item x="161"/>
        <item x="8"/>
        <item x="153"/>
        <item x="115"/>
        <item x="160"/>
        <item x="15"/>
        <item x="98"/>
        <item x="89"/>
        <item x="94"/>
        <item x="129"/>
        <item x="23"/>
        <item x="108"/>
        <item x="109"/>
        <item x="7"/>
        <item x="152"/>
        <item x="44"/>
        <item x="116"/>
        <item x="64"/>
        <item x="83"/>
        <item x="58"/>
        <item x="35"/>
        <item x="11"/>
        <item x="14"/>
        <item x="166"/>
        <item x="121"/>
        <item x="24"/>
        <item x="95"/>
        <item x="130"/>
        <item x="53"/>
        <item x="72"/>
        <item x="122"/>
        <item x="49"/>
        <item x="169"/>
        <item x="6"/>
        <item x="39"/>
        <item x="32"/>
        <item x="3"/>
        <item x="101"/>
        <item x="133"/>
        <item x="34"/>
        <item x="79"/>
        <item x="17"/>
        <item x="154"/>
        <item x="117"/>
        <item x="137"/>
        <item x="27"/>
        <item x="125"/>
        <item x="22"/>
        <item x="91"/>
        <item x="151"/>
        <item x="96"/>
        <item x="157"/>
        <item x="142"/>
        <item x="69"/>
        <item x="1"/>
        <item x="141"/>
        <item x="92"/>
        <item x="167"/>
        <item x="80"/>
        <item x="118"/>
        <item x="110"/>
        <item x="30"/>
        <item x="77"/>
        <item x="43"/>
        <item x="102"/>
        <item x="31"/>
        <item x="146"/>
        <item x="165"/>
        <item x="114"/>
        <item x="84"/>
        <item x="162"/>
        <item x="47"/>
        <item x="78"/>
        <item x="73"/>
        <item x="41"/>
        <item x="85"/>
        <item x="164"/>
        <item x="37"/>
        <item x="18"/>
        <item x="93"/>
        <item x="40"/>
        <item x="67"/>
        <item x="148"/>
        <item x="97"/>
        <item x="51"/>
        <item x="25"/>
        <item x="155"/>
        <item x="75"/>
        <item x="158"/>
        <item x="135"/>
        <item x="103"/>
        <item x="156"/>
        <item x="159"/>
        <item x="171"/>
        <item x="82"/>
        <item x="12"/>
        <item x="123"/>
        <item x="127"/>
        <item x="50"/>
        <item x="139"/>
        <item x="46"/>
        <item x="131"/>
        <item x="90"/>
        <item x="62"/>
        <item x="100"/>
        <item x="150"/>
        <item x="170"/>
        <item x="33"/>
        <item x="107"/>
        <item x="134"/>
        <item x="36"/>
        <item x="29"/>
        <item x="28"/>
        <item x="87"/>
        <item x="52"/>
        <item x="126"/>
        <item x="0"/>
        <item x="104"/>
        <item x="9"/>
        <item x="63"/>
        <item x="10"/>
        <item x="111"/>
        <item x="76"/>
        <item x="2"/>
        <item x="113"/>
        <item x="105"/>
        <item x="145"/>
        <item x="42"/>
        <item x="26"/>
        <item x="60"/>
        <item x="136"/>
        <item x="144"/>
        <item x="86"/>
        <item x="19"/>
        <item x="20"/>
        <item x="45"/>
        <item x="71"/>
        <item x="57"/>
        <item x="128"/>
        <item x="48"/>
        <item x="4"/>
        <item x="132"/>
        <item x="54"/>
        <item x="13"/>
        <item x="59"/>
        <item x="119"/>
        <item x="56"/>
        <item x="70"/>
        <item x="16"/>
        <item x="140"/>
        <item x="138"/>
        <item x="88"/>
        <item x="38"/>
        <item x="149"/>
        <item x="124"/>
        <item t="default"/>
      </items>
    </pivotField>
    <pivotField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Average of Engagement_Rat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64025-56DC-4843-BABB-2E9CA0627B91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D6" firstHeaderRow="0" firstDataRow="1" firstDataCol="1"/>
  <pivotFields count="8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Growth" fld="7" baseField="0" baseItem="0"/>
    <dataField name="Average of Engagement_Rate" fld="5" subtotal="average" baseField="1" baseItem="0"/>
    <dataField name="Sum of Ad_Spend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D29C6-E9E5-4DCA-B7E6-74E983571E0F}" name="PivotTable5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0" firstHeaderRow="0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1"/>
  </rowFields>
  <rowItems count="7">
    <i>
      <x v="5"/>
    </i>
    <i>
      <x v="3"/>
    </i>
    <i>
      <x v="2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s" fld="11" subtotal="count" baseField="0" baseItem="0"/>
    <dataField name="Average of Engagement_Rate" fld="13" subtotal="average" baseField="11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15FDD-AB82-43E4-9644-7D45E671DA5C}" name="PivotTable6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14">
    <pivotField showAll="0"/>
    <pivotField showAll="0"/>
    <pivotField numFmtId="14" showAll="0"/>
    <pivotField axis="axisRow" showAll="0" sortType="descending">
      <items count="7">
        <item x="2"/>
        <item x="3"/>
        <item x="0"/>
        <item x="5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7">
    <i>
      <x v="3"/>
    </i>
    <i>
      <x/>
    </i>
    <i>
      <x v="1"/>
    </i>
    <i>
      <x v="5"/>
    </i>
    <i>
      <x v="4"/>
    </i>
    <i>
      <x v="2"/>
    </i>
    <i t="grand">
      <x/>
    </i>
  </rowItems>
  <colItems count="1">
    <i/>
  </colItems>
  <dataFields count="1">
    <dataField name="Average of Engagement_Rate" fld="13" subtotal="average" baseField="3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8D692-36A3-404E-825E-3CFB4DE1E13E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9" firstHeaderRow="0" firstDataRow="1" firstDataCol="1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mpressions" fld="8" baseField="0" baseItem="0"/>
    <dataField name="Sum of Likes" fld="5" baseField="0" baseItem="0"/>
    <dataField name="Sum of Clicks" fld="10" baseField="0" baseItem="0"/>
    <dataField name="Average of Likes" fld="5" subtotal="average" baseField="12" baseItem="0"/>
    <dataField name="Average of Clicks" fld="10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3BC75-3E00-402C-BE14-74D3EBD1BE83}" name="PivotTable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D9" firstHeaderRow="0" firstDataRow="1" firstDataCol="1"/>
  <pivotFields count="19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g_Engagement" fld="15" subtotal="average" baseField="12" baseItem="0"/>
    <dataField name="Average of ROI" fld="17" subtotal="average" baseField="12" baseItem="0"/>
    <dataField name="Sum of sum o fgrowth" fld="18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DECB9-8A3D-4E6C-81AE-0B1EC959F722}" name="PivotTable6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F57" firstHeaderRow="1" firstDataRow="2" firstDataCol="1"/>
  <pivotFields count="21">
    <pivotField showAll="0"/>
    <pivotField axis="axisCol" showAll="0">
      <items count="5">
        <item x="3"/>
        <item x="1"/>
        <item x="0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53">
        <item x="17"/>
        <item x="30"/>
        <item x="49"/>
        <item x="20"/>
        <item x="24"/>
        <item x="9"/>
        <item x="40"/>
        <item x="12"/>
        <item x="18"/>
        <item x="23"/>
        <item x="8"/>
        <item x="44"/>
        <item x="27"/>
        <item x="1"/>
        <item x="21"/>
        <item x="29"/>
        <item x="45"/>
        <item x="32"/>
        <item x="14"/>
        <item x="3"/>
        <item x="50"/>
        <item x="39"/>
        <item x="33"/>
        <item x="35"/>
        <item x="4"/>
        <item x="34"/>
        <item x="6"/>
        <item x="46"/>
        <item x="10"/>
        <item x="26"/>
        <item x="41"/>
        <item x="2"/>
        <item x="15"/>
        <item x="7"/>
        <item x="36"/>
        <item x="16"/>
        <item x="22"/>
        <item x="51"/>
        <item x="42"/>
        <item x="38"/>
        <item x="37"/>
        <item x="13"/>
        <item x="5"/>
        <item x="19"/>
        <item x="43"/>
        <item x="11"/>
        <item x="28"/>
        <item x="47"/>
        <item x="31"/>
        <item x="25"/>
        <item x="0"/>
        <item x="48"/>
        <item t="default"/>
      </items>
    </pivotField>
    <pivotField showAll="0"/>
  </pivotFields>
  <rowFields count="1">
    <field x="19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growth_of_followers" fld="18" baseField="0" baseItem="0"/>
  </dataFields>
  <conditionalFormats count="2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9" count="5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</pivotAreas>
    </conditionalFormat>
    <conditionalFormat priority="2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2AC944-6B4B-4311-8C89-9DF7B1A17F66}" autoFormatId="16" applyNumberFormats="0" applyBorderFormats="0" applyFontFormats="0" applyPatternFormats="0" applyAlignmentFormats="0" applyWidthHeightFormats="0">
  <queryTableRefresh nextId="22" unboundColumnsRight="2">
    <queryTableFields count="19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4" name="Hashtags Used" tableColumnId="12"/>
      <queryTableField id="13" name="Campaign_Name" tableColumnId="13"/>
      <queryTableField id="16" name="Sheet5.Total_Followers_Gained" tableColumnId="14"/>
      <queryTableField id="17" name="Sheet5.Total_Unfollows" tableColumnId="15"/>
      <queryTableField id="18" name="Sheet5.Avg_Engagement" tableColumnId="16"/>
      <queryTableField id="19" name="Sheet5.Total_Ad_Spend" tableColumnId="17"/>
      <queryTableField id="20" dataBound="0" tableColumnId="18"/>
      <queryTableField id="21" dataBound="0" tableColumnId="1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C2A8D-7D8E-49B1-A6C4-1F3DE6F488B0}" name="Posts" displayName="Posts" ref="A1:N340" totalsRowShown="0" headerRowDxfId="33" dataDxfId="31" headerRowBorderDxfId="32" tableBorderDxfId="30">
  <autoFilter ref="A1:N340" xr:uid="{47BC2A8D-7D8E-49B1-A6C4-1F3DE6F488B0}"/>
  <tableColumns count="14">
    <tableColumn id="1" xr3:uid="{F163C882-A098-4CD1-A4AD-E05133E0203E}" name="Post ID" dataDxfId="29"/>
    <tableColumn id="2" xr3:uid="{1EE2AA79-766A-461D-824A-4E5A0683F26E}" name="Platform" dataDxfId="28"/>
    <tableColumn id="3" xr3:uid="{74BFEB3E-9897-414A-9FD8-87A5DF131FFE}" name="Date" dataDxfId="27"/>
    <tableColumn id="4" xr3:uid="{27ACCB08-61C5-4EF1-9BF8-CDD84D4B5DF4}" name="Content Type" dataDxfId="26"/>
    <tableColumn id="5" xr3:uid="{83C6A5C1-222A-46D0-9BB1-190894D7C082}" name="Post Text" dataDxfId="25"/>
    <tableColumn id="6" xr3:uid="{F866EB40-6473-4323-806B-70B011D3E44E}" name="Likes" dataDxfId="24"/>
    <tableColumn id="7" xr3:uid="{9CD17DF7-66DE-458E-8AB6-932EF518BCEA}" name="Shares" dataDxfId="23"/>
    <tableColumn id="8" xr3:uid="{C3AC14A8-FF8C-48F8-9840-2BDB997BB953}" name="Comments" dataDxfId="22"/>
    <tableColumn id="9" xr3:uid="{7317E41B-129D-4A31-9F9D-9D8A2E2E460A}" name="Impressions" dataDxfId="21"/>
    <tableColumn id="10" xr3:uid="{CDF65CCE-B3B7-481B-8A9E-7264EEC40C2A}" name="Reach" dataDxfId="20"/>
    <tableColumn id="11" xr3:uid="{1AEE5C41-2D6C-44C0-8A96-20520E184B5F}" name="Clicks" dataDxfId="19"/>
    <tableColumn id="12" xr3:uid="{02E5B08C-0901-4DE4-8889-8932A9EE35E8}" name="Hashtags" dataDxfId="18"/>
    <tableColumn id="13" xr3:uid="{2E514190-B928-4A1C-95E9-ADE1D7D22068}" name="Campaign_Name" dataDxfId="17"/>
    <tableColumn id="14" xr3:uid="{E3BA4F9C-66AE-47D5-8672-7F68EC9D5D8C}" name="Column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25CD10-455A-47BF-A37C-5FE0BF0EDB40}" name="_2" displayName="_2" ref="A1:N339" totalsRowShown="0">
  <autoFilter ref="A1:N339" xr:uid="{7E25CD10-455A-47BF-A37C-5FE0BF0EDB40}">
    <filterColumn colId="13">
      <top10 val="10" filterVal="0.38274706867671693"/>
    </filterColumn>
  </autoFilter>
  <sortState xmlns:xlrd2="http://schemas.microsoft.com/office/spreadsheetml/2017/richdata2" ref="A2:N339">
    <sortCondition ref="N1:N340"/>
  </sortState>
  <tableColumns count="14">
    <tableColumn id="1" xr3:uid="{CC80414C-155A-4692-A292-F15FD2E63BF4}" name="Post ID" dataDxfId="16"/>
    <tableColumn id="2" xr3:uid="{8FA295AD-CB43-4A54-842E-95921E835F35}" name="Platform" dataDxfId="15"/>
    <tableColumn id="3" xr3:uid="{33BC3917-D7B5-4BE0-8B6F-0BDD5C7EA17D}" name="Date" dataDxfId="14"/>
    <tableColumn id="4" xr3:uid="{324D780F-53C7-48F7-999D-D17B8365258E}" name="Content Type" dataDxfId="13"/>
    <tableColumn id="5" xr3:uid="{DF37A418-A738-484C-B07B-1969813A12AF}" name="Post Text" dataDxfId="12"/>
    <tableColumn id="6" xr3:uid="{0C2DB80A-F300-446A-A7C9-BF6D88B3B69B}" name="Likes"/>
    <tableColumn id="7" xr3:uid="{8474DF1E-C7BD-4A6B-89E1-6B465CE498E6}" name="Shares"/>
    <tableColumn id="8" xr3:uid="{744F9D6B-8D76-416E-A3EC-128B81754719}" name="Comments"/>
    <tableColumn id="9" xr3:uid="{41F5EF97-F97E-431E-A601-AAE5FDA8B6C6}" name="Impressions"/>
    <tableColumn id="10" xr3:uid="{70FAC104-E555-484C-9A2F-23F8A4F39B80}" name="Reach"/>
    <tableColumn id="11" xr3:uid="{8D2A8619-7E4C-488B-A052-4DCBB760742C}" name="Clicks"/>
    <tableColumn id="12" xr3:uid="{CC3EC0F0-54CC-4E96-A89E-9E881959093A}" name="Hashtags Used" dataDxfId="11"/>
    <tableColumn id="13" xr3:uid="{8EC674B9-8689-4E37-A855-7621649AEC41}" name="Campaign_Name" dataDxfId="10"/>
    <tableColumn id="14" xr3:uid="{C69B5E71-3954-43BD-92DF-9194A1003631}" name="Engagement Rat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0D93C3-F687-47BA-870A-A2A75FF0AD99}" name="Posts7" displayName="Posts7" ref="A1:S302" tableType="queryTable" totalsRowShown="0">
  <autoFilter ref="A1:S302" xr:uid="{A60D93C3-F687-47BA-870A-A2A75FF0AD99}"/>
  <tableColumns count="19">
    <tableColumn id="1" xr3:uid="{AD81CBA4-1ECB-4A9E-8930-90B021136C4E}" uniqueName="1" name="Post ID" queryTableFieldId="1" dataDxfId="9"/>
    <tableColumn id="2" xr3:uid="{100CA6C2-0C0C-4838-B2E2-7F5300A11F89}" uniqueName="2" name="Platform" queryTableFieldId="2" dataDxfId="8"/>
    <tableColumn id="3" xr3:uid="{7B157E2F-335F-4FB2-BA7F-E36ADF9B8750}" uniqueName="3" name="Date" queryTableFieldId="3" dataDxfId="7"/>
    <tableColumn id="4" xr3:uid="{FFC0E034-25BC-4DC2-B639-425FF6BC45E2}" uniqueName="4" name="Content Type" queryTableFieldId="4" dataDxfId="6"/>
    <tableColumn id="5" xr3:uid="{0F1735E8-D70A-476C-BCC0-32AF8FF584D5}" uniqueName="5" name="Post Text" queryTableFieldId="5" dataDxfId="5"/>
    <tableColumn id="6" xr3:uid="{D52C29E4-4BCC-43E6-9BE5-B5AADEC7B1EC}" uniqueName="6" name="Likes" queryTableFieldId="6"/>
    <tableColumn id="7" xr3:uid="{5D070451-B50C-4250-B26C-3A20819F1250}" uniqueName="7" name="Shares" queryTableFieldId="7"/>
    <tableColumn id="8" xr3:uid="{BC82115C-10FC-4949-AA0A-5858EB4C52F2}" uniqueName="8" name="Comments" queryTableFieldId="8"/>
    <tableColumn id="9" xr3:uid="{3F202FEB-7997-4864-8BA7-F692B5BA3614}" uniqueName="9" name="Impressions" queryTableFieldId="9"/>
    <tableColumn id="10" xr3:uid="{D8E73677-3FFF-40BE-8A41-AB68267DC5DA}" uniqueName="10" name="Reach" queryTableFieldId="10"/>
    <tableColumn id="11" xr3:uid="{7420E7D4-513F-43D8-9A5D-7C2AC157D8E2}" uniqueName="11" name="Clicks" queryTableFieldId="11"/>
    <tableColumn id="12" xr3:uid="{932F7A6F-D624-4ED8-ADF1-916F075E873A}" uniqueName="12" name="Hashtags Used" queryTableFieldId="14" dataDxfId="4"/>
    <tableColumn id="13" xr3:uid="{376FD98F-A4B1-4665-9E5A-EC6BFD49C9F7}" uniqueName="13" name="Campaign_Name" queryTableFieldId="13" dataDxfId="3"/>
    <tableColumn id="14" xr3:uid="{9ADFAB0C-192C-4F10-9612-0A4111E8C429}" uniqueName="14" name="Sheet5.Total_Followers_Gained" queryTableFieldId="16"/>
    <tableColumn id="15" xr3:uid="{B2E09EF6-B028-41EF-B9D8-5BB50692AA43}" uniqueName="15" name="Sheet5.Total_Unfollows" queryTableFieldId="17"/>
    <tableColumn id="16" xr3:uid="{8B851FC9-EE4C-4433-9D71-B9569310E04E}" uniqueName="16" name="Sheet5.Avg_Engagement" queryTableFieldId="18"/>
    <tableColumn id="17" xr3:uid="{63E19588-BB21-4336-BFD2-B193D17BCC55}" uniqueName="17" name="Sheet5.Total_Ad_Spend" queryTableFieldId="19"/>
    <tableColumn id="18" xr3:uid="{2E9D8A19-AAA0-459D-A782-DC444382F459}" uniqueName="18" name="ROI" queryTableFieldId="20">
      <calculatedColumnFormula>(F2+K2)/Q2</calculatedColumnFormula>
    </tableColumn>
    <tableColumn id="19" xr3:uid="{D6096525-EB89-4AFD-9890-68786C4CB25E}" uniqueName="19" name="sum o fgrowth" queryTableFieldId="21" dataDxfId="2">
      <calculatedColumnFormula>N2-O2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E8FB-A4A4-4F75-AB7D-828D0B052E85}">
  <dimension ref="A1"/>
  <sheetViews>
    <sheetView tabSelected="1" workbookViewId="0"/>
  </sheetViews>
  <sheetFormatPr defaultRowHeight="14.4" x14ac:dyDescent="0.3"/>
  <sheetData>
    <row r="1" spans="1:1" x14ac:dyDescent="0.3">
      <c r="A1" t="s">
        <v>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L2" sqref="L2"/>
    </sheetView>
  </sheetViews>
  <sheetFormatPr defaultColWidth="14.44140625" defaultRowHeight="15" customHeight="1" x14ac:dyDescent="0.3"/>
  <cols>
    <col min="1" max="4" width="8.6640625" customWidth="1"/>
    <col min="5" max="5" width="41.33203125" customWidth="1"/>
    <col min="6" max="11" width="8.6640625" customWidth="1"/>
    <col min="12" max="12" width="38.33203125" customWidth="1"/>
    <col min="13" max="13" width="20.44140625" customWidth="1"/>
    <col min="14" max="26" width="8.6640625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</row>
    <row r="3" spans="1:13" ht="14.4" x14ac:dyDescent="0.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</row>
    <row r="4" spans="1:13" ht="14.4" x14ac:dyDescent="0.3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</row>
    <row r="5" spans="1:13" ht="14.4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</row>
    <row r="6" spans="1:13" ht="14.4" x14ac:dyDescent="0.3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</row>
    <row r="7" spans="1:13" ht="14.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</row>
    <row r="8" spans="1:13" ht="14.4" x14ac:dyDescent="0.3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</row>
    <row r="9" spans="1:13" ht="14.4" x14ac:dyDescent="0.3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</row>
    <row r="10" spans="1:13" ht="14.4" x14ac:dyDescent="0.3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</row>
    <row r="11" spans="1:13" ht="14.4" x14ac:dyDescent="0.3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</row>
    <row r="12" spans="1:13" ht="14.4" x14ac:dyDescent="0.3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</row>
    <row r="13" spans="1:13" ht="14.4" x14ac:dyDescent="0.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</row>
    <row r="14" spans="1:13" ht="14.4" x14ac:dyDescent="0.3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</row>
    <row r="15" spans="1:13" ht="14.4" x14ac:dyDescent="0.3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</row>
    <row r="16" spans="1:13" ht="14.4" x14ac:dyDescent="0.3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</row>
    <row r="17" spans="1:13" ht="14.4" x14ac:dyDescent="0.3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</row>
    <row r="18" spans="1:13" ht="14.4" x14ac:dyDescent="0.3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</row>
    <row r="19" spans="1:13" ht="14.4" x14ac:dyDescent="0.3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</row>
    <row r="20" spans="1:13" ht="14.4" x14ac:dyDescent="0.3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</row>
    <row r="21" spans="1:13" ht="15.75" customHeight="1" x14ac:dyDescent="0.3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</row>
    <row r="22" spans="1:13" ht="15.75" customHeight="1" x14ac:dyDescent="0.3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</row>
    <row r="23" spans="1:13" ht="15.75" customHeight="1" x14ac:dyDescent="0.3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</row>
    <row r="24" spans="1:13" ht="15.75" customHeight="1" x14ac:dyDescent="0.3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</row>
    <row r="25" spans="1:13" ht="15.75" customHeight="1" x14ac:dyDescent="0.3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</row>
    <row r="26" spans="1:13" ht="15.75" customHeight="1" x14ac:dyDescent="0.3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</row>
    <row r="27" spans="1:13" ht="15.75" customHeight="1" x14ac:dyDescent="0.3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</row>
    <row r="28" spans="1:13" ht="15.75" customHeight="1" x14ac:dyDescent="0.3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</row>
    <row r="29" spans="1:13" ht="15.75" customHeight="1" x14ac:dyDescent="0.3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</row>
    <row r="30" spans="1:13" ht="15.75" customHeight="1" x14ac:dyDescent="0.3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</row>
    <row r="31" spans="1:13" ht="15.75" customHeight="1" x14ac:dyDescent="0.3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</row>
    <row r="32" spans="1:13" ht="15.75" customHeight="1" x14ac:dyDescent="0.3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</row>
    <row r="33" spans="1:13" ht="15.75" customHeight="1" x14ac:dyDescent="0.3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</row>
    <row r="34" spans="1:13" ht="15.75" customHeight="1" x14ac:dyDescent="0.3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</row>
    <row r="35" spans="1:13" ht="15.75" customHeight="1" x14ac:dyDescent="0.3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</row>
    <row r="36" spans="1:13" ht="15.75" customHeight="1" x14ac:dyDescent="0.3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</row>
    <row r="37" spans="1:13" ht="15.75" customHeight="1" x14ac:dyDescent="0.3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</row>
    <row r="38" spans="1:13" ht="15.75" customHeight="1" x14ac:dyDescent="0.3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</row>
    <row r="39" spans="1:13" ht="15.75" customHeight="1" x14ac:dyDescent="0.3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</row>
    <row r="40" spans="1:13" ht="15.75" customHeight="1" x14ac:dyDescent="0.3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</row>
    <row r="41" spans="1:13" ht="15.75" customHeight="1" x14ac:dyDescent="0.3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</row>
    <row r="42" spans="1:13" ht="15.75" customHeight="1" x14ac:dyDescent="0.3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</row>
    <row r="43" spans="1:13" ht="15.75" customHeight="1" x14ac:dyDescent="0.3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</row>
    <row r="44" spans="1:13" ht="15.75" customHeight="1" x14ac:dyDescent="0.3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</row>
    <row r="45" spans="1:13" ht="15.75" customHeight="1" x14ac:dyDescent="0.3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</row>
    <row r="46" spans="1:13" ht="15.75" customHeight="1" x14ac:dyDescent="0.3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</row>
    <row r="47" spans="1:13" ht="15.75" customHeight="1" x14ac:dyDescent="0.3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</row>
    <row r="48" spans="1:13" ht="15.75" customHeight="1" x14ac:dyDescent="0.3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</row>
    <row r="49" spans="1:13" ht="15.75" customHeight="1" x14ac:dyDescent="0.3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</row>
    <row r="50" spans="1:13" ht="15.75" customHeight="1" x14ac:dyDescent="0.3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</row>
    <row r="51" spans="1:13" ht="15.75" customHeight="1" x14ac:dyDescent="0.3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</row>
    <row r="52" spans="1:13" ht="15.75" customHeight="1" x14ac:dyDescent="0.3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</row>
    <row r="53" spans="1:13" ht="15.75" customHeight="1" x14ac:dyDescent="0.3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</row>
    <row r="54" spans="1:13" ht="15.75" customHeight="1" x14ac:dyDescent="0.3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</row>
    <row r="55" spans="1:13" ht="15.75" customHeight="1" x14ac:dyDescent="0.3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</row>
    <row r="56" spans="1:13" ht="15.75" customHeight="1" x14ac:dyDescent="0.3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</row>
    <row r="57" spans="1:13" ht="15.75" customHeight="1" x14ac:dyDescent="0.3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</row>
    <row r="58" spans="1:13" ht="15.75" customHeight="1" x14ac:dyDescent="0.3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</row>
    <row r="59" spans="1:13" ht="15.75" customHeight="1" x14ac:dyDescent="0.3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</row>
    <row r="60" spans="1:13" ht="15.75" customHeight="1" x14ac:dyDescent="0.3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</row>
    <row r="61" spans="1:13" ht="15.75" customHeight="1" x14ac:dyDescent="0.3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</row>
    <row r="62" spans="1:13" ht="15.75" customHeight="1" x14ac:dyDescent="0.3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</row>
    <row r="63" spans="1:13" ht="15.75" customHeight="1" x14ac:dyDescent="0.3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</row>
    <row r="64" spans="1:13" ht="15.75" customHeight="1" x14ac:dyDescent="0.3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</row>
    <row r="65" spans="1:13" ht="15.75" customHeight="1" x14ac:dyDescent="0.3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</row>
    <row r="66" spans="1:13" ht="15.75" customHeight="1" x14ac:dyDescent="0.3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</row>
    <row r="67" spans="1:13" ht="15.75" customHeight="1" x14ac:dyDescent="0.3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</row>
    <row r="68" spans="1:13" ht="15.75" customHeight="1" x14ac:dyDescent="0.3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</row>
    <row r="69" spans="1:13" ht="15.75" customHeight="1" x14ac:dyDescent="0.3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</row>
    <row r="70" spans="1:13" ht="15.75" customHeight="1" x14ac:dyDescent="0.3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</row>
    <row r="71" spans="1:13" ht="15.75" customHeight="1" x14ac:dyDescent="0.3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</row>
    <row r="72" spans="1:13" ht="15.75" customHeight="1" x14ac:dyDescent="0.3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</row>
    <row r="73" spans="1:13" ht="15.75" customHeight="1" x14ac:dyDescent="0.3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</row>
    <row r="74" spans="1:13" ht="15.75" customHeight="1" x14ac:dyDescent="0.3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</row>
    <row r="75" spans="1:13" ht="15.75" customHeight="1" x14ac:dyDescent="0.3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</row>
    <row r="76" spans="1:13" ht="15.75" customHeight="1" x14ac:dyDescent="0.3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</row>
    <row r="77" spans="1:13" ht="15.75" customHeight="1" x14ac:dyDescent="0.3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</row>
    <row r="78" spans="1:13" ht="15.75" customHeight="1" x14ac:dyDescent="0.3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</row>
    <row r="79" spans="1:13" ht="15.75" customHeight="1" x14ac:dyDescent="0.3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</row>
    <row r="80" spans="1:13" ht="15.75" customHeight="1" x14ac:dyDescent="0.3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</row>
    <row r="81" spans="1:13" ht="15.75" customHeight="1" x14ac:dyDescent="0.3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</row>
    <row r="82" spans="1:13" ht="15.75" customHeight="1" x14ac:dyDescent="0.3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</row>
    <row r="83" spans="1:13" ht="15.75" customHeight="1" x14ac:dyDescent="0.3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</row>
    <row r="84" spans="1:13" ht="15.75" customHeight="1" x14ac:dyDescent="0.3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</row>
    <row r="85" spans="1:13" ht="15.75" customHeight="1" x14ac:dyDescent="0.3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</row>
    <row r="86" spans="1:13" ht="15.75" customHeight="1" x14ac:dyDescent="0.3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</row>
    <row r="87" spans="1:13" ht="15.75" customHeight="1" x14ac:dyDescent="0.3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</row>
    <row r="88" spans="1:13" ht="15.75" customHeight="1" x14ac:dyDescent="0.3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</row>
    <row r="89" spans="1:13" ht="15.75" customHeight="1" x14ac:dyDescent="0.3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</row>
    <row r="90" spans="1:13" ht="15.75" customHeight="1" x14ac:dyDescent="0.3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</row>
    <row r="91" spans="1:13" ht="15.75" customHeight="1" x14ac:dyDescent="0.3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</row>
    <row r="92" spans="1:13" ht="15.75" customHeight="1" x14ac:dyDescent="0.3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</row>
    <row r="93" spans="1:13" ht="15.75" customHeight="1" x14ac:dyDescent="0.3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</row>
    <row r="94" spans="1:13" ht="15.75" customHeight="1" x14ac:dyDescent="0.3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</row>
    <row r="95" spans="1:13" ht="15.75" customHeight="1" x14ac:dyDescent="0.3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</row>
    <row r="96" spans="1:13" ht="15.75" customHeight="1" x14ac:dyDescent="0.3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</row>
    <row r="97" spans="1:13" ht="15.75" customHeight="1" x14ac:dyDescent="0.3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</row>
    <row r="98" spans="1:13" ht="15.75" customHeight="1" x14ac:dyDescent="0.3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</row>
    <row r="99" spans="1:13" ht="15.75" customHeight="1" x14ac:dyDescent="0.3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</row>
    <row r="100" spans="1:13" ht="15.75" customHeight="1" x14ac:dyDescent="0.3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</row>
    <row r="101" spans="1:13" ht="15.75" customHeight="1" x14ac:dyDescent="0.3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</row>
    <row r="102" spans="1:13" ht="15.75" customHeight="1" x14ac:dyDescent="0.3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</row>
    <row r="103" spans="1:13" ht="15.75" customHeight="1" x14ac:dyDescent="0.3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</row>
    <row r="104" spans="1:13" ht="15.75" customHeight="1" x14ac:dyDescent="0.3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</row>
    <row r="105" spans="1:13" ht="15.75" customHeight="1" x14ac:dyDescent="0.3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</row>
    <row r="106" spans="1:13" ht="15.75" customHeight="1" x14ac:dyDescent="0.3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</row>
    <row r="107" spans="1:13" ht="15.75" customHeight="1" x14ac:dyDescent="0.3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</row>
    <row r="108" spans="1:13" ht="15.75" customHeight="1" x14ac:dyDescent="0.3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</row>
    <row r="109" spans="1:13" ht="15.75" customHeight="1" x14ac:dyDescent="0.3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</row>
    <row r="110" spans="1:13" ht="15.75" customHeight="1" x14ac:dyDescent="0.3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</row>
    <row r="111" spans="1:13" ht="15.75" customHeight="1" x14ac:dyDescent="0.3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</row>
    <row r="112" spans="1:13" ht="15.75" customHeight="1" x14ac:dyDescent="0.3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</row>
    <row r="113" spans="1:13" ht="15.75" customHeight="1" x14ac:dyDescent="0.3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</row>
    <row r="114" spans="1:13" ht="15.75" customHeight="1" x14ac:dyDescent="0.3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</row>
    <row r="115" spans="1:13" ht="15.75" customHeight="1" x14ac:dyDescent="0.3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</row>
    <row r="116" spans="1:13" ht="15.75" customHeight="1" x14ac:dyDescent="0.3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</row>
    <row r="117" spans="1:13" ht="15.75" customHeight="1" x14ac:dyDescent="0.3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</row>
    <row r="118" spans="1:13" ht="15.75" customHeight="1" x14ac:dyDescent="0.3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</row>
    <row r="119" spans="1:13" ht="15.75" customHeight="1" x14ac:dyDescent="0.3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</row>
    <row r="120" spans="1:13" ht="15.75" customHeight="1" x14ac:dyDescent="0.3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</row>
    <row r="121" spans="1:13" ht="15.75" customHeight="1" x14ac:dyDescent="0.3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</row>
    <row r="122" spans="1:13" ht="15.75" customHeight="1" x14ac:dyDescent="0.3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</row>
    <row r="123" spans="1:13" ht="15.75" customHeight="1" x14ac:dyDescent="0.3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</row>
    <row r="124" spans="1:13" ht="15.75" customHeight="1" x14ac:dyDescent="0.3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</row>
    <row r="125" spans="1:13" ht="15.75" customHeight="1" x14ac:dyDescent="0.3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</row>
    <row r="126" spans="1:13" ht="15.75" customHeight="1" x14ac:dyDescent="0.3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</row>
    <row r="127" spans="1:13" ht="15.75" customHeight="1" x14ac:dyDescent="0.3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</row>
    <row r="128" spans="1:13" ht="15.75" customHeight="1" x14ac:dyDescent="0.3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</row>
    <row r="129" spans="1:13" ht="15.75" customHeight="1" x14ac:dyDescent="0.3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</row>
    <row r="130" spans="1:13" ht="15.75" customHeight="1" x14ac:dyDescent="0.3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</row>
    <row r="131" spans="1:13" ht="15.75" customHeight="1" x14ac:dyDescent="0.3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</row>
    <row r="132" spans="1:13" ht="15.75" customHeight="1" x14ac:dyDescent="0.3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</row>
    <row r="133" spans="1:13" ht="15.75" customHeight="1" x14ac:dyDescent="0.3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</row>
    <row r="134" spans="1:13" ht="15.75" customHeight="1" x14ac:dyDescent="0.3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</row>
    <row r="135" spans="1:13" ht="15.75" customHeight="1" x14ac:dyDescent="0.3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</row>
    <row r="136" spans="1:13" ht="15.75" customHeight="1" x14ac:dyDescent="0.3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</row>
    <row r="137" spans="1:13" ht="15.75" customHeight="1" x14ac:dyDescent="0.3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</row>
    <row r="138" spans="1:13" ht="15.75" customHeight="1" x14ac:dyDescent="0.3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</row>
    <row r="139" spans="1:13" ht="15.75" customHeight="1" x14ac:dyDescent="0.3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</row>
    <row r="140" spans="1:13" ht="15.75" customHeight="1" x14ac:dyDescent="0.3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</row>
    <row r="141" spans="1:13" ht="15.75" customHeight="1" x14ac:dyDescent="0.3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</row>
    <row r="142" spans="1:13" ht="15.75" customHeight="1" x14ac:dyDescent="0.3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</row>
    <row r="143" spans="1:13" ht="15.75" customHeight="1" x14ac:dyDescent="0.3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</row>
    <row r="144" spans="1:13" ht="15.75" customHeight="1" x14ac:dyDescent="0.3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</row>
    <row r="145" spans="1:13" ht="15.75" customHeight="1" x14ac:dyDescent="0.3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</row>
    <row r="146" spans="1:13" ht="15.75" customHeight="1" x14ac:dyDescent="0.3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</row>
    <row r="147" spans="1:13" ht="15.75" customHeight="1" x14ac:dyDescent="0.3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</row>
    <row r="148" spans="1:13" ht="15.75" customHeight="1" x14ac:dyDescent="0.3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</row>
    <row r="149" spans="1:13" ht="15.75" customHeight="1" x14ac:dyDescent="0.3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</row>
    <row r="150" spans="1:13" ht="15.75" customHeight="1" x14ac:dyDescent="0.3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</row>
    <row r="151" spans="1:13" ht="15.75" customHeight="1" x14ac:dyDescent="0.3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</row>
    <row r="152" spans="1:13" ht="15.75" customHeight="1" x14ac:dyDescent="0.3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</row>
    <row r="153" spans="1:13" ht="15.75" customHeight="1" x14ac:dyDescent="0.3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</row>
    <row r="154" spans="1:13" ht="15.75" customHeight="1" x14ac:dyDescent="0.3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</row>
    <row r="155" spans="1:13" ht="15.75" customHeight="1" x14ac:dyDescent="0.3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</row>
    <row r="156" spans="1:13" ht="15.75" customHeight="1" x14ac:dyDescent="0.3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</row>
    <row r="157" spans="1:13" ht="15.75" customHeight="1" x14ac:dyDescent="0.3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</row>
    <row r="158" spans="1:13" ht="15.75" customHeight="1" x14ac:dyDescent="0.3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</row>
    <row r="159" spans="1:13" ht="15.75" customHeight="1" x14ac:dyDescent="0.3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</row>
    <row r="160" spans="1:13" ht="15.75" customHeight="1" x14ac:dyDescent="0.3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</row>
    <row r="161" spans="1:13" ht="15.75" customHeight="1" x14ac:dyDescent="0.3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</row>
    <row r="162" spans="1:13" ht="15.75" customHeight="1" x14ac:dyDescent="0.3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</row>
    <row r="163" spans="1:13" ht="15.75" customHeight="1" x14ac:dyDescent="0.3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</row>
    <row r="164" spans="1:13" ht="15.75" customHeight="1" x14ac:dyDescent="0.3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</row>
    <row r="165" spans="1:13" ht="15.75" customHeight="1" x14ac:dyDescent="0.3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</row>
    <row r="166" spans="1:13" ht="15.75" customHeight="1" x14ac:dyDescent="0.3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</row>
    <row r="167" spans="1:13" ht="15.75" customHeight="1" x14ac:dyDescent="0.3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</row>
    <row r="168" spans="1:13" ht="15.75" customHeight="1" x14ac:dyDescent="0.3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</row>
    <row r="169" spans="1:13" ht="15.75" customHeight="1" x14ac:dyDescent="0.3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</row>
    <row r="170" spans="1:13" ht="15.75" customHeight="1" x14ac:dyDescent="0.3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</row>
    <row r="171" spans="1:13" ht="15.75" customHeight="1" x14ac:dyDescent="0.3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</row>
    <row r="172" spans="1:13" ht="15.75" customHeight="1" x14ac:dyDescent="0.3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</row>
    <row r="173" spans="1:13" ht="15.75" customHeight="1" x14ac:dyDescent="0.3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</row>
    <row r="174" spans="1:13" ht="15.75" customHeight="1" x14ac:dyDescent="0.3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</row>
    <row r="175" spans="1:13" ht="15.75" customHeight="1" x14ac:dyDescent="0.3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</row>
    <row r="176" spans="1:13" ht="15.75" customHeight="1" x14ac:dyDescent="0.3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</row>
    <row r="177" spans="1:13" ht="15.75" customHeight="1" x14ac:dyDescent="0.3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</row>
    <row r="178" spans="1:13" ht="15.75" customHeight="1" x14ac:dyDescent="0.3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</row>
    <row r="179" spans="1:13" ht="15.75" customHeight="1" x14ac:dyDescent="0.3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</row>
    <row r="180" spans="1:13" ht="15.75" customHeight="1" x14ac:dyDescent="0.3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</row>
    <row r="181" spans="1:13" ht="15.75" customHeight="1" x14ac:dyDescent="0.3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</row>
    <row r="182" spans="1:13" ht="15.75" customHeight="1" x14ac:dyDescent="0.3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</row>
    <row r="183" spans="1:13" ht="15.75" customHeight="1" x14ac:dyDescent="0.3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</row>
    <row r="184" spans="1:13" ht="15.75" customHeight="1" x14ac:dyDescent="0.3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</row>
    <row r="185" spans="1:13" ht="15.75" customHeight="1" x14ac:dyDescent="0.3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</row>
    <row r="186" spans="1:13" ht="15.75" customHeight="1" x14ac:dyDescent="0.3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</row>
    <row r="187" spans="1:13" ht="15.75" customHeight="1" x14ac:dyDescent="0.3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</row>
    <row r="188" spans="1:13" ht="15.75" customHeight="1" x14ac:dyDescent="0.3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</row>
    <row r="189" spans="1:13" ht="15.75" customHeight="1" x14ac:dyDescent="0.3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</row>
    <row r="190" spans="1:13" ht="15.75" customHeight="1" x14ac:dyDescent="0.3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</row>
    <row r="191" spans="1:13" ht="15.75" customHeight="1" x14ac:dyDescent="0.3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</row>
    <row r="192" spans="1:13" ht="15.75" customHeight="1" x14ac:dyDescent="0.3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</row>
    <row r="193" spans="1:13" ht="15.75" customHeight="1" x14ac:dyDescent="0.3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</row>
    <row r="194" spans="1:13" ht="15.75" customHeight="1" x14ac:dyDescent="0.3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</row>
    <row r="195" spans="1:13" ht="15.75" customHeight="1" x14ac:dyDescent="0.3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</row>
    <row r="196" spans="1:13" ht="15.75" customHeight="1" x14ac:dyDescent="0.3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</row>
    <row r="197" spans="1:13" ht="15.75" customHeight="1" x14ac:dyDescent="0.3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</row>
    <row r="198" spans="1:13" ht="15.75" customHeight="1" x14ac:dyDescent="0.3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</row>
    <row r="199" spans="1:13" ht="15.75" customHeight="1" x14ac:dyDescent="0.3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</row>
    <row r="200" spans="1:13" ht="15.75" customHeight="1" x14ac:dyDescent="0.3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</row>
    <row r="201" spans="1:13" ht="15.75" customHeight="1" x14ac:dyDescent="0.3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</row>
    <row r="202" spans="1:13" ht="15.75" customHeight="1" x14ac:dyDescent="0.3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</row>
    <row r="203" spans="1:13" ht="15.75" customHeight="1" x14ac:dyDescent="0.3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</row>
    <row r="204" spans="1:13" ht="15.75" customHeight="1" x14ac:dyDescent="0.3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</row>
    <row r="205" spans="1:13" ht="15.75" customHeight="1" x14ac:dyDescent="0.3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</row>
    <row r="206" spans="1:13" ht="15.75" customHeight="1" x14ac:dyDescent="0.3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</row>
    <row r="207" spans="1:13" ht="15.75" customHeight="1" x14ac:dyDescent="0.3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</row>
    <row r="208" spans="1:13" ht="15.75" customHeight="1" x14ac:dyDescent="0.3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</row>
    <row r="209" spans="1:13" ht="15.75" customHeight="1" x14ac:dyDescent="0.3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</row>
    <row r="210" spans="1:13" ht="15.75" customHeight="1" x14ac:dyDescent="0.3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</row>
    <row r="211" spans="1:13" ht="15.75" customHeight="1" x14ac:dyDescent="0.3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</row>
    <row r="212" spans="1:13" ht="15.75" customHeight="1" x14ac:dyDescent="0.3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</row>
    <row r="213" spans="1:13" ht="15.75" customHeight="1" x14ac:dyDescent="0.3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</row>
    <row r="214" spans="1:13" ht="15.75" customHeight="1" x14ac:dyDescent="0.3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</row>
    <row r="215" spans="1:13" ht="15.75" customHeight="1" x14ac:dyDescent="0.3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</row>
    <row r="216" spans="1:13" ht="15.75" customHeight="1" x14ac:dyDescent="0.3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</row>
    <row r="217" spans="1:13" ht="15.75" customHeight="1" x14ac:dyDescent="0.3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</row>
    <row r="218" spans="1:13" ht="15.75" customHeight="1" x14ac:dyDescent="0.3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</row>
    <row r="219" spans="1:13" ht="15.75" customHeight="1" x14ac:dyDescent="0.3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</row>
    <row r="220" spans="1:13" ht="15.75" customHeight="1" x14ac:dyDescent="0.3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</row>
    <row r="221" spans="1:13" ht="15.75" customHeight="1" x14ac:dyDescent="0.3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</row>
    <row r="222" spans="1:13" ht="15.75" customHeight="1" x14ac:dyDescent="0.3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</row>
    <row r="223" spans="1:13" ht="15.75" customHeight="1" x14ac:dyDescent="0.3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</row>
    <row r="224" spans="1:13" ht="15.75" customHeight="1" x14ac:dyDescent="0.3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</row>
    <row r="225" spans="1:13" ht="15.75" customHeight="1" x14ac:dyDescent="0.3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</row>
    <row r="226" spans="1:13" ht="15.75" customHeight="1" x14ac:dyDescent="0.3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</row>
    <row r="227" spans="1:13" ht="15.75" customHeight="1" x14ac:dyDescent="0.3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</row>
    <row r="228" spans="1:13" ht="15.75" customHeight="1" x14ac:dyDescent="0.3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</row>
    <row r="229" spans="1:13" ht="15.75" customHeight="1" x14ac:dyDescent="0.3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</row>
    <row r="230" spans="1:13" ht="15.75" customHeight="1" x14ac:dyDescent="0.3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</row>
    <row r="231" spans="1:13" ht="15.75" customHeight="1" x14ac:dyDescent="0.3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</row>
    <row r="232" spans="1:13" ht="15.75" customHeight="1" x14ac:dyDescent="0.3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</row>
    <row r="233" spans="1:13" ht="15.75" customHeight="1" x14ac:dyDescent="0.3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</row>
    <row r="234" spans="1:13" ht="15.75" customHeight="1" x14ac:dyDescent="0.3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</row>
    <row r="235" spans="1:13" ht="15.75" customHeight="1" x14ac:dyDescent="0.3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</row>
    <row r="236" spans="1:13" ht="15.75" customHeight="1" x14ac:dyDescent="0.3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</row>
    <row r="237" spans="1:13" ht="15.75" customHeight="1" x14ac:dyDescent="0.3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</row>
    <row r="238" spans="1:13" ht="15.75" customHeight="1" x14ac:dyDescent="0.3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</row>
    <row r="239" spans="1:13" ht="15.75" customHeight="1" x14ac:dyDescent="0.3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</row>
    <row r="240" spans="1:13" ht="15.75" customHeight="1" x14ac:dyDescent="0.3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</row>
    <row r="241" spans="1:13" ht="15.75" customHeight="1" x14ac:dyDescent="0.3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</row>
    <row r="242" spans="1:13" ht="15.75" customHeight="1" x14ac:dyDescent="0.3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</row>
    <row r="243" spans="1:13" ht="15.75" customHeight="1" x14ac:dyDescent="0.3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</row>
    <row r="244" spans="1:13" ht="15.75" customHeight="1" x14ac:dyDescent="0.3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</row>
    <row r="245" spans="1:13" ht="15.75" customHeight="1" x14ac:dyDescent="0.3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</row>
    <row r="246" spans="1:13" ht="15.75" customHeight="1" x14ac:dyDescent="0.3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</row>
    <row r="247" spans="1:13" ht="15.75" customHeight="1" x14ac:dyDescent="0.3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</row>
    <row r="248" spans="1:13" ht="15.75" customHeight="1" x14ac:dyDescent="0.3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</row>
    <row r="249" spans="1:13" ht="15.75" customHeight="1" x14ac:dyDescent="0.3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</row>
    <row r="250" spans="1:13" ht="15.75" customHeight="1" x14ac:dyDescent="0.3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</row>
    <row r="251" spans="1:13" ht="15.75" customHeight="1" x14ac:dyDescent="0.3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</row>
    <row r="252" spans="1:13" ht="15.75" customHeight="1" x14ac:dyDescent="0.3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</row>
    <row r="253" spans="1:13" ht="15.75" customHeight="1" x14ac:dyDescent="0.3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</row>
    <row r="254" spans="1:13" ht="15.75" customHeight="1" x14ac:dyDescent="0.3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</row>
    <row r="255" spans="1:13" ht="15.75" customHeight="1" x14ac:dyDescent="0.3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</row>
    <row r="256" spans="1:13" ht="15.75" customHeight="1" x14ac:dyDescent="0.3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</row>
    <row r="257" spans="1:13" ht="15.75" customHeight="1" x14ac:dyDescent="0.3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</row>
    <row r="258" spans="1:13" ht="15.75" customHeight="1" x14ac:dyDescent="0.3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</row>
    <row r="259" spans="1:13" ht="15.75" customHeight="1" x14ac:dyDescent="0.3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</row>
    <row r="260" spans="1:13" ht="15.75" customHeight="1" x14ac:dyDescent="0.3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</row>
    <row r="261" spans="1:13" ht="15.75" customHeight="1" x14ac:dyDescent="0.3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</row>
    <row r="262" spans="1:13" ht="15.75" customHeight="1" x14ac:dyDescent="0.3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</row>
    <row r="263" spans="1:13" ht="15.75" customHeight="1" x14ac:dyDescent="0.3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</row>
    <row r="264" spans="1:13" ht="15.75" customHeight="1" x14ac:dyDescent="0.3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</row>
    <row r="265" spans="1:13" ht="15.75" customHeight="1" x14ac:dyDescent="0.3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</row>
    <row r="266" spans="1:13" ht="15.75" customHeight="1" x14ac:dyDescent="0.3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</row>
    <row r="267" spans="1:13" ht="15.75" customHeight="1" x14ac:dyDescent="0.3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</row>
    <row r="268" spans="1:13" ht="15.75" customHeight="1" x14ac:dyDescent="0.3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</row>
    <row r="269" spans="1:13" ht="15.75" customHeight="1" x14ac:dyDescent="0.3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</row>
    <row r="270" spans="1:13" ht="15.75" customHeight="1" x14ac:dyDescent="0.3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</row>
    <row r="271" spans="1:13" ht="15.75" customHeight="1" x14ac:dyDescent="0.3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</row>
    <row r="272" spans="1:13" ht="15.75" customHeight="1" x14ac:dyDescent="0.3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</row>
    <row r="273" spans="1:13" ht="15.75" customHeight="1" x14ac:dyDescent="0.3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</row>
    <row r="274" spans="1:13" ht="15.75" customHeight="1" x14ac:dyDescent="0.3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</row>
    <row r="275" spans="1:13" ht="15.75" customHeight="1" x14ac:dyDescent="0.3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</row>
    <row r="276" spans="1:13" ht="15.75" customHeight="1" x14ac:dyDescent="0.3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</row>
    <row r="277" spans="1:13" ht="15.75" customHeight="1" x14ac:dyDescent="0.3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</row>
    <row r="278" spans="1:13" ht="15.75" customHeight="1" x14ac:dyDescent="0.3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</row>
    <row r="279" spans="1:13" ht="15.75" customHeight="1" x14ac:dyDescent="0.3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</row>
    <row r="280" spans="1:13" ht="15.75" customHeight="1" x14ac:dyDescent="0.3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</row>
    <row r="281" spans="1:13" ht="15.75" customHeight="1" x14ac:dyDescent="0.3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</row>
    <row r="282" spans="1:13" ht="15.75" customHeight="1" x14ac:dyDescent="0.3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</row>
    <row r="283" spans="1:13" ht="15.75" customHeight="1" x14ac:dyDescent="0.3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</row>
    <row r="284" spans="1:13" ht="15.75" customHeight="1" x14ac:dyDescent="0.3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</row>
    <row r="285" spans="1:13" ht="15.75" customHeight="1" x14ac:dyDescent="0.3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</row>
    <row r="286" spans="1:13" ht="15.75" customHeight="1" x14ac:dyDescent="0.3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</row>
    <row r="287" spans="1:13" ht="15.75" customHeight="1" x14ac:dyDescent="0.3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</row>
    <row r="288" spans="1:13" ht="15.75" customHeight="1" x14ac:dyDescent="0.3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</row>
    <row r="289" spans="1:13" ht="15.75" customHeight="1" x14ac:dyDescent="0.3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</row>
    <row r="290" spans="1:13" ht="15.75" customHeight="1" x14ac:dyDescent="0.3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</row>
    <row r="291" spans="1:13" ht="15.75" customHeight="1" x14ac:dyDescent="0.3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</row>
    <row r="292" spans="1:13" ht="15.75" customHeight="1" x14ac:dyDescent="0.3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</row>
    <row r="293" spans="1:13" ht="15.75" customHeight="1" x14ac:dyDescent="0.3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</row>
    <row r="294" spans="1:13" ht="15.75" customHeight="1" x14ac:dyDescent="0.3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</row>
    <row r="295" spans="1:13" ht="15.75" customHeight="1" x14ac:dyDescent="0.3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</row>
    <row r="296" spans="1:13" ht="15.75" customHeight="1" x14ac:dyDescent="0.3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</row>
    <row r="297" spans="1:13" ht="15.75" customHeight="1" x14ac:dyDescent="0.3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</row>
    <row r="298" spans="1:13" ht="15.75" customHeight="1" x14ac:dyDescent="0.3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</row>
    <row r="299" spans="1:13" ht="15.75" customHeight="1" x14ac:dyDescent="0.3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</row>
    <row r="300" spans="1:13" ht="15.75" customHeight="1" x14ac:dyDescent="0.3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</row>
    <row r="301" spans="1:13" ht="15.75" customHeight="1" x14ac:dyDescent="0.3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</row>
    <row r="302" spans="1:13" ht="15.75" customHeight="1" x14ac:dyDescent="0.3"/>
    <row r="303" spans="1:13" ht="15.75" customHeight="1" x14ac:dyDescent="0.3"/>
    <row r="304" spans="1:1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F1:F1000" xr:uid="{00000000-0001-0000-0000-000000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H11" sqref="H11"/>
    </sheetView>
  </sheetViews>
  <sheetFormatPr defaultColWidth="34.88671875" defaultRowHeight="15" customHeight="1" x14ac:dyDescent="0.3"/>
  <sheetData>
    <row r="1" spans="1:8" ht="14.4" x14ac:dyDescent="0.3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10"/>
    </row>
    <row r="2" spans="1:8" ht="14.4" x14ac:dyDescent="0.3">
      <c r="A2" s="2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</row>
    <row r="3" spans="1:8" ht="14.4" x14ac:dyDescent="0.3">
      <c r="A3" s="2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</row>
    <row r="4" spans="1:8" ht="14.4" x14ac:dyDescent="0.3">
      <c r="A4" s="2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</row>
    <row r="5" spans="1:8" ht="14.4" x14ac:dyDescent="0.3">
      <c r="A5" s="2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</row>
    <row r="6" spans="1:8" ht="14.4" x14ac:dyDescent="0.3">
      <c r="A6" s="2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</row>
    <row r="7" spans="1:8" ht="14.4" x14ac:dyDescent="0.3">
      <c r="A7" s="2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</row>
    <row r="8" spans="1:8" ht="14.4" x14ac:dyDescent="0.3">
      <c r="A8" s="2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</row>
    <row r="9" spans="1:8" ht="14.4" x14ac:dyDescent="0.3">
      <c r="A9" s="2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</row>
    <row r="10" spans="1:8" ht="14.4" x14ac:dyDescent="0.3">
      <c r="A10" s="2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</row>
    <row r="11" spans="1:8" ht="14.4" x14ac:dyDescent="0.3">
      <c r="A11" s="2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</row>
    <row r="12" spans="1:8" ht="14.4" x14ac:dyDescent="0.3">
      <c r="A12" s="2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</row>
    <row r="13" spans="1:8" ht="14.4" x14ac:dyDescent="0.3">
      <c r="A13" s="2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</row>
    <row r="14" spans="1:8" ht="14.4" x14ac:dyDescent="0.3">
      <c r="A14" s="2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</row>
    <row r="15" spans="1:8" ht="14.4" x14ac:dyDescent="0.3">
      <c r="A15" s="2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</row>
    <row r="16" spans="1:8" ht="14.4" x14ac:dyDescent="0.3">
      <c r="A16" s="2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</row>
    <row r="17" spans="1:7" ht="14.4" x14ac:dyDescent="0.3">
      <c r="A17" s="2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</row>
    <row r="18" spans="1:7" ht="14.4" x14ac:dyDescent="0.3">
      <c r="A18" s="2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</row>
    <row r="19" spans="1:7" ht="14.4" x14ac:dyDescent="0.3">
      <c r="A19" s="2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</row>
    <row r="20" spans="1:7" ht="14.4" x14ac:dyDescent="0.3">
      <c r="A20" s="2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</row>
    <row r="21" spans="1:7" ht="15.75" customHeight="1" x14ac:dyDescent="0.3">
      <c r="A21" s="2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</row>
    <row r="22" spans="1:7" ht="15.75" customHeight="1" x14ac:dyDescent="0.3">
      <c r="A22" s="2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</row>
    <row r="23" spans="1:7" ht="15.75" customHeight="1" x14ac:dyDescent="0.3">
      <c r="A23" s="2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</row>
    <row r="24" spans="1:7" ht="15.75" customHeight="1" x14ac:dyDescent="0.3">
      <c r="A24" s="2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</row>
    <row r="25" spans="1:7" ht="15.75" customHeight="1" x14ac:dyDescent="0.3">
      <c r="A25" s="2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</row>
    <row r="26" spans="1:7" ht="15.75" customHeight="1" x14ac:dyDescent="0.3">
      <c r="A26" s="2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</row>
    <row r="27" spans="1:7" ht="15.75" customHeight="1" x14ac:dyDescent="0.3">
      <c r="A27" s="2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</row>
    <row r="28" spans="1:7" ht="15.75" customHeight="1" x14ac:dyDescent="0.3">
      <c r="A28" s="2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</row>
    <row r="29" spans="1:7" ht="15.75" customHeight="1" x14ac:dyDescent="0.3">
      <c r="A29" s="2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</row>
    <row r="30" spans="1:7" ht="15.75" customHeight="1" x14ac:dyDescent="0.3">
      <c r="A30" s="2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</row>
    <row r="31" spans="1:7" ht="15.75" customHeight="1" x14ac:dyDescent="0.3">
      <c r="A31" s="2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</row>
    <row r="32" spans="1:7" ht="15.75" customHeight="1" x14ac:dyDescent="0.3">
      <c r="A32" s="2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</row>
    <row r="33" spans="1:7" ht="15.75" customHeight="1" x14ac:dyDescent="0.3">
      <c r="A33" s="2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</row>
    <row r="34" spans="1:7" ht="15.75" customHeight="1" x14ac:dyDescent="0.3">
      <c r="A34" s="2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</row>
    <row r="35" spans="1:7" ht="15.75" customHeight="1" x14ac:dyDescent="0.3">
      <c r="A35" s="2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</row>
    <row r="36" spans="1:7" ht="15.75" customHeight="1" x14ac:dyDescent="0.3">
      <c r="A36" s="2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</row>
    <row r="37" spans="1:7" ht="15.75" customHeight="1" x14ac:dyDescent="0.3">
      <c r="A37" s="2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</row>
    <row r="38" spans="1:7" ht="15.75" customHeight="1" x14ac:dyDescent="0.3">
      <c r="A38" s="2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</row>
    <row r="39" spans="1:7" ht="15.75" customHeight="1" x14ac:dyDescent="0.3">
      <c r="A39" s="2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</row>
    <row r="40" spans="1:7" ht="15.75" customHeight="1" x14ac:dyDescent="0.3">
      <c r="A40" s="2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</row>
    <row r="41" spans="1:7" ht="15.75" customHeight="1" x14ac:dyDescent="0.3">
      <c r="A41" s="2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</row>
    <row r="42" spans="1:7" ht="15.75" customHeight="1" x14ac:dyDescent="0.3">
      <c r="A42" s="2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</row>
    <row r="43" spans="1:7" ht="15.75" customHeight="1" x14ac:dyDescent="0.3">
      <c r="A43" s="2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</row>
    <row r="44" spans="1:7" ht="15.75" customHeight="1" x14ac:dyDescent="0.3">
      <c r="A44" s="2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</row>
    <row r="45" spans="1:7" ht="15.75" customHeight="1" x14ac:dyDescent="0.3">
      <c r="A45" s="2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</row>
    <row r="46" spans="1:7" ht="15.75" customHeight="1" x14ac:dyDescent="0.3">
      <c r="A46" s="2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</row>
    <row r="47" spans="1:7" ht="15.75" customHeight="1" x14ac:dyDescent="0.3">
      <c r="A47" s="2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</row>
    <row r="48" spans="1:7" ht="15.75" customHeight="1" x14ac:dyDescent="0.3">
      <c r="A48" s="2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</row>
    <row r="49" spans="1:7" ht="15.75" customHeight="1" x14ac:dyDescent="0.3">
      <c r="A49" s="2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</row>
    <row r="50" spans="1:7" ht="15.75" customHeight="1" x14ac:dyDescent="0.3">
      <c r="A50" s="2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</row>
    <row r="51" spans="1:7" ht="15.75" customHeight="1" x14ac:dyDescent="0.3">
      <c r="A51" s="2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</row>
    <row r="52" spans="1:7" ht="15.75" customHeight="1" x14ac:dyDescent="0.3">
      <c r="A52" s="2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</row>
    <row r="53" spans="1:7" ht="15.75" customHeight="1" x14ac:dyDescent="0.3">
      <c r="A53" s="2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</row>
    <row r="54" spans="1:7" ht="15.75" customHeight="1" x14ac:dyDescent="0.3">
      <c r="A54" s="2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</row>
    <row r="55" spans="1:7" ht="15.75" customHeight="1" x14ac:dyDescent="0.3">
      <c r="A55" s="2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</row>
    <row r="56" spans="1:7" ht="15.75" customHeight="1" x14ac:dyDescent="0.3">
      <c r="A56" s="2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</row>
    <row r="57" spans="1:7" ht="15.75" customHeight="1" x14ac:dyDescent="0.3">
      <c r="A57" s="2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</row>
    <row r="58" spans="1:7" ht="15.75" customHeight="1" x14ac:dyDescent="0.3">
      <c r="A58" s="2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</row>
    <row r="59" spans="1:7" ht="15.75" customHeight="1" x14ac:dyDescent="0.3">
      <c r="A59" s="2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</row>
    <row r="60" spans="1:7" ht="15.75" customHeight="1" x14ac:dyDescent="0.3">
      <c r="A60" s="2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</row>
    <row r="61" spans="1:7" ht="15.75" customHeight="1" x14ac:dyDescent="0.3">
      <c r="A61" s="2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</row>
    <row r="62" spans="1:7" ht="15.75" customHeight="1" x14ac:dyDescent="0.3">
      <c r="A62" s="2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</row>
    <row r="63" spans="1:7" ht="15.75" customHeight="1" x14ac:dyDescent="0.3">
      <c r="A63" s="2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</row>
    <row r="64" spans="1:7" ht="15.75" customHeight="1" x14ac:dyDescent="0.3">
      <c r="A64" s="2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</row>
    <row r="65" spans="1:7" ht="15.75" customHeight="1" x14ac:dyDescent="0.3">
      <c r="A65" s="2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</row>
    <row r="66" spans="1:7" ht="15.75" customHeight="1" x14ac:dyDescent="0.3">
      <c r="A66" s="2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</row>
    <row r="67" spans="1:7" ht="15.75" customHeight="1" x14ac:dyDescent="0.3">
      <c r="A67" s="2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</row>
    <row r="68" spans="1:7" ht="15.75" customHeight="1" x14ac:dyDescent="0.3">
      <c r="A68" s="2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</row>
    <row r="69" spans="1:7" ht="15.75" customHeight="1" x14ac:dyDescent="0.3">
      <c r="A69" s="2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</row>
    <row r="70" spans="1:7" ht="15.75" customHeight="1" x14ac:dyDescent="0.3">
      <c r="A70" s="2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</row>
    <row r="71" spans="1:7" ht="15.75" customHeight="1" x14ac:dyDescent="0.3">
      <c r="A71" s="2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</row>
    <row r="72" spans="1:7" ht="15.75" customHeight="1" x14ac:dyDescent="0.3">
      <c r="A72" s="2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</row>
    <row r="73" spans="1:7" ht="15.75" customHeight="1" x14ac:dyDescent="0.3">
      <c r="A73" s="2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</row>
    <row r="74" spans="1:7" ht="15.75" customHeight="1" x14ac:dyDescent="0.3">
      <c r="A74" s="2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</row>
    <row r="75" spans="1:7" ht="15.75" customHeight="1" x14ac:dyDescent="0.3">
      <c r="A75" s="2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</row>
    <row r="76" spans="1:7" ht="15.75" customHeight="1" x14ac:dyDescent="0.3">
      <c r="A76" s="2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</row>
    <row r="77" spans="1:7" ht="15.75" customHeight="1" x14ac:dyDescent="0.3">
      <c r="A77" s="2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</row>
    <row r="78" spans="1:7" ht="15.75" customHeight="1" x14ac:dyDescent="0.3">
      <c r="A78" s="2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</row>
    <row r="79" spans="1:7" ht="15.75" customHeight="1" x14ac:dyDescent="0.3">
      <c r="A79" s="2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</row>
    <row r="80" spans="1:7" ht="15.75" customHeight="1" x14ac:dyDescent="0.3">
      <c r="A80" s="2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</row>
    <row r="81" spans="1:7" ht="15.75" customHeight="1" x14ac:dyDescent="0.3">
      <c r="A81" s="2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</row>
    <row r="82" spans="1:7" ht="15.75" customHeight="1" x14ac:dyDescent="0.3">
      <c r="A82" s="2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</row>
    <row r="83" spans="1:7" ht="15.75" customHeight="1" x14ac:dyDescent="0.3">
      <c r="A83" s="2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</row>
    <row r="84" spans="1:7" ht="15.75" customHeight="1" x14ac:dyDescent="0.3">
      <c r="A84" s="2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</row>
    <row r="85" spans="1:7" ht="15.75" customHeight="1" x14ac:dyDescent="0.3">
      <c r="A85" s="2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</row>
    <row r="86" spans="1:7" ht="15.75" customHeight="1" x14ac:dyDescent="0.3">
      <c r="A86" s="2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</row>
    <row r="87" spans="1:7" ht="15.75" customHeight="1" x14ac:dyDescent="0.3">
      <c r="A87" s="2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</row>
    <row r="88" spans="1:7" ht="15.75" customHeight="1" x14ac:dyDescent="0.3">
      <c r="A88" s="2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</row>
    <row r="89" spans="1:7" ht="15.75" customHeight="1" x14ac:dyDescent="0.3">
      <c r="A89" s="2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</row>
    <row r="90" spans="1:7" ht="15.75" customHeight="1" x14ac:dyDescent="0.3">
      <c r="A90" s="2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</row>
    <row r="91" spans="1:7" ht="15.75" customHeight="1" x14ac:dyDescent="0.3">
      <c r="A91" s="2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</row>
    <row r="92" spans="1:7" ht="15.75" customHeight="1" x14ac:dyDescent="0.3">
      <c r="A92" s="2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</row>
    <row r="93" spans="1:7" ht="15.75" customHeight="1" x14ac:dyDescent="0.3">
      <c r="A93" s="2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</row>
    <row r="94" spans="1:7" ht="15.75" customHeight="1" x14ac:dyDescent="0.3">
      <c r="A94" s="2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</row>
    <row r="95" spans="1:7" ht="15.75" customHeight="1" x14ac:dyDescent="0.3">
      <c r="A95" s="2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</row>
    <row r="96" spans="1:7" ht="15.75" customHeight="1" x14ac:dyDescent="0.3">
      <c r="A96" s="2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</row>
    <row r="97" spans="1:7" ht="15.75" customHeight="1" x14ac:dyDescent="0.3">
      <c r="A97" s="2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</row>
    <row r="98" spans="1:7" ht="15.75" customHeight="1" x14ac:dyDescent="0.3">
      <c r="A98" s="2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</row>
    <row r="99" spans="1:7" ht="15.75" customHeight="1" x14ac:dyDescent="0.3">
      <c r="A99" s="2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</row>
    <row r="100" spans="1:7" ht="15.75" customHeight="1" x14ac:dyDescent="0.3">
      <c r="A100" s="2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</row>
    <row r="101" spans="1:7" ht="15.75" customHeight="1" x14ac:dyDescent="0.3">
      <c r="A101" s="2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</row>
    <row r="102" spans="1:7" ht="15.75" customHeight="1" x14ac:dyDescent="0.3">
      <c r="A102" s="2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</row>
    <row r="103" spans="1:7" ht="15.75" customHeight="1" x14ac:dyDescent="0.3">
      <c r="A103" s="2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</row>
    <row r="104" spans="1:7" ht="15.75" customHeight="1" x14ac:dyDescent="0.3">
      <c r="A104" s="2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</row>
    <row r="105" spans="1:7" ht="15.75" customHeight="1" x14ac:dyDescent="0.3">
      <c r="A105" s="2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</row>
    <row r="106" spans="1:7" ht="15.75" customHeight="1" x14ac:dyDescent="0.3">
      <c r="A106" s="2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</row>
    <row r="107" spans="1:7" ht="15.75" customHeight="1" x14ac:dyDescent="0.3">
      <c r="A107" s="2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</row>
    <row r="108" spans="1:7" ht="15.75" customHeight="1" x14ac:dyDescent="0.3">
      <c r="A108" s="2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</row>
    <row r="109" spans="1:7" ht="15.75" customHeight="1" x14ac:dyDescent="0.3">
      <c r="A109" s="2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</row>
    <row r="110" spans="1:7" ht="15.75" customHeight="1" x14ac:dyDescent="0.3">
      <c r="A110" s="2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</row>
    <row r="111" spans="1:7" ht="15.75" customHeight="1" x14ac:dyDescent="0.3">
      <c r="A111" s="2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</row>
    <row r="112" spans="1:7" ht="15.75" customHeight="1" x14ac:dyDescent="0.3">
      <c r="A112" s="2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</row>
    <row r="113" spans="1:7" ht="15.75" customHeight="1" x14ac:dyDescent="0.3">
      <c r="A113" s="2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</row>
    <row r="114" spans="1:7" ht="15.75" customHeight="1" x14ac:dyDescent="0.3">
      <c r="A114" s="2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</row>
    <row r="115" spans="1:7" ht="15.75" customHeight="1" x14ac:dyDescent="0.3">
      <c r="A115" s="2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</row>
    <row r="116" spans="1:7" ht="15.75" customHeight="1" x14ac:dyDescent="0.3">
      <c r="A116" s="2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</row>
    <row r="117" spans="1:7" ht="15.75" customHeight="1" x14ac:dyDescent="0.3">
      <c r="A117" s="2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</row>
    <row r="118" spans="1:7" ht="15.75" customHeight="1" x14ac:dyDescent="0.3">
      <c r="A118" s="2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</row>
    <row r="119" spans="1:7" ht="15.75" customHeight="1" x14ac:dyDescent="0.3">
      <c r="A119" s="2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</row>
    <row r="120" spans="1:7" ht="15.75" customHeight="1" x14ac:dyDescent="0.3">
      <c r="A120" s="2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</row>
    <row r="121" spans="1:7" ht="15.75" customHeight="1" x14ac:dyDescent="0.3">
      <c r="A121" s="2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</row>
    <row r="122" spans="1:7" ht="15.75" customHeight="1" x14ac:dyDescent="0.3">
      <c r="A122" s="2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</row>
    <row r="123" spans="1:7" ht="15.75" customHeight="1" x14ac:dyDescent="0.3">
      <c r="A123" s="2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</row>
    <row r="124" spans="1:7" ht="15.75" customHeight="1" x14ac:dyDescent="0.3">
      <c r="A124" s="2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</row>
    <row r="125" spans="1:7" ht="15.75" customHeight="1" x14ac:dyDescent="0.3">
      <c r="A125" s="2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</row>
    <row r="126" spans="1:7" ht="15.75" customHeight="1" x14ac:dyDescent="0.3">
      <c r="A126" s="2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</row>
    <row r="127" spans="1:7" ht="15.75" customHeight="1" x14ac:dyDescent="0.3">
      <c r="A127" s="2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</row>
    <row r="128" spans="1:7" ht="15.75" customHeight="1" x14ac:dyDescent="0.3">
      <c r="A128" s="2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</row>
    <row r="129" spans="1:7" ht="15.75" customHeight="1" x14ac:dyDescent="0.3">
      <c r="A129" s="2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</row>
    <row r="130" spans="1:7" ht="15.75" customHeight="1" x14ac:dyDescent="0.3">
      <c r="A130" s="2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</row>
    <row r="131" spans="1:7" ht="15.75" customHeight="1" x14ac:dyDescent="0.3">
      <c r="A131" s="2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</row>
    <row r="132" spans="1:7" ht="15.75" customHeight="1" x14ac:dyDescent="0.3">
      <c r="A132" s="2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</row>
    <row r="133" spans="1:7" ht="15.75" customHeight="1" x14ac:dyDescent="0.3">
      <c r="A133" s="2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</row>
    <row r="134" spans="1:7" ht="15.75" customHeight="1" x14ac:dyDescent="0.3">
      <c r="A134" s="2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</row>
    <row r="135" spans="1:7" ht="15.75" customHeight="1" x14ac:dyDescent="0.3">
      <c r="A135" s="2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</row>
    <row r="136" spans="1:7" ht="15.75" customHeight="1" x14ac:dyDescent="0.3">
      <c r="A136" s="2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</row>
    <row r="137" spans="1:7" ht="15.75" customHeight="1" x14ac:dyDescent="0.3">
      <c r="A137" s="2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</row>
    <row r="138" spans="1:7" ht="15.75" customHeight="1" x14ac:dyDescent="0.3">
      <c r="A138" s="2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</row>
    <row r="139" spans="1:7" ht="15.75" customHeight="1" x14ac:dyDescent="0.3">
      <c r="A139" s="2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</row>
    <row r="140" spans="1:7" ht="15.75" customHeight="1" x14ac:dyDescent="0.3">
      <c r="A140" s="2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</row>
    <row r="141" spans="1:7" ht="15.75" customHeight="1" x14ac:dyDescent="0.3">
      <c r="A141" s="2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</row>
    <row r="142" spans="1:7" ht="15.75" customHeight="1" x14ac:dyDescent="0.3">
      <c r="A142" s="2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</row>
    <row r="143" spans="1:7" ht="15.75" customHeight="1" x14ac:dyDescent="0.3">
      <c r="A143" s="2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</row>
    <row r="144" spans="1:7" ht="15.75" customHeight="1" x14ac:dyDescent="0.3">
      <c r="A144" s="2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</row>
    <row r="145" spans="1:7" ht="15.75" customHeight="1" x14ac:dyDescent="0.3">
      <c r="A145" s="2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</row>
    <row r="146" spans="1:7" ht="15.75" customHeight="1" x14ac:dyDescent="0.3">
      <c r="A146" s="2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</row>
    <row r="147" spans="1:7" ht="15.75" customHeight="1" x14ac:dyDescent="0.3">
      <c r="A147" s="2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</row>
    <row r="148" spans="1:7" ht="15.75" customHeight="1" x14ac:dyDescent="0.3">
      <c r="A148" s="2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</row>
    <row r="149" spans="1:7" ht="15.75" customHeight="1" x14ac:dyDescent="0.3">
      <c r="A149" s="2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</row>
    <row r="150" spans="1:7" ht="15.75" customHeight="1" x14ac:dyDescent="0.3">
      <c r="A150" s="2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</row>
    <row r="151" spans="1:7" ht="15.75" customHeight="1" x14ac:dyDescent="0.3">
      <c r="A151" s="2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</row>
    <row r="152" spans="1:7" ht="15.75" customHeight="1" x14ac:dyDescent="0.3">
      <c r="A152" s="2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</row>
    <row r="153" spans="1:7" ht="15.75" customHeight="1" x14ac:dyDescent="0.3">
      <c r="A153" s="2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</row>
    <row r="154" spans="1:7" ht="15.75" customHeight="1" x14ac:dyDescent="0.3">
      <c r="A154" s="2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</row>
    <row r="155" spans="1:7" ht="15.75" customHeight="1" x14ac:dyDescent="0.3">
      <c r="A155" s="2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</row>
    <row r="156" spans="1:7" ht="15.75" customHeight="1" x14ac:dyDescent="0.3">
      <c r="A156" s="2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</row>
    <row r="157" spans="1:7" ht="15.75" customHeight="1" x14ac:dyDescent="0.3">
      <c r="A157" s="2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</row>
    <row r="158" spans="1:7" ht="15.75" customHeight="1" x14ac:dyDescent="0.3">
      <c r="A158" s="2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</row>
    <row r="159" spans="1:7" ht="15.75" customHeight="1" x14ac:dyDescent="0.3">
      <c r="A159" s="2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</row>
    <row r="160" spans="1:7" ht="15.75" customHeight="1" x14ac:dyDescent="0.3">
      <c r="A160" s="2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</row>
    <row r="161" spans="1:7" ht="15.75" customHeight="1" x14ac:dyDescent="0.3">
      <c r="A161" s="2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</row>
    <row r="162" spans="1:7" ht="15.75" customHeight="1" x14ac:dyDescent="0.3">
      <c r="A162" s="2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</row>
    <row r="163" spans="1:7" ht="15.75" customHeight="1" x14ac:dyDescent="0.3">
      <c r="A163" s="2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</row>
    <row r="164" spans="1:7" ht="15.75" customHeight="1" x14ac:dyDescent="0.3">
      <c r="A164" s="2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</row>
    <row r="165" spans="1:7" ht="15.75" customHeight="1" x14ac:dyDescent="0.3">
      <c r="A165" s="2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</row>
    <row r="166" spans="1:7" ht="15.75" customHeight="1" x14ac:dyDescent="0.3">
      <c r="A166" s="2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</row>
    <row r="167" spans="1:7" ht="15.75" customHeight="1" x14ac:dyDescent="0.3">
      <c r="A167" s="2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</row>
    <row r="168" spans="1:7" ht="15.75" customHeight="1" x14ac:dyDescent="0.3">
      <c r="A168" s="2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</row>
    <row r="169" spans="1:7" ht="15.75" customHeight="1" x14ac:dyDescent="0.3">
      <c r="A169" s="2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</row>
    <row r="170" spans="1:7" ht="15.75" customHeight="1" x14ac:dyDescent="0.3">
      <c r="A170" s="2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</row>
    <row r="171" spans="1:7" ht="15.75" customHeight="1" x14ac:dyDescent="0.3">
      <c r="A171" s="2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</row>
    <row r="172" spans="1:7" ht="15.75" customHeight="1" x14ac:dyDescent="0.3">
      <c r="A172" s="2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</row>
    <row r="173" spans="1:7" ht="15.75" customHeight="1" x14ac:dyDescent="0.3">
      <c r="A173" s="2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</row>
    <row r="174" spans="1:7" ht="15.75" customHeight="1" x14ac:dyDescent="0.3">
      <c r="A174" s="2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</row>
    <row r="175" spans="1:7" ht="15.75" customHeight="1" x14ac:dyDescent="0.3">
      <c r="A175" s="2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</row>
    <row r="176" spans="1:7" ht="15.75" customHeight="1" x14ac:dyDescent="0.3">
      <c r="A176" s="2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</row>
    <row r="177" spans="1:7" ht="15.75" customHeight="1" x14ac:dyDescent="0.3">
      <c r="A177" s="2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</row>
    <row r="178" spans="1:7" ht="15.75" customHeight="1" x14ac:dyDescent="0.3">
      <c r="A178" s="2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</row>
    <row r="179" spans="1:7" ht="15.75" customHeight="1" x14ac:dyDescent="0.3">
      <c r="A179" s="2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</row>
    <row r="180" spans="1:7" ht="15.75" customHeight="1" x14ac:dyDescent="0.3">
      <c r="A180" s="2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</row>
    <row r="181" spans="1:7" ht="15.75" customHeight="1" x14ac:dyDescent="0.3">
      <c r="A181" s="2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</row>
    <row r="182" spans="1:7" ht="15.75" customHeight="1" x14ac:dyDescent="0.3">
      <c r="A182" s="2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</row>
    <row r="183" spans="1:7" ht="15.75" customHeight="1" x14ac:dyDescent="0.3">
      <c r="A183" s="2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</row>
    <row r="184" spans="1:7" ht="15.75" customHeight="1" x14ac:dyDescent="0.3">
      <c r="A184" s="2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</row>
    <row r="185" spans="1:7" ht="15.75" customHeight="1" x14ac:dyDescent="0.3">
      <c r="A185" s="2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</row>
    <row r="186" spans="1:7" ht="15.75" customHeight="1" x14ac:dyDescent="0.3">
      <c r="A186" s="2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</row>
    <row r="187" spans="1:7" ht="15.75" customHeight="1" x14ac:dyDescent="0.3">
      <c r="A187" s="2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</row>
    <row r="188" spans="1:7" ht="15.75" customHeight="1" x14ac:dyDescent="0.3">
      <c r="A188" s="2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</row>
    <row r="189" spans="1:7" ht="15.75" customHeight="1" x14ac:dyDescent="0.3">
      <c r="A189" s="2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</row>
    <row r="190" spans="1:7" ht="15.75" customHeight="1" x14ac:dyDescent="0.3">
      <c r="A190" s="2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</row>
    <row r="191" spans="1:7" ht="15.75" customHeight="1" x14ac:dyDescent="0.3">
      <c r="A191" s="2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</row>
    <row r="192" spans="1:7" ht="15.75" customHeight="1" x14ac:dyDescent="0.3">
      <c r="A192" s="2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</row>
    <row r="193" spans="1:7" ht="15.75" customHeight="1" x14ac:dyDescent="0.3">
      <c r="A193" s="2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</row>
    <row r="194" spans="1:7" ht="15.75" customHeight="1" x14ac:dyDescent="0.3">
      <c r="A194" s="2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</row>
    <row r="195" spans="1:7" ht="15.75" customHeight="1" x14ac:dyDescent="0.3">
      <c r="A195" s="2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</row>
    <row r="196" spans="1:7" ht="15.75" customHeight="1" x14ac:dyDescent="0.3">
      <c r="A196" s="2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</row>
    <row r="197" spans="1:7" ht="15.75" customHeight="1" x14ac:dyDescent="0.3">
      <c r="A197" s="2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</row>
    <row r="198" spans="1:7" ht="15.75" customHeight="1" x14ac:dyDescent="0.3">
      <c r="A198" s="2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</row>
    <row r="199" spans="1:7" ht="15.75" customHeight="1" x14ac:dyDescent="0.3">
      <c r="A199" s="2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</row>
    <row r="200" spans="1:7" ht="15.75" customHeight="1" x14ac:dyDescent="0.3">
      <c r="A200" s="2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</row>
    <row r="201" spans="1:7" ht="15.75" customHeight="1" x14ac:dyDescent="0.3">
      <c r="A201" s="2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</row>
    <row r="202" spans="1:7" ht="15.75" customHeight="1" x14ac:dyDescent="0.3"/>
    <row r="203" spans="1:7" ht="15.75" customHeight="1" x14ac:dyDescent="0.3"/>
    <row r="204" spans="1:7" ht="15.75" customHeight="1" x14ac:dyDescent="0.3"/>
    <row r="205" spans="1:7" ht="15.75" customHeight="1" x14ac:dyDescent="0.3"/>
    <row r="206" spans="1:7" ht="15.75" customHeight="1" x14ac:dyDescent="0.3"/>
    <row r="207" spans="1:7" ht="15.75" customHeight="1" x14ac:dyDescent="0.3"/>
    <row r="208" spans="1: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4140625" defaultRowHeight="15" customHeight="1" x14ac:dyDescent="0.3"/>
  <cols>
    <col min="1" max="1" width="17.5546875" customWidth="1"/>
    <col min="2" max="2" width="16.44140625" customWidth="1"/>
    <col min="3" max="26" width="8.6640625" customWidth="1"/>
  </cols>
  <sheetData>
    <row r="1" spans="1:7" ht="14.4" x14ac:dyDescent="0.3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 spans="1:7" ht="14.4" x14ac:dyDescent="0.3">
      <c r="A2" s="2" t="s">
        <v>19</v>
      </c>
      <c r="B2" s="2" t="s">
        <v>597</v>
      </c>
      <c r="C2" s="2" t="s">
        <v>315</v>
      </c>
      <c r="D2" s="2" t="s">
        <v>598</v>
      </c>
      <c r="E2" s="2">
        <v>150000</v>
      </c>
      <c r="F2" s="2" t="s">
        <v>599</v>
      </c>
      <c r="G2" s="2" t="s">
        <v>41</v>
      </c>
    </row>
    <row r="3" spans="1:7" ht="14.4" x14ac:dyDescent="0.3">
      <c r="A3" s="2" t="s">
        <v>25</v>
      </c>
      <c r="B3" s="2" t="s">
        <v>600</v>
      </c>
      <c r="C3" s="2" t="s">
        <v>44</v>
      </c>
      <c r="D3" s="2" t="s">
        <v>601</v>
      </c>
      <c r="E3" s="2">
        <v>200000</v>
      </c>
      <c r="F3" s="2" t="s">
        <v>602</v>
      </c>
      <c r="G3" s="2" t="s">
        <v>603</v>
      </c>
    </row>
    <row r="4" spans="1:7" ht="14.4" x14ac:dyDescent="0.3">
      <c r="A4" s="2" t="s">
        <v>31</v>
      </c>
      <c r="B4" s="2" t="s">
        <v>604</v>
      </c>
      <c r="C4" s="2" t="s">
        <v>230</v>
      </c>
      <c r="D4" s="2" t="s">
        <v>605</v>
      </c>
      <c r="E4" s="2">
        <v>250000</v>
      </c>
      <c r="F4" s="2" t="s">
        <v>606</v>
      </c>
      <c r="G4" s="2" t="s">
        <v>607</v>
      </c>
    </row>
    <row r="5" spans="1:7" ht="14.4" x14ac:dyDescent="0.3">
      <c r="A5" s="2" t="s">
        <v>38</v>
      </c>
      <c r="B5" s="2" t="s">
        <v>608</v>
      </c>
      <c r="C5" s="2" t="s">
        <v>588</v>
      </c>
      <c r="D5" s="2" t="s">
        <v>609</v>
      </c>
      <c r="E5" s="2">
        <v>180000</v>
      </c>
      <c r="F5" s="2" t="s">
        <v>610</v>
      </c>
      <c r="G5" s="2" t="s">
        <v>611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9783-3071-41CA-8D84-3B9E82170465}">
  <dimension ref="A1:N340"/>
  <sheetViews>
    <sheetView workbookViewId="0">
      <selection activeCell="Q3" sqref="Q3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44140625" bestFit="1" customWidth="1"/>
    <col min="13" max="13" width="17.77734375" bestFit="1" customWidth="1"/>
  </cols>
  <sheetData>
    <row r="1" spans="1:14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612</v>
      </c>
      <c r="M1" s="24" t="s">
        <v>12</v>
      </c>
      <c r="N1" t="s">
        <v>650</v>
      </c>
    </row>
    <row r="2" spans="1:14" x14ac:dyDescent="0.3">
      <c r="A2" s="14" t="s">
        <v>13</v>
      </c>
      <c r="B2" s="14" t="s">
        <v>14</v>
      </c>
      <c r="C2" s="15">
        <v>45649</v>
      </c>
      <c r="D2" s="14" t="s">
        <v>16</v>
      </c>
      <c r="E2" s="14" t="s">
        <v>17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14" t="s">
        <v>62</v>
      </c>
      <c r="M2" s="14" t="s">
        <v>19</v>
      </c>
    </row>
    <row r="3" spans="1:14" x14ac:dyDescent="0.3">
      <c r="A3" s="18" t="s">
        <v>13</v>
      </c>
      <c r="B3" s="18" t="s">
        <v>14</v>
      </c>
      <c r="C3" s="19">
        <v>45649</v>
      </c>
      <c r="D3" s="18" t="s">
        <v>16</v>
      </c>
      <c r="E3" s="18" t="s">
        <v>17</v>
      </c>
      <c r="F3" s="9">
        <v>1461</v>
      </c>
      <c r="G3" s="9">
        <v>184</v>
      </c>
      <c r="H3" s="9">
        <v>344</v>
      </c>
      <c r="I3" s="9">
        <v>21915</v>
      </c>
      <c r="J3" s="9">
        <v>21675</v>
      </c>
      <c r="K3" s="9">
        <v>15</v>
      </c>
      <c r="L3" s="18" t="s">
        <v>613</v>
      </c>
      <c r="M3" s="18" t="s">
        <v>19</v>
      </c>
    </row>
    <row r="4" spans="1:14" x14ac:dyDescent="0.3">
      <c r="A4" s="14" t="s">
        <v>20</v>
      </c>
      <c r="B4" s="14" t="s">
        <v>14</v>
      </c>
      <c r="C4" s="15">
        <v>45750</v>
      </c>
      <c r="D4" s="14" t="s">
        <v>22</v>
      </c>
      <c r="E4" s="14" t="s">
        <v>23</v>
      </c>
      <c r="F4" s="8">
        <v>4054</v>
      </c>
      <c r="G4" s="8">
        <v>389</v>
      </c>
      <c r="H4" s="8">
        <v>493</v>
      </c>
      <c r="I4" s="8">
        <v>64864</v>
      </c>
      <c r="J4" s="8">
        <v>64383</v>
      </c>
      <c r="K4" s="8">
        <v>117</v>
      </c>
      <c r="L4" s="14" t="s">
        <v>30</v>
      </c>
      <c r="M4" s="14" t="s">
        <v>25</v>
      </c>
    </row>
    <row r="5" spans="1:14" x14ac:dyDescent="0.3">
      <c r="A5" s="18" t="s">
        <v>20</v>
      </c>
      <c r="B5" s="18" t="s">
        <v>14</v>
      </c>
      <c r="C5" s="19">
        <v>45750</v>
      </c>
      <c r="D5" s="18" t="s">
        <v>22</v>
      </c>
      <c r="E5" s="18" t="s">
        <v>23</v>
      </c>
      <c r="F5" s="9">
        <v>4054</v>
      </c>
      <c r="G5" s="9">
        <v>389</v>
      </c>
      <c r="H5" s="9">
        <v>493</v>
      </c>
      <c r="I5" s="9">
        <v>64864</v>
      </c>
      <c r="J5" s="9">
        <v>64383</v>
      </c>
      <c r="K5" s="9">
        <v>117</v>
      </c>
      <c r="L5" s="18" t="s">
        <v>614</v>
      </c>
      <c r="M5" s="18" t="s">
        <v>25</v>
      </c>
    </row>
    <row r="6" spans="1:14" x14ac:dyDescent="0.3">
      <c r="A6" s="14" t="s">
        <v>26</v>
      </c>
      <c r="B6" s="14" t="s">
        <v>27</v>
      </c>
      <c r="C6" s="15">
        <v>45789</v>
      </c>
      <c r="D6" s="14" t="s">
        <v>16</v>
      </c>
      <c r="E6" s="14" t="s">
        <v>29</v>
      </c>
      <c r="F6" s="8">
        <v>2795</v>
      </c>
      <c r="G6" s="8">
        <v>105</v>
      </c>
      <c r="H6" s="8">
        <v>49</v>
      </c>
      <c r="I6" s="8">
        <v>53105</v>
      </c>
      <c r="J6" s="8">
        <v>52307</v>
      </c>
      <c r="K6" s="8">
        <v>204</v>
      </c>
      <c r="L6" s="14" t="s">
        <v>30</v>
      </c>
      <c r="M6" s="14" t="s">
        <v>31</v>
      </c>
    </row>
    <row r="7" spans="1:14" x14ac:dyDescent="0.3">
      <c r="A7" s="18" t="s">
        <v>32</v>
      </c>
      <c r="B7" s="18" t="s">
        <v>33</v>
      </c>
      <c r="C7" s="19">
        <v>45516</v>
      </c>
      <c r="D7" s="18" t="s">
        <v>35</v>
      </c>
      <c r="E7" s="18" t="s">
        <v>36</v>
      </c>
      <c r="F7" s="9">
        <v>2404</v>
      </c>
      <c r="G7" s="9">
        <v>363</v>
      </c>
      <c r="H7" s="9">
        <v>138</v>
      </c>
      <c r="I7" s="9">
        <v>19232</v>
      </c>
      <c r="J7" s="9">
        <v>18636</v>
      </c>
      <c r="K7" s="9">
        <v>128</v>
      </c>
      <c r="L7" s="18" t="s">
        <v>37</v>
      </c>
      <c r="M7" s="18" t="s">
        <v>38</v>
      </c>
    </row>
    <row r="8" spans="1:14" x14ac:dyDescent="0.3">
      <c r="A8" s="14" t="s">
        <v>39</v>
      </c>
      <c r="B8" s="14" t="s">
        <v>27</v>
      </c>
      <c r="C8" s="15">
        <v>45469</v>
      </c>
      <c r="D8" s="14" t="s">
        <v>16</v>
      </c>
      <c r="E8" s="14" t="s">
        <v>29</v>
      </c>
      <c r="F8" s="8">
        <v>3557</v>
      </c>
      <c r="G8" s="8">
        <v>687</v>
      </c>
      <c r="H8" s="8">
        <v>424</v>
      </c>
      <c r="I8" s="8">
        <v>71140</v>
      </c>
      <c r="J8" s="8">
        <v>70701</v>
      </c>
      <c r="K8" s="8">
        <v>224</v>
      </c>
      <c r="L8" s="14" t="s">
        <v>37</v>
      </c>
      <c r="M8" s="14" t="s">
        <v>19</v>
      </c>
    </row>
    <row r="9" spans="1:14" x14ac:dyDescent="0.3">
      <c r="A9" s="18" t="s">
        <v>39</v>
      </c>
      <c r="B9" s="18" t="s">
        <v>27</v>
      </c>
      <c r="C9" s="19">
        <v>45469</v>
      </c>
      <c r="D9" s="18" t="s">
        <v>16</v>
      </c>
      <c r="E9" s="18" t="s">
        <v>29</v>
      </c>
      <c r="F9" s="9">
        <v>3557</v>
      </c>
      <c r="G9" s="9">
        <v>687</v>
      </c>
      <c r="H9" s="9">
        <v>424</v>
      </c>
      <c r="I9" s="9">
        <v>71140</v>
      </c>
      <c r="J9" s="9">
        <v>70701</v>
      </c>
      <c r="K9" s="9">
        <v>224</v>
      </c>
      <c r="L9" s="18" t="s">
        <v>30</v>
      </c>
      <c r="M9" s="18" t="s">
        <v>19</v>
      </c>
    </row>
    <row r="10" spans="1:14" x14ac:dyDescent="0.3">
      <c r="A10" s="14" t="s">
        <v>42</v>
      </c>
      <c r="B10" s="14" t="s">
        <v>43</v>
      </c>
      <c r="C10" s="15">
        <v>45596</v>
      </c>
      <c r="D10" s="14" t="s">
        <v>45</v>
      </c>
      <c r="E10" s="14" t="s">
        <v>46</v>
      </c>
      <c r="F10" s="8">
        <v>2945</v>
      </c>
      <c r="G10" s="8">
        <v>930</v>
      </c>
      <c r="H10" s="8">
        <v>355</v>
      </c>
      <c r="I10" s="8">
        <v>23560</v>
      </c>
      <c r="J10" s="8">
        <v>23275</v>
      </c>
      <c r="K10" s="8">
        <v>256</v>
      </c>
      <c r="L10" s="14" t="s">
        <v>30</v>
      </c>
      <c r="M10" s="14" t="s">
        <v>25</v>
      </c>
    </row>
    <row r="11" spans="1:14" x14ac:dyDescent="0.3">
      <c r="A11" s="18" t="s">
        <v>47</v>
      </c>
      <c r="B11" s="18" t="s">
        <v>14</v>
      </c>
      <c r="C11" s="19">
        <v>45467</v>
      </c>
      <c r="D11" s="18" t="s">
        <v>45</v>
      </c>
      <c r="E11" s="18" t="s">
        <v>49</v>
      </c>
      <c r="F11" s="9">
        <v>3860</v>
      </c>
      <c r="G11" s="9">
        <v>201</v>
      </c>
      <c r="H11" s="9">
        <v>279</v>
      </c>
      <c r="I11" s="9">
        <v>61760</v>
      </c>
      <c r="J11" s="9">
        <v>61660</v>
      </c>
      <c r="K11" s="9">
        <v>235</v>
      </c>
      <c r="L11" s="18" t="s">
        <v>30</v>
      </c>
      <c r="M11" s="18" t="s">
        <v>25</v>
      </c>
    </row>
    <row r="12" spans="1:14" x14ac:dyDescent="0.3">
      <c r="A12" s="14" t="s">
        <v>50</v>
      </c>
      <c r="B12" s="14" t="s">
        <v>27</v>
      </c>
      <c r="C12" s="15">
        <v>45486</v>
      </c>
      <c r="D12" s="14" t="s">
        <v>52</v>
      </c>
      <c r="E12" s="14" t="s">
        <v>53</v>
      </c>
      <c r="F12" s="8">
        <v>3929</v>
      </c>
      <c r="G12" s="8">
        <v>262</v>
      </c>
      <c r="H12" s="8">
        <v>278</v>
      </c>
      <c r="I12" s="8">
        <v>43219</v>
      </c>
      <c r="J12" s="8">
        <v>42841</v>
      </c>
      <c r="K12" s="8">
        <v>39</v>
      </c>
      <c r="L12" s="14" t="s">
        <v>37</v>
      </c>
      <c r="M12" s="14" t="s">
        <v>38</v>
      </c>
    </row>
    <row r="13" spans="1:14" x14ac:dyDescent="0.3">
      <c r="A13" s="18" t="s">
        <v>54</v>
      </c>
      <c r="B13" s="18" t="s">
        <v>43</v>
      </c>
      <c r="C13" s="19">
        <v>45534</v>
      </c>
      <c r="D13" s="18" t="s">
        <v>22</v>
      </c>
      <c r="E13" s="18" t="s">
        <v>56</v>
      </c>
      <c r="F13" s="9">
        <v>3784</v>
      </c>
      <c r="G13" s="9">
        <v>808</v>
      </c>
      <c r="H13" s="9">
        <v>404</v>
      </c>
      <c r="I13" s="9">
        <v>56760</v>
      </c>
      <c r="J13" s="9">
        <v>56343</v>
      </c>
      <c r="K13" s="9">
        <v>131</v>
      </c>
      <c r="L13" s="18" t="s">
        <v>30</v>
      </c>
      <c r="M13" s="18" t="s">
        <v>25</v>
      </c>
    </row>
    <row r="14" spans="1:14" x14ac:dyDescent="0.3">
      <c r="A14" s="14" t="s">
        <v>57</v>
      </c>
      <c r="B14" s="14" t="s">
        <v>43</v>
      </c>
      <c r="C14" s="15">
        <v>45727</v>
      </c>
      <c r="D14" s="14" t="s">
        <v>52</v>
      </c>
      <c r="E14" s="14" t="s">
        <v>59</v>
      </c>
      <c r="F14" s="8">
        <v>4241</v>
      </c>
      <c r="G14" s="8">
        <v>902</v>
      </c>
      <c r="H14" s="8">
        <v>47</v>
      </c>
      <c r="I14" s="8">
        <v>72097</v>
      </c>
      <c r="J14" s="8">
        <v>71598</v>
      </c>
      <c r="K14" s="8">
        <v>167</v>
      </c>
      <c r="L14" s="14" t="s">
        <v>30</v>
      </c>
      <c r="M14" s="14" t="s">
        <v>25</v>
      </c>
    </row>
    <row r="15" spans="1:14" x14ac:dyDescent="0.3">
      <c r="A15" s="18" t="s">
        <v>60</v>
      </c>
      <c r="B15" s="18" t="s">
        <v>33</v>
      </c>
      <c r="C15" s="19">
        <v>45690</v>
      </c>
      <c r="D15" s="18" t="s">
        <v>35</v>
      </c>
      <c r="E15" s="18" t="s">
        <v>36</v>
      </c>
      <c r="F15" s="9">
        <v>1792</v>
      </c>
      <c r="G15" s="9">
        <v>614</v>
      </c>
      <c r="H15" s="9">
        <v>497</v>
      </c>
      <c r="I15" s="9">
        <v>25088</v>
      </c>
      <c r="J15" s="9">
        <v>24675</v>
      </c>
      <c r="K15" s="9">
        <v>65</v>
      </c>
      <c r="L15" s="18" t="s">
        <v>62</v>
      </c>
      <c r="M15" s="18" t="s">
        <v>38</v>
      </c>
    </row>
    <row r="16" spans="1:14" x14ac:dyDescent="0.3">
      <c r="A16" s="14" t="s">
        <v>63</v>
      </c>
      <c r="B16" s="14" t="s">
        <v>43</v>
      </c>
      <c r="C16" s="15">
        <v>45494</v>
      </c>
      <c r="D16" s="14" t="s">
        <v>16</v>
      </c>
      <c r="E16" s="14" t="s">
        <v>65</v>
      </c>
      <c r="F16" s="8">
        <v>1946</v>
      </c>
      <c r="G16" s="8">
        <v>686</v>
      </c>
      <c r="H16" s="8">
        <v>377</v>
      </c>
      <c r="I16" s="8">
        <v>23352</v>
      </c>
      <c r="J16" s="8">
        <v>22982</v>
      </c>
      <c r="K16" s="8">
        <v>213</v>
      </c>
      <c r="L16" s="14" t="s">
        <v>62</v>
      </c>
      <c r="M16" s="14" t="s">
        <v>31</v>
      </c>
    </row>
    <row r="17" spans="1:13" x14ac:dyDescent="0.3">
      <c r="A17" s="18" t="s">
        <v>66</v>
      </c>
      <c r="B17" s="18" t="s">
        <v>27</v>
      </c>
      <c r="C17" s="19">
        <v>45614</v>
      </c>
      <c r="D17" s="18" t="s">
        <v>45</v>
      </c>
      <c r="E17" s="18" t="s">
        <v>68</v>
      </c>
      <c r="F17" s="9">
        <v>1171</v>
      </c>
      <c r="G17" s="9">
        <v>286</v>
      </c>
      <c r="H17" s="9">
        <v>231</v>
      </c>
      <c r="I17" s="9">
        <v>22249</v>
      </c>
      <c r="J17" s="9">
        <v>21282</v>
      </c>
      <c r="K17" s="9">
        <v>114</v>
      </c>
      <c r="L17" s="18" t="s">
        <v>37</v>
      </c>
      <c r="M17" s="18" t="s">
        <v>19</v>
      </c>
    </row>
    <row r="18" spans="1:13" x14ac:dyDescent="0.3">
      <c r="A18" s="14" t="s">
        <v>69</v>
      </c>
      <c r="B18" s="14" t="s">
        <v>43</v>
      </c>
      <c r="C18" s="15">
        <v>45704</v>
      </c>
      <c r="D18" s="14" t="s">
        <v>35</v>
      </c>
      <c r="E18" s="14" t="s">
        <v>71</v>
      </c>
      <c r="F18" s="8">
        <v>4242</v>
      </c>
      <c r="G18" s="8">
        <v>555</v>
      </c>
      <c r="H18" s="8">
        <v>131</v>
      </c>
      <c r="I18" s="8">
        <v>33936</v>
      </c>
      <c r="J18" s="8">
        <v>33802</v>
      </c>
      <c r="K18" s="8">
        <v>265</v>
      </c>
      <c r="L18" s="14" t="s">
        <v>62</v>
      </c>
      <c r="M18" s="14"/>
    </row>
    <row r="19" spans="1:13" x14ac:dyDescent="0.3">
      <c r="A19" s="18" t="s">
        <v>72</v>
      </c>
      <c r="B19" s="18" t="s">
        <v>43</v>
      </c>
      <c r="C19" s="19">
        <v>45589</v>
      </c>
      <c r="D19" s="18" t="s">
        <v>74</v>
      </c>
      <c r="E19" s="18" t="s">
        <v>75</v>
      </c>
      <c r="F19" s="9">
        <v>3888</v>
      </c>
      <c r="G19" s="9">
        <v>604</v>
      </c>
      <c r="H19" s="9">
        <v>128</v>
      </c>
      <c r="I19" s="9">
        <v>77760</v>
      </c>
      <c r="J19" s="9">
        <v>77167</v>
      </c>
      <c r="K19" s="9">
        <v>20</v>
      </c>
      <c r="L19" s="18" t="s">
        <v>62</v>
      </c>
      <c r="M19" s="18" t="s">
        <v>19</v>
      </c>
    </row>
    <row r="20" spans="1:13" x14ac:dyDescent="0.3">
      <c r="A20" s="14" t="s">
        <v>76</v>
      </c>
      <c r="B20" s="14" t="s">
        <v>43</v>
      </c>
      <c r="C20" s="15">
        <v>45530</v>
      </c>
      <c r="D20" s="14" t="s">
        <v>22</v>
      </c>
      <c r="E20" s="14" t="s">
        <v>56</v>
      </c>
      <c r="F20" s="8">
        <v>3452</v>
      </c>
      <c r="G20" s="8">
        <v>377</v>
      </c>
      <c r="H20" s="8">
        <v>360</v>
      </c>
      <c r="I20" s="8">
        <v>55232</v>
      </c>
      <c r="J20" s="8">
        <v>55075</v>
      </c>
      <c r="K20" s="8">
        <v>87</v>
      </c>
      <c r="L20" s="14" t="s">
        <v>62</v>
      </c>
      <c r="M20" s="14" t="s">
        <v>31</v>
      </c>
    </row>
    <row r="21" spans="1:13" x14ac:dyDescent="0.3">
      <c r="A21" s="18" t="s">
        <v>78</v>
      </c>
      <c r="B21" s="18" t="s">
        <v>43</v>
      </c>
      <c r="C21" s="19">
        <v>45782</v>
      </c>
      <c r="D21" s="18" t="s">
        <v>22</v>
      </c>
      <c r="E21" s="18" t="s">
        <v>56</v>
      </c>
      <c r="F21" s="9">
        <v>4441</v>
      </c>
      <c r="G21" s="9">
        <v>511</v>
      </c>
      <c r="H21" s="9">
        <v>70</v>
      </c>
      <c r="I21" s="9">
        <v>53292</v>
      </c>
      <c r="J21" s="9">
        <v>53082</v>
      </c>
      <c r="K21" s="9">
        <v>159</v>
      </c>
      <c r="L21" s="18" t="s">
        <v>37</v>
      </c>
      <c r="M21" s="18" t="s">
        <v>38</v>
      </c>
    </row>
    <row r="22" spans="1:13" x14ac:dyDescent="0.3">
      <c r="A22" s="14" t="s">
        <v>80</v>
      </c>
      <c r="B22" s="14" t="s">
        <v>33</v>
      </c>
      <c r="C22" s="15">
        <v>45523</v>
      </c>
      <c r="D22" s="14" t="s">
        <v>16</v>
      </c>
      <c r="E22" s="14" t="s">
        <v>82</v>
      </c>
      <c r="F22" s="8">
        <v>3000</v>
      </c>
      <c r="G22" s="8">
        <v>382</v>
      </c>
      <c r="H22" s="8">
        <v>325</v>
      </c>
      <c r="I22" s="8">
        <v>36000</v>
      </c>
      <c r="J22" s="8">
        <v>35819</v>
      </c>
      <c r="K22" s="8">
        <v>19</v>
      </c>
      <c r="L22" s="14" t="s">
        <v>62</v>
      </c>
      <c r="M22" s="14" t="s">
        <v>19</v>
      </c>
    </row>
    <row r="23" spans="1:13" x14ac:dyDescent="0.3">
      <c r="A23" s="18" t="s">
        <v>83</v>
      </c>
      <c r="B23" s="18" t="s">
        <v>33</v>
      </c>
      <c r="C23" s="19">
        <v>45466</v>
      </c>
      <c r="D23" s="18" t="s">
        <v>74</v>
      </c>
      <c r="E23" s="18" t="s">
        <v>85</v>
      </c>
      <c r="F23" s="9">
        <v>1071</v>
      </c>
      <c r="G23" s="9">
        <v>519</v>
      </c>
      <c r="H23" s="9">
        <v>22</v>
      </c>
      <c r="I23" s="9">
        <v>16065</v>
      </c>
      <c r="J23" s="9">
        <v>15865</v>
      </c>
      <c r="K23" s="9">
        <v>103</v>
      </c>
      <c r="L23" s="18" t="s">
        <v>30</v>
      </c>
      <c r="M23" s="18" t="s">
        <v>38</v>
      </c>
    </row>
    <row r="24" spans="1:13" x14ac:dyDescent="0.3">
      <c r="A24" s="14" t="s">
        <v>86</v>
      </c>
      <c r="B24" s="14" t="s">
        <v>33</v>
      </c>
      <c r="C24" s="15">
        <v>45544</v>
      </c>
      <c r="D24" s="14" t="s">
        <v>45</v>
      </c>
      <c r="E24" s="14" t="s">
        <v>88</v>
      </c>
      <c r="F24" s="8">
        <v>4054</v>
      </c>
      <c r="G24" s="8">
        <v>488</v>
      </c>
      <c r="H24" s="8">
        <v>373</v>
      </c>
      <c r="I24" s="8">
        <v>77026</v>
      </c>
      <c r="J24" s="8">
        <v>76881</v>
      </c>
      <c r="K24" s="8">
        <v>25</v>
      </c>
      <c r="L24" s="14" t="s">
        <v>30</v>
      </c>
      <c r="M24" s="14" t="s">
        <v>19</v>
      </c>
    </row>
    <row r="25" spans="1:13" x14ac:dyDescent="0.3">
      <c r="A25" s="18" t="s">
        <v>89</v>
      </c>
      <c r="B25" s="18" t="s">
        <v>33</v>
      </c>
      <c r="C25" s="19">
        <v>45661</v>
      </c>
      <c r="D25" s="18" t="s">
        <v>16</v>
      </c>
      <c r="E25" s="18" t="s">
        <v>82</v>
      </c>
      <c r="F25" s="9">
        <v>4838</v>
      </c>
      <c r="G25" s="9">
        <v>640</v>
      </c>
      <c r="H25" s="9">
        <v>128</v>
      </c>
      <c r="I25" s="9">
        <v>72570</v>
      </c>
      <c r="J25" s="9">
        <v>72396</v>
      </c>
      <c r="K25" s="9">
        <v>83</v>
      </c>
      <c r="L25" s="18" t="s">
        <v>62</v>
      </c>
      <c r="M25" s="18" t="s">
        <v>38</v>
      </c>
    </row>
    <row r="26" spans="1:13" x14ac:dyDescent="0.3">
      <c r="A26" s="14" t="s">
        <v>91</v>
      </c>
      <c r="B26" s="14" t="s">
        <v>43</v>
      </c>
      <c r="C26" s="15">
        <v>45715</v>
      </c>
      <c r="D26" s="14" t="s">
        <v>22</v>
      </c>
      <c r="E26" s="14" t="s">
        <v>56</v>
      </c>
      <c r="F26" s="8">
        <v>1570</v>
      </c>
      <c r="G26" s="8">
        <v>187</v>
      </c>
      <c r="H26" s="8">
        <v>260</v>
      </c>
      <c r="I26" s="8">
        <v>25120</v>
      </c>
      <c r="J26" s="8">
        <v>24613</v>
      </c>
      <c r="K26" s="8">
        <v>133</v>
      </c>
      <c r="L26" s="14" t="s">
        <v>30</v>
      </c>
      <c r="M26" s="14" t="s">
        <v>38</v>
      </c>
    </row>
    <row r="27" spans="1:13" x14ac:dyDescent="0.3">
      <c r="A27" s="18" t="s">
        <v>93</v>
      </c>
      <c r="B27" s="18" t="s">
        <v>43</v>
      </c>
      <c r="C27" s="19">
        <v>45602</v>
      </c>
      <c r="D27" s="18" t="s">
        <v>74</v>
      </c>
      <c r="E27" s="18" t="s">
        <v>75</v>
      </c>
      <c r="F27" s="9">
        <v>1606</v>
      </c>
      <c r="G27" s="9">
        <v>547</v>
      </c>
      <c r="H27" s="9">
        <v>316</v>
      </c>
      <c r="I27" s="9">
        <v>32120</v>
      </c>
      <c r="J27" s="9">
        <v>31736</v>
      </c>
      <c r="K27" s="9">
        <v>225</v>
      </c>
      <c r="L27" s="18" t="s">
        <v>30</v>
      </c>
      <c r="M27" s="18" t="s">
        <v>25</v>
      </c>
    </row>
    <row r="28" spans="1:13" x14ac:dyDescent="0.3">
      <c r="A28" s="14" t="s">
        <v>93</v>
      </c>
      <c r="B28" s="14" t="s">
        <v>43</v>
      </c>
      <c r="C28" s="15">
        <v>45602</v>
      </c>
      <c r="D28" s="14" t="s">
        <v>74</v>
      </c>
      <c r="E28" s="14" t="s">
        <v>75</v>
      </c>
      <c r="F28" s="8">
        <v>1606</v>
      </c>
      <c r="G28" s="8">
        <v>547</v>
      </c>
      <c r="H28" s="8">
        <v>316</v>
      </c>
      <c r="I28" s="8">
        <v>32120</v>
      </c>
      <c r="J28" s="8">
        <v>31736</v>
      </c>
      <c r="K28" s="8">
        <v>225</v>
      </c>
      <c r="L28" s="14" t="s">
        <v>613</v>
      </c>
      <c r="M28" s="14" t="s">
        <v>25</v>
      </c>
    </row>
    <row r="29" spans="1:13" x14ac:dyDescent="0.3">
      <c r="A29" s="18" t="s">
        <v>96</v>
      </c>
      <c r="B29" s="18" t="s">
        <v>43</v>
      </c>
      <c r="C29" s="19">
        <v>45680</v>
      </c>
      <c r="D29" s="18" t="s">
        <v>74</v>
      </c>
      <c r="E29" s="18" t="s">
        <v>75</v>
      </c>
      <c r="F29" s="9">
        <v>3961</v>
      </c>
      <c r="G29" s="9">
        <v>761</v>
      </c>
      <c r="H29" s="9">
        <v>131</v>
      </c>
      <c r="I29" s="9">
        <v>67337</v>
      </c>
      <c r="J29" s="9">
        <v>66615</v>
      </c>
      <c r="K29" s="9">
        <v>161</v>
      </c>
      <c r="L29" s="18" t="s">
        <v>62</v>
      </c>
      <c r="M29" s="18" t="s">
        <v>31</v>
      </c>
    </row>
    <row r="30" spans="1:13" x14ac:dyDescent="0.3">
      <c r="A30" s="14" t="s">
        <v>98</v>
      </c>
      <c r="B30" s="14" t="s">
        <v>14</v>
      </c>
      <c r="C30" s="15">
        <v>45757</v>
      </c>
      <c r="D30" s="14" t="s">
        <v>45</v>
      </c>
      <c r="E30" s="14" t="s">
        <v>49</v>
      </c>
      <c r="F30" s="8">
        <v>3128</v>
      </c>
      <c r="G30" s="8">
        <v>211</v>
      </c>
      <c r="H30" s="8">
        <v>197</v>
      </c>
      <c r="I30" s="8">
        <v>59432</v>
      </c>
      <c r="J30" s="8">
        <v>59182</v>
      </c>
      <c r="K30" s="8">
        <v>238</v>
      </c>
      <c r="L30" s="14" t="s">
        <v>37</v>
      </c>
      <c r="M30" s="14"/>
    </row>
    <row r="31" spans="1:13" x14ac:dyDescent="0.3">
      <c r="A31" s="18" t="s">
        <v>100</v>
      </c>
      <c r="B31" s="18" t="s">
        <v>27</v>
      </c>
      <c r="C31" s="19">
        <v>45752</v>
      </c>
      <c r="D31" s="18" t="s">
        <v>16</v>
      </c>
      <c r="E31" s="18" t="s">
        <v>29</v>
      </c>
      <c r="F31" s="9">
        <v>3009</v>
      </c>
      <c r="G31" s="9">
        <v>413</v>
      </c>
      <c r="H31" s="9">
        <v>358</v>
      </c>
      <c r="I31" s="9">
        <v>42126</v>
      </c>
      <c r="J31" s="9">
        <v>41309</v>
      </c>
      <c r="K31" s="9">
        <v>211</v>
      </c>
      <c r="L31" s="18" t="s">
        <v>62</v>
      </c>
      <c r="M31" s="18" t="s">
        <v>25</v>
      </c>
    </row>
    <row r="32" spans="1:13" x14ac:dyDescent="0.3">
      <c r="A32" s="14" t="s">
        <v>102</v>
      </c>
      <c r="B32" s="14" t="s">
        <v>27</v>
      </c>
      <c r="C32" s="15">
        <v>45552</v>
      </c>
      <c r="D32" s="14" t="s">
        <v>22</v>
      </c>
      <c r="E32" s="14" t="s">
        <v>104</v>
      </c>
      <c r="F32" s="8">
        <v>2076</v>
      </c>
      <c r="G32" s="8">
        <v>195</v>
      </c>
      <c r="H32" s="8">
        <v>104</v>
      </c>
      <c r="I32" s="8">
        <v>33216</v>
      </c>
      <c r="J32" s="8">
        <v>32244</v>
      </c>
      <c r="K32" s="8">
        <v>51</v>
      </c>
      <c r="L32" s="14" t="s">
        <v>62</v>
      </c>
      <c r="M32" s="14" t="s">
        <v>38</v>
      </c>
    </row>
    <row r="33" spans="1:13" x14ac:dyDescent="0.3">
      <c r="A33" s="18" t="s">
        <v>105</v>
      </c>
      <c r="B33" s="18" t="s">
        <v>33</v>
      </c>
      <c r="C33" s="19">
        <v>45720</v>
      </c>
      <c r="D33" s="18" t="s">
        <v>74</v>
      </c>
      <c r="E33" s="18" t="s">
        <v>85</v>
      </c>
      <c r="F33" s="9">
        <v>432</v>
      </c>
      <c r="G33" s="9">
        <v>624</v>
      </c>
      <c r="H33" s="9">
        <v>123</v>
      </c>
      <c r="I33" s="9">
        <v>6912</v>
      </c>
      <c r="J33" s="9">
        <v>6259</v>
      </c>
      <c r="K33" s="9">
        <v>79</v>
      </c>
      <c r="L33" s="18" t="s">
        <v>62</v>
      </c>
      <c r="M33" s="18" t="s">
        <v>38</v>
      </c>
    </row>
    <row r="34" spans="1:13" x14ac:dyDescent="0.3">
      <c r="A34" s="14" t="s">
        <v>107</v>
      </c>
      <c r="B34" s="14" t="s">
        <v>33</v>
      </c>
      <c r="C34" s="15">
        <v>45688</v>
      </c>
      <c r="D34" s="14" t="s">
        <v>45</v>
      </c>
      <c r="E34" s="14" t="s">
        <v>88</v>
      </c>
      <c r="F34" s="8">
        <v>2566</v>
      </c>
      <c r="G34" s="8">
        <v>118</v>
      </c>
      <c r="H34" s="8">
        <v>37</v>
      </c>
      <c r="I34" s="8">
        <v>12830</v>
      </c>
      <c r="J34" s="8">
        <v>12264</v>
      </c>
      <c r="K34" s="8">
        <v>221</v>
      </c>
      <c r="L34" s="14" t="s">
        <v>62</v>
      </c>
      <c r="M34" s="14" t="s">
        <v>31</v>
      </c>
    </row>
    <row r="35" spans="1:13" x14ac:dyDescent="0.3">
      <c r="A35" s="18" t="s">
        <v>109</v>
      </c>
      <c r="B35" s="18" t="s">
        <v>33</v>
      </c>
      <c r="C35" s="19">
        <v>45713</v>
      </c>
      <c r="D35" s="18" t="s">
        <v>74</v>
      </c>
      <c r="E35" s="18" t="s">
        <v>85</v>
      </c>
      <c r="F35" s="9">
        <v>3095</v>
      </c>
      <c r="G35" s="9">
        <v>39</v>
      </c>
      <c r="H35" s="9">
        <v>78</v>
      </c>
      <c r="I35" s="9">
        <v>55710</v>
      </c>
      <c r="J35" s="9">
        <v>54808</v>
      </c>
      <c r="K35" s="9">
        <v>93</v>
      </c>
      <c r="L35" s="18" t="s">
        <v>37</v>
      </c>
      <c r="M35" s="18"/>
    </row>
    <row r="36" spans="1:13" x14ac:dyDescent="0.3">
      <c r="A36" s="14" t="s">
        <v>111</v>
      </c>
      <c r="B36" s="14" t="s">
        <v>33</v>
      </c>
      <c r="C36" s="15">
        <v>45642</v>
      </c>
      <c r="D36" s="14" t="s">
        <v>22</v>
      </c>
      <c r="E36" s="14" t="s">
        <v>113</v>
      </c>
      <c r="F36" s="8">
        <v>438</v>
      </c>
      <c r="G36" s="8">
        <v>153</v>
      </c>
      <c r="H36" s="8">
        <v>275</v>
      </c>
      <c r="I36" s="8">
        <v>3066</v>
      </c>
      <c r="J36" s="8">
        <v>2701</v>
      </c>
      <c r="K36" s="8">
        <v>282</v>
      </c>
      <c r="L36" s="14" t="s">
        <v>30</v>
      </c>
      <c r="M36" s="14" t="s">
        <v>25</v>
      </c>
    </row>
    <row r="37" spans="1:13" x14ac:dyDescent="0.3">
      <c r="A37" s="18" t="s">
        <v>114</v>
      </c>
      <c r="B37" s="18" t="s">
        <v>14</v>
      </c>
      <c r="C37" s="19">
        <v>45504</v>
      </c>
      <c r="D37" s="18" t="s">
        <v>45</v>
      </c>
      <c r="E37" s="18" t="s">
        <v>49</v>
      </c>
      <c r="F37" s="9">
        <v>2278</v>
      </c>
      <c r="G37" s="9">
        <v>10</v>
      </c>
      <c r="H37" s="9">
        <v>321</v>
      </c>
      <c r="I37" s="9">
        <v>13668</v>
      </c>
      <c r="J37" s="9">
        <v>12676</v>
      </c>
      <c r="K37" s="9">
        <v>275</v>
      </c>
      <c r="L37" s="18" t="s">
        <v>37</v>
      </c>
      <c r="M37" s="18" t="s">
        <v>19</v>
      </c>
    </row>
    <row r="38" spans="1:13" x14ac:dyDescent="0.3">
      <c r="A38" s="14" t="s">
        <v>116</v>
      </c>
      <c r="B38" s="14" t="s">
        <v>43</v>
      </c>
      <c r="C38" s="15">
        <v>45525</v>
      </c>
      <c r="D38" s="14" t="s">
        <v>52</v>
      </c>
      <c r="E38" s="14" t="s">
        <v>59</v>
      </c>
      <c r="F38" s="8">
        <v>1407</v>
      </c>
      <c r="G38" s="8">
        <v>400</v>
      </c>
      <c r="H38" s="8">
        <v>351</v>
      </c>
      <c r="I38" s="8">
        <v>16884</v>
      </c>
      <c r="J38" s="8">
        <v>15954</v>
      </c>
      <c r="K38" s="8">
        <v>113</v>
      </c>
      <c r="L38" s="14" t="s">
        <v>30</v>
      </c>
      <c r="M38" s="14" t="s">
        <v>19</v>
      </c>
    </row>
    <row r="39" spans="1:13" x14ac:dyDescent="0.3">
      <c r="A39" s="18" t="s">
        <v>118</v>
      </c>
      <c r="B39" s="18" t="s">
        <v>43</v>
      </c>
      <c r="C39" s="19">
        <v>45742</v>
      </c>
      <c r="D39" s="18" t="s">
        <v>22</v>
      </c>
      <c r="E39" s="18" t="s">
        <v>56</v>
      </c>
      <c r="F39" s="9">
        <v>1652</v>
      </c>
      <c r="G39" s="9">
        <v>89</v>
      </c>
      <c r="H39" s="9">
        <v>357</v>
      </c>
      <c r="I39" s="9">
        <v>29736</v>
      </c>
      <c r="J39" s="9">
        <v>28771</v>
      </c>
      <c r="K39" s="9">
        <v>215</v>
      </c>
      <c r="L39" s="18" t="s">
        <v>30</v>
      </c>
      <c r="M39" s="18" t="s">
        <v>31</v>
      </c>
    </row>
    <row r="40" spans="1:13" x14ac:dyDescent="0.3">
      <c r="A40" s="14" t="s">
        <v>120</v>
      </c>
      <c r="B40" s="14" t="s">
        <v>33</v>
      </c>
      <c r="C40" s="15">
        <v>45626</v>
      </c>
      <c r="D40" s="14" t="s">
        <v>74</v>
      </c>
      <c r="E40" s="14" t="s">
        <v>85</v>
      </c>
      <c r="F40" s="8">
        <v>3775</v>
      </c>
      <c r="G40" s="8">
        <v>16</v>
      </c>
      <c r="H40" s="8">
        <v>239</v>
      </c>
      <c r="I40" s="8">
        <v>33975</v>
      </c>
      <c r="J40" s="8">
        <v>33310</v>
      </c>
      <c r="K40" s="8">
        <v>271</v>
      </c>
      <c r="L40" s="14" t="s">
        <v>62</v>
      </c>
      <c r="M40" s="14" t="s">
        <v>25</v>
      </c>
    </row>
    <row r="41" spans="1:13" x14ac:dyDescent="0.3">
      <c r="A41" s="18" t="s">
        <v>122</v>
      </c>
      <c r="B41" s="18" t="s">
        <v>33</v>
      </c>
      <c r="C41" s="19">
        <v>45766</v>
      </c>
      <c r="D41" s="18" t="s">
        <v>35</v>
      </c>
      <c r="E41" s="18" t="s">
        <v>36</v>
      </c>
      <c r="F41" s="9">
        <v>4518</v>
      </c>
      <c r="G41" s="9">
        <v>285</v>
      </c>
      <c r="H41" s="9">
        <v>383</v>
      </c>
      <c r="I41" s="9">
        <v>67770</v>
      </c>
      <c r="J41" s="9">
        <v>67621</v>
      </c>
      <c r="K41" s="9">
        <v>31</v>
      </c>
      <c r="L41" s="18" t="s">
        <v>37</v>
      </c>
      <c r="M41" s="18" t="s">
        <v>25</v>
      </c>
    </row>
    <row r="42" spans="1:13" x14ac:dyDescent="0.3">
      <c r="A42" s="14" t="s">
        <v>124</v>
      </c>
      <c r="B42" s="14" t="s">
        <v>43</v>
      </c>
      <c r="C42" s="15">
        <v>45663</v>
      </c>
      <c r="D42" s="14" t="s">
        <v>45</v>
      </c>
      <c r="E42" s="14" t="s">
        <v>46</v>
      </c>
      <c r="F42" s="8">
        <v>3024</v>
      </c>
      <c r="G42" s="8">
        <v>925</v>
      </c>
      <c r="H42" s="8">
        <v>350</v>
      </c>
      <c r="I42" s="8">
        <v>24192</v>
      </c>
      <c r="J42" s="8">
        <v>23518</v>
      </c>
      <c r="K42" s="8">
        <v>36</v>
      </c>
      <c r="L42" s="14" t="s">
        <v>37</v>
      </c>
      <c r="M42" s="14" t="s">
        <v>25</v>
      </c>
    </row>
    <row r="43" spans="1:13" x14ac:dyDescent="0.3">
      <c r="A43" s="18" t="s">
        <v>126</v>
      </c>
      <c r="B43" s="18" t="s">
        <v>27</v>
      </c>
      <c r="C43" s="19">
        <v>45705</v>
      </c>
      <c r="D43" s="18" t="s">
        <v>16</v>
      </c>
      <c r="E43" s="18" t="s">
        <v>29</v>
      </c>
      <c r="F43" s="9">
        <v>3138</v>
      </c>
      <c r="G43" s="9">
        <v>123</v>
      </c>
      <c r="H43" s="9">
        <v>291</v>
      </c>
      <c r="I43" s="9">
        <v>28242</v>
      </c>
      <c r="J43" s="9">
        <v>27550</v>
      </c>
      <c r="K43" s="9">
        <v>87</v>
      </c>
      <c r="L43" s="18" t="s">
        <v>30</v>
      </c>
      <c r="M43" s="18" t="s">
        <v>38</v>
      </c>
    </row>
    <row r="44" spans="1:13" x14ac:dyDescent="0.3">
      <c r="A44" s="14" t="s">
        <v>128</v>
      </c>
      <c r="B44" s="14" t="s">
        <v>43</v>
      </c>
      <c r="C44" s="15">
        <v>45621</v>
      </c>
      <c r="D44" s="14" t="s">
        <v>52</v>
      </c>
      <c r="E44" s="14" t="s">
        <v>59</v>
      </c>
      <c r="F44" s="8">
        <v>3564</v>
      </c>
      <c r="G44" s="8">
        <v>629</v>
      </c>
      <c r="H44" s="8">
        <v>177</v>
      </c>
      <c r="I44" s="8">
        <v>60588</v>
      </c>
      <c r="J44" s="8">
        <v>59627</v>
      </c>
      <c r="K44" s="8">
        <v>92</v>
      </c>
      <c r="L44" s="14" t="s">
        <v>30</v>
      </c>
      <c r="M44" s="14"/>
    </row>
    <row r="45" spans="1:13" x14ac:dyDescent="0.3">
      <c r="A45" s="18" t="s">
        <v>130</v>
      </c>
      <c r="B45" s="18" t="s">
        <v>14</v>
      </c>
      <c r="C45" s="19">
        <v>45723</v>
      </c>
      <c r="D45" s="18" t="s">
        <v>52</v>
      </c>
      <c r="E45" s="18" t="s">
        <v>132</v>
      </c>
      <c r="F45" s="9">
        <v>4750</v>
      </c>
      <c r="G45" s="9">
        <v>151</v>
      </c>
      <c r="H45" s="9">
        <v>415</v>
      </c>
      <c r="I45" s="9">
        <v>38000</v>
      </c>
      <c r="J45" s="9">
        <v>37792</v>
      </c>
      <c r="K45" s="9">
        <v>299</v>
      </c>
      <c r="L45" s="18" t="s">
        <v>37</v>
      </c>
      <c r="M45" s="18" t="s">
        <v>38</v>
      </c>
    </row>
    <row r="46" spans="1:13" x14ac:dyDescent="0.3">
      <c r="A46" s="14" t="s">
        <v>133</v>
      </c>
      <c r="B46" s="14" t="s">
        <v>33</v>
      </c>
      <c r="C46" s="15">
        <v>45724</v>
      </c>
      <c r="D46" s="14" t="s">
        <v>16</v>
      </c>
      <c r="E46" s="14" t="s">
        <v>82</v>
      </c>
      <c r="F46" s="8">
        <v>456</v>
      </c>
      <c r="G46" s="8">
        <v>629</v>
      </c>
      <c r="H46" s="8">
        <v>428</v>
      </c>
      <c r="I46" s="8">
        <v>8208</v>
      </c>
      <c r="J46" s="8">
        <v>7377</v>
      </c>
      <c r="K46" s="8">
        <v>205</v>
      </c>
      <c r="L46" s="14" t="s">
        <v>62</v>
      </c>
      <c r="M46" s="14" t="s">
        <v>38</v>
      </c>
    </row>
    <row r="47" spans="1:13" x14ac:dyDescent="0.3">
      <c r="A47" s="18" t="s">
        <v>135</v>
      </c>
      <c r="B47" s="18" t="s">
        <v>27</v>
      </c>
      <c r="C47" s="19">
        <v>45721</v>
      </c>
      <c r="D47" s="18" t="s">
        <v>16</v>
      </c>
      <c r="E47" s="18" t="s">
        <v>29</v>
      </c>
      <c r="F47" s="9">
        <v>1543</v>
      </c>
      <c r="G47" s="9">
        <v>820</v>
      </c>
      <c r="H47" s="9">
        <v>333</v>
      </c>
      <c r="I47" s="9">
        <v>12344</v>
      </c>
      <c r="J47" s="9">
        <v>11496</v>
      </c>
      <c r="K47" s="9">
        <v>241</v>
      </c>
      <c r="L47" s="18" t="s">
        <v>37</v>
      </c>
      <c r="M47" s="18"/>
    </row>
    <row r="48" spans="1:13" x14ac:dyDescent="0.3">
      <c r="A48" s="14" t="s">
        <v>137</v>
      </c>
      <c r="B48" s="14" t="s">
        <v>33</v>
      </c>
      <c r="C48" s="15">
        <v>45640</v>
      </c>
      <c r="D48" s="14" t="s">
        <v>45</v>
      </c>
      <c r="E48" s="14" t="s">
        <v>88</v>
      </c>
      <c r="F48" s="8">
        <v>2174</v>
      </c>
      <c r="G48" s="8">
        <v>658</v>
      </c>
      <c r="H48" s="8">
        <v>15</v>
      </c>
      <c r="I48" s="8">
        <v>13044</v>
      </c>
      <c r="J48" s="8">
        <v>12206</v>
      </c>
      <c r="K48" s="8">
        <v>137</v>
      </c>
      <c r="L48" s="14" t="s">
        <v>30</v>
      </c>
      <c r="M48" s="14" t="s">
        <v>31</v>
      </c>
    </row>
    <row r="49" spans="1:13" x14ac:dyDescent="0.3">
      <c r="A49" s="18" t="s">
        <v>139</v>
      </c>
      <c r="B49" s="18" t="s">
        <v>14</v>
      </c>
      <c r="C49" s="19">
        <v>45718</v>
      </c>
      <c r="D49" s="18" t="s">
        <v>52</v>
      </c>
      <c r="E49" s="18" t="s">
        <v>132</v>
      </c>
      <c r="F49" s="9">
        <v>2358</v>
      </c>
      <c r="G49" s="9">
        <v>784</v>
      </c>
      <c r="H49" s="9">
        <v>344</v>
      </c>
      <c r="I49" s="9">
        <v>35370</v>
      </c>
      <c r="J49" s="9">
        <v>34475</v>
      </c>
      <c r="K49" s="9">
        <v>216</v>
      </c>
      <c r="L49" s="18" t="s">
        <v>30</v>
      </c>
      <c r="M49" s="18"/>
    </row>
    <row r="50" spans="1:13" x14ac:dyDescent="0.3">
      <c r="A50" s="14" t="s">
        <v>141</v>
      </c>
      <c r="B50" s="14" t="s">
        <v>43</v>
      </c>
      <c r="C50" s="15">
        <v>45597</v>
      </c>
      <c r="D50" s="14" t="s">
        <v>74</v>
      </c>
      <c r="E50" s="14" t="s">
        <v>75</v>
      </c>
      <c r="F50" s="8">
        <v>3371</v>
      </c>
      <c r="G50" s="8">
        <v>106</v>
      </c>
      <c r="H50" s="8">
        <v>327</v>
      </c>
      <c r="I50" s="8">
        <v>50565</v>
      </c>
      <c r="J50" s="8">
        <v>49816</v>
      </c>
      <c r="K50" s="8">
        <v>176</v>
      </c>
      <c r="L50" s="14" t="s">
        <v>62</v>
      </c>
      <c r="M50" s="14" t="s">
        <v>19</v>
      </c>
    </row>
    <row r="51" spans="1:13" x14ac:dyDescent="0.3">
      <c r="A51" s="18" t="s">
        <v>143</v>
      </c>
      <c r="B51" s="18" t="s">
        <v>14</v>
      </c>
      <c r="C51" s="19">
        <v>45779</v>
      </c>
      <c r="D51" s="18" t="s">
        <v>74</v>
      </c>
      <c r="E51" s="18" t="s">
        <v>145</v>
      </c>
      <c r="F51" s="9">
        <v>1108</v>
      </c>
      <c r="G51" s="9">
        <v>177</v>
      </c>
      <c r="H51" s="9">
        <v>212</v>
      </c>
      <c r="I51" s="9">
        <v>8864</v>
      </c>
      <c r="J51" s="9">
        <v>8710</v>
      </c>
      <c r="K51" s="9">
        <v>97</v>
      </c>
      <c r="L51" s="18" t="s">
        <v>30</v>
      </c>
      <c r="M51" s="18" t="s">
        <v>38</v>
      </c>
    </row>
    <row r="52" spans="1:13" x14ac:dyDescent="0.3">
      <c r="A52" s="14" t="s">
        <v>146</v>
      </c>
      <c r="B52" s="14" t="s">
        <v>14</v>
      </c>
      <c r="C52" s="15">
        <v>45712</v>
      </c>
      <c r="D52" s="14" t="s">
        <v>45</v>
      </c>
      <c r="E52" s="14" t="s">
        <v>49</v>
      </c>
      <c r="F52" s="8">
        <v>2704</v>
      </c>
      <c r="G52" s="8">
        <v>752</v>
      </c>
      <c r="H52" s="8">
        <v>153</v>
      </c>
      <c r="I52" s="8">
        <v>21632</v>
      </c>
      <c r="J52" s="8">
        <v>20792</v>
      </c>
      <c r="K52" s="8">
        <v>127</v>
      </c>
      <c r="L52" s="14" t="s">
        <v>62</v>
      </c>
      <c r="M52" s="14"/>
    </row>
    <row r="53" spans="1:13" x14ac:dyDescent="0.3">
      <c r="A53" s="18" t="s">
        <v>148</v>
      </c>
      <c r="B53" s="18" t="s">
        <v>14</v>
      </c>
      <c r="C53" s="19">
        <v>45727</v>
      </c>
      <c r="D53" s="18" t="s">
        <v>35</v>
      </c>
      <c r="E53" s="18" t="s">
        <v>149</v>
      </c>
      <c r="F53" s="9">
        <v>1950</v>
      </c>
      <c r="G53" s="9">
        <v>295</v>
      </c>
      <c r="H53" s="9">
        <v>478</v>
      </c>
      <c r="I53" s="9">
        <v>37050</v>
      </c>
      <c r="J53" s="9">
        <v>36272</v>
      </c>
      <c r="K53" s="9">
        <v>119</v>
      </c>
      <c r="L53" s="18" t="s">
        <v>30</v>
      </c>
      <c r="M53" s="18"/>
    </row>
    <row r="54" spans="1:13" x14ac:dyDescent="0.3">
      <c r="A54" s="14" t="s">
        <v>150</v>
      </c>
      <c r="B54" s="14" t="s">
        <v>14</v>
      </c>
      <c r="C54" s="15">
        <v>45453</v>
      </c>
      <c r="D54" s="14" t="s">
        <v>35</v>
      </c>
      <c r="E54" s="14" t="s">
        <v>149</v>
      </c>
      <c r="F54" s="8">
        <v>2164</v>
      </c>
      <c r="G54" s="8">
        <v>549</v>
      </c>
      <c r="H54" s="8">
        <v>274</v>
      </c>
      <c r="I54" s="8">
        <v>28132</v>
      </c>
      <c r="J54" s="8">
        <v>27361</v>
      </c>
      <c r="K54" s="8">
        <v>177</v>
      </c>
      <c r="L54" s="14" t="s">
        <v>30</v>
      </c>
      <c r="M54" s="14" t="s">
        <v>38</v>
      </c>
    </row>
    <row r="55" spans="1:13" x14ac:dyDescent="0.3">
      <c r="A55" s="18" t="s">
        <v>152</v>
      </c>
      <c r="B55" s="18" t="s">
        <v>27</v>
      </c>
      <c r="C55" s="19">
        <v>45476</v>
      </c>
      <c r="D55" s="18" t="s">
        <v>35</v>
      </c>
      <c r="E55" s="18" t="s">
        <v>154</v>
      </c>
      <c r="F55" s="9">
        <v>2754</v>
      </c>
      <c r="G55" s="9">
        <v>130</v>
      </c>
      <c r="H55" s="9">
        <v>90</v>
      </c>
      <c r="I55" s="9">
        <v>22032</v>
      </c>
      <c r="J55" s="9">
        <v>21288</v>
      </c>
      <c r="K55" s="9">
        <v>112</v>
      </c>
      <c r="L55" s="18" t="s">
        <v>30</v>
      </c>
      <c r="M55" s="18" t="s">
        <v>31</v>
      </c>
    </row>
    <row r="56" spans="1:13" x14ac:dyDescent="0.3">
      <c r="A56" s="14" t="s">
        <v>155</v>
      </c>
      <c r="B56" s="14" t="s">
        <v>43</v>
      </c>
      <c r="C56" s="15">
        <v>45456</v>
      </c>
      <c r="D56" s="14" t="s">
        <v>45</v>
      </c>
      <c r="E56" s="14" t="s">
        <v>46</v>
      </c>
      <c r="F56" s="8">
        <v>2200</v>
      </c>
      <c r="G56" s="8">
        <v>504</v>
      </c>
      <c r="H56" s="8">
        <v>239</v>
      </c>
      <c r="I56" s="8">
        <v>37400</v>
      </c>
      <c r="J56" s="8">
        <v>36938</v>
      </c>
      <c r="K56" s="8">
        <v>225</v>
      </c>
      <c r="L56" s="14" t="s">
        <v>62</v>
      </c>
      <c r="M56" s="14" t="s">
        <v>25</v>
      </c>
    </row>
    <row r="57" spans="1:13" x14ac:dyDescent="0.3">
      <c r="A57" s="18" t="s">
        <v>157</v>
      </c>
      <c r="B57" s="18" t="s">
        <v>43</v>
      </c>
      <c r="C57" s="19">
        <v>45660</v>
      </c>
      <c r="D57" s="18" t="s">
        <v>52</v>
      </c>
      <c r="E57" s="18" t="s">
        <v>59</v>
      </c>
      <c r="F57" s="9">
        <v>947</v>
      </c>
      <c r="G57" s="9">
        <v>338</v>
      </c>
      <c r="H57" s="9">
        <v>350</v>
      </c>
      <c r="I57" s="9">
        <v>10417</v>
      </c>
      <c r="J57" s="9">
        <v>9730</v>
      </c>
      <c r="K57" s="9">
        <v>34</v>
      </c>
      <c r="L57" s="18" t="s">
        <v>30</v>
      </c>
      <c r="M57" s="18" t="s">
        <v>38</v>
      </c>
    </row>
    <row r="58" spans="1:13" x14ac:dyDescent="0.3">
      <c r="A58" s="14" t="s">
        <v>159</v>
      </c>
      <c r="B58" s="14" t="s">
        <v>27</v>
      </c>
      <c r="C58" s="15">
        <v>45712</v>
      </c>
      <c r="D58" s="14" t="s">
        <v>45</v>
      </c>
      <c r="E58" s="14" t="s">
        <v>68</v>
      </c>
      <c r="F58" s="8">
        <v>804</v>
      </c>
      <c r="G58" s="8">
        <v>639</v>
      </c>
      <c r="H58" s="8">
        <v>43</v>
      </c>
      <c r="I58" s="8">
        <v>4020</v>
      </c>
      <c r="J58" s="8">
        <v>3144</v>
      </c>
      <c r="K58" s="8">
        <v>11</v>
      </c>
      <c r="L58" s="14" t="s">
        <v>37</v>
      </c>
      <c r="M58" s="14"/>
    </row>
    <row r="59" spans="1:13" x14ac:dyDescent="0.3">
      <c r="A59" s="18" t="s">
        <v>159</v>
      </c>
      <c r="B59" s="18" t="s">
        <v>27</v>
      </c>
      <c r="C59" s="19">
        <v>45712</v>
      </c>
      <c r="D59" s="18" t="s">
        <v>45</v>
      </c>
      <c r="E59" s="18" t="s">
        <v>68</v>
      </c>
      <c r="F59" s="9">
        <v>804</v>
      </c>
      <c r="G59" s="9">
        <v>639</v>
      </c>
      <c r="H59" s="9">
        <v>43</v>
      </c>
      <c r="I59" s="9">
        <v>4020</v>
      </c>
      <c r="J59" s="9">
        <v>3144</v>
      </c>
      <c r="K59" s="9">
        <v>11</v>
      </c>
      <c r="L59" s="18" t="s">
        <v>614</v>
      </c>
      <c r="M59" s="18"/>
    </row>
    <row r="60" spans="1:13" x14ac:dyDescent="0.3">
      <c r="A60" s="14" t="s">
        <v>161</v>
      </c>
      <c r="B60" s="14" t="s">
        <v>27</v>
      </c>
      <c r="C60" s="15">
        <v>45729</v>
      </c>
      <c r="D60" s="14" t="s">
        <v>45</v>
      </c>
      <c r="E60" s="14" t="s">
        <v>68</v>
      </c>
      <c r="F60" s="8">
        <v>1686</v>
      </c>
      <c r="G60" s="8">
        <v>904</v>
      </c>
      <c r="H60" s="8">
        <v>472</v>
      </c>
      <c r="I60" s="8">
        <v>18546</v>
      </c>
      <c r="J60" s="8">
        <v>18171</v>
      </c>
      <c r="K60" s="8">
        <v>52</v>
      </c>
      <c r="L60" s="14" t="s">
        <v>62</v>
      </c>
      <c r="M60" s="14" t="s">
        <v>25</v>
      </c>
    </row>
    <row r="61" spans="1:13" x14ac:dyDescent="0.3">
      <c r="A61" s="18" t="s">
        <v>163</v>
      </c>
      <c r="B61" s="18" t="s">
        <v>43</v>
      </c>
      <c r="C61" s="19">
        <v>45460</v>
      </c>
      <c r="D61" s="18" t="s">
        <v>52</v>
      </c>
      <c r="E61" s="18" t="s">
        <v>59</v>
      </c>
      <c r="F61" s="9">
        <v>1226</v>
      </c>
      <c r="G61" s="9">
        <v>119</v>
      </c>
      <c r="H61" s="9">
        <v>7</v>
      </c>
      <c r="I61" s="9">
        <v>14712</v>
      </c>
      <c r="J61" s="9">
        <v>14049</v>
      </c>
      <c r="K61" s="9">
        <v>123</v>
      </c>
      <c r="L61" s="18" t="s">
        <v>37</v>
      </c>
      <c r="M61" s="18" t="s">
        <v>38</v>
      </c>
    </row>
    <row r="62" spans="1:13" x14ac:dyDescent="0.3">
      <c r="A62" s="14" t="s">
        <v>165</v>
      </c>
      <c r="B62" s="14" t="s">
        <v>43</v>
      </c>
      <c r="C62" s="15">
        <v>45644</v>
      </c>
      <c r="D62" s="14" t="s">
        <v>45</v>
      </c>
      <c r="E62" s="14" t="s">
        <v>46</v>
      </c>
      <c r="F62" s="8">
        <v>2946</v>
      </c>
      <c r="G62" s="8">
        <v>498</v>
      </c>
      <c r="H62" s="8">
        <v>367</v>
      </c>
      <c r="I62" s="8">
        <v>29460</v>
      </c>
      <c r="J62" s="8">
        <v>28527</v>
      </c>
      <c r="K62" s="8">
        <v>60</v>
      </c>
      <c r="L62" s="14" t="s">
        <v>62</v>
      </c>
      <c r="M62" s="14" t="s">
        <v>31</v>
      </c>
    </row>
    <row r="63" spans="1:13" x14ac:dyDescent="0.3">
      <c r="A63" s="18" t="s">
        <v>167</v>
      </c>
      <c r="B63" s="18" t="s">
        <v>14</v>
      </c>
      <c r="C63" s="19">
        <v>45586</v>
      </c>
      <c r="D63" s="18" t="s">
        <v>74</v>
      </c>
      <c r="E63" s="18" t="s">
        <v>145</v>
      </c>
      <c r="F63" s="9">
        <v>2825</v>
      </c>
      <c r="G63" s="9">
        <v>535</v>
      </c>
      <c r="H63" s="9">
        <v>295</v>
      </c>
      <c r="I63" s="9">
        <v>45200</v>
      </c>
      <c r="J63" s="9">
        <v>44739</v>
      </c>
      <c r="K63" s="9">
        <v>169</v>
      </c>
      <c r="L63" s="18" t="s">
        <v>30</v>
      </c>
      <c r="M63" s="18" t="s">
        <v>19</v>
      </c>
    </row>
    <row r="64" spans="1:13" x14ac:dyDescent="0.3">
      <c r="A64" s="14" t="s">
        <v>169</v>
      </c>
      <c r="B64" s="14" t="s">
        <v>33</v>
      </c>
      <c r="C64" s="15">
        <v>45762</v>
      </c>
      <c r="D64" s="14" t="s">
        <v>16</v>
      </c>
      <c r="E64" s="14" t="s">
        <v>82</v>
      </c>
      <c r="F64" s="8">
        <v>103</v>
      </c>
      <c r="G64" s="8">
        <v>770</v>
      </c>
      <c r="H64" s="8">
        <v>19</v>
      </c>
      <c r="I64" s="8">
        <v>1030</v>
      </c>
      <c r="J64" s="8">
        <v>410</v>
      </c>
      <c r="K64" s="8">
        <v>262</v>
      </c>
      <c r="L64" s="14" t="s">
        <v>30</v>
      </c>
      <c r="M64" s="14" t="s">
        <v>38</v>
      </c>
    </row>
    <row r="65" spans="1:13" x14ac:dyDescent="0.3">
      <c r="A65" s="18" t="s">
        <v>171</v>
      </c>
      <c r="B65" s="18" t="s">
        <v>33</v>
      </c>
      <c r="C65" s="19">
        <v>45465</v>
      </c>
      <c r="D65" s="18" t="s">
        <v>22</v>
      </c>
      <c r="E65" s="18" t="s">
        <v>113</v>
      </c>
      <c r="F65" s="9">
        <v>2180</v>
      </c>
      <c r="G65" s="9">
        <v>263</v>
      </c>
      <c r="H65" s="9">
        <v>387</v>
      </c>
      <c r="I65" s="9">
        <v>30520</v>
      </c>
      <c r="J65" s="9">
        <v>30059</v>
      </c>
      <c r="K65" s="9">
        <v>174</v>
      </c>
      <c r="L65" s="18" t="s">
        <v>37</v>
      </c>
      <c r="M65" s="18"/>
    </row>
    <row r="66" spans="1:13" x14ac:dyDescent="0.3">
      <c r="A66" s="14" t="s">
        <v>173</v>
      </c>
      <c r="B66" s="14" t="s">
        <v>33</v>
      </c>
      <c r="C66" s="15">
        <v>45685</v>
      </c>
      <c r="D66" s="14" t="s">
        <v>74</v>
      </c>
      <c r="E66" s="14" t="s">
        <v>85</v>
      </c>
      <c r="F66" s="8">
        <v>904</v>
      </c>
      <c r="G66" s="8">
        <v>973</v>
      </c>
      <c r="H66" s="8">
        <v>63</v>
      </c>
      <c r="I66" s="8">
        <v>11752</v>
      </c>
      <c r="J66" s="8">
        <v>11580</v>
      </c>
      <c r="K66" s="8">
        <v>84</v>
      </c>
      <c r="L66" s="14" t="s">
        <v>37</v>
      </c>
      <c r="M66" s="14" t="s">
        <v>31</v>
      </c>
    </row>
    <row r="67" spans="1:13" x14ac:dyDescent="0.3">
      <c r="A67" s="18" t="s">
        <v>173</v>
      </c>
      <c r="B67" s="18" t="s">
        <v>33</v>
      </c>
      <c r="C67" s="19">
        <v>45685</v>
      </c>
      <c r="D67" s="18" t="s">
        <v>74</v>
      </c>
      <c r="E67" s="18" t="s">
        <v>85</v>
      </c>
      <c r="F67" s="9">
        <v>904</v>
      </c>
      <c r="G67" s="9">
        <v>973</v>
      </c>
      <c r="H67" s="9">
        <v>63</v>
      </c>
      <c r="I67" s="9">
        <v>11752</v>
      </c>
      <c r="J67" s="9">
        <v>11580</v>
      </c>
      <c r="K67" s="9">
        <v>84</v>
      </c>
      <c r="L67" s="18" t="s">
        <v>30</v>
      </c>
      <c r="M67" s="18" t="s">
        <v>31</v>
      </c>
    </row>
    <row r="68" spans="1:13" x14ac:dyDescent="0.3">
      <c r="A68" s="14" t="s">
        <v>173</v>
      </c>
      <c r="B68" s="14" t="s">
        <v>33</v>
      </c>
      <c r="C68" s="15">
        <v>45685</v>
      </c>
      <c r="D68" s="14" t="s">
        <v>74</v>
      </c>
      <c r="E68" s="14" t="s">
        <v>85</v>
      </c>
      <c r="F68" s="8">
        <v>904</v>
      </c>
      <c r="G68" s="8">
        <v>973</v>
      </c>
      <c r="H68" s="8">
        <v>63</v>
      </c>
      <c r="I68" s="8">
        <v>11752</v>
      </c>
      <c r="J68" s="8">
        <v>11580</v>
      </c>
      <c r="K68" s="8">
        <v>84</v>
      </c>
      <c r="L68" s="14" t="s">
        <v>613</v>
      </c>
      <c r="M68" s="14" t="s">
        <v>31</v>
      </c>
    </row>
    <row r="69" spans="1:13" x14ac:dyDescent="0.3">
      <c r="A69" s="18" t="s">
        <v>176</v>
      </c>
      <c r="B69" s="18" t="s">
        <v>14</v>
      </c>
      <c r="C69" s="19">
        <v>45540</v>
      </c>
      <c r="D69" s="18" t="s">
        <v>74</v>
      </c>
      <c r="E69" s="18" t="s">
        <v>145</v>
      </c>
      <c r="F69" s="9">
        <v>4886</v>
      </c>
      <c r="G69" s="9">
        <v>983</v>
      </c>
      <c r="H69" s="9">
        <v>409</v>
      </c>
      <c r="I69" s="9">
        <v>43974</v>
      </c>
      <c r="J69" s="9">
        <v>43239</v>
      </c>
      <c r="K69" s="9">
        <v>65</v>
      </c>
      <c r="L69" s="18" t="s">
        <v>30</v>
      </c>
      <c r="M69" s="18" t="s">
        <v>19</v>
      </c>
    </row>
    <row r="70" spans="1:13" x14ac:dyDescent="0.3">
      <c r="A70" s="14" t="s">
        <v>178</v>
      </c>
      <c r="B70" s="14" t="s">
        <v>14</v>
      </c>
      <c r="C70" s="15">
        <v>45618</v>
      </c>
      <c r="D70" s="14" t="s">
        <v>45</v>
      </c>
      <c r="E70" s="14" t="s">
        <v>49</v>
      </c>
      <c r="F70" s="8">
        <v>53</v>
      </c>
      <c r="G70" s="8">
        <v>81</v>
      </c>
      <c r="H70" s="8">
        <v>379</v>
      </c>
      <c r="I70" s="8">
        <v>954</v>
      </c>
      <c r="J70" s="8">
        <v>7</v>
      </c>
      <c r="K70" s="8">
        <v>148</v>
      </c>
      <c r="L70" s="14" t="s">
        <v>30</v>
      </c>
      <c r="M70" s="14" t="s">
        <v>31</v>
      </c>
    </row>
    <row r="71" spans="1:13" x14ac:dyDescent="0.3">
      <c r="A71" s="18" t="s">
        <v>180</v>
      </c>
      <c r="B71" s="18" t="s">
        <v>14</v>
      </c>
      <c r="C71" s="19">
        <v>45504</v>
      </c>
      <c r="D71" s="18" t="s">
        <v>45</v>
      </c>
      <c r="E71" s="18" t="s">
        <v>49</v>
      </c>
      <c r="F71" s="9">
        <v>4507</v>
      </c>
      <c r="G71" s="9">
        <v>217</v>
      </c>
      <c r="H71" s="9">
        <v>13</v>
      </c>
      <c r="I71" s="9">
        <v>90140</v>
      </c>
      <c r="J71" s="9">
        <v>89591</v>
      </c>
      <c r="K71" s="9">
        <v>125</v>
      </c>
      <c r="L71" s="18" t="s">
        <v>62</v>
      </c>
      <c r="M71" s="18" t="s">
        <v>31</v>
      </c>
    </row>
    <row r="72" spans="1:13" x14ac:dyDescent="0.3">
      <c r="A72" s="14" t="s">
        <v>181</v>
      </c>
      <c r="B72" s="14" t="s">
        <v>43</v>
      </c>
      <c r="C72" s="15">
        <v>45521</v>
      </c>
      <c r="D72" s="14" t="s">
        <v>52</v>
      </c>
      <c r="E72" s="14" t="s">
        <v>59</v>
      </c>
      <c r="F72" s="8">
        <v>2878</v>
      </c>
      <c r="G72" s="8">
        <v>248</v>
      </c>
      <c r="H72" s="8">
        <v>416</v>
      </c>
      <c r="I72" s="8">
        <v>43170</v>
      </c>
      <c r="J72" s="8">
        <v>42667</v>
      </c>
      <c r="K72" s="8">
        <v>75</v>
      </c>
      <c r="L72" s="14" t="s">
        <v>62</v>
      </c>
      <c r="M72" s="14" t="s">
        <v>31</v>
      </c>
    </row>
    <row r="73" spans="1:13" x14ac:dyDescent="0.3">
      <c r="A73" s="18" t="s">
        <v>183</v>
      </c>
      <c r="B73" s="18" t="s">
        <v>33</v>
      </c>
      <c r="C73" s="19">
        <v>45744</v>
      </c>
      <c r="D73" s="18" t="s">
        <v>35</v>
      </c>
      <c r="E73" s="18" t="s">
        <v>36</v>
      </c>
      <c r="F73" s="9">
        <v>1881</v>
      </c>
      <c r="G73" s="9">
        <v>501</v>
      </c>
      <c r="H73" s="9">
        <v>99</v>
      </c>
      <c r="I73" s="9">
        <v>20691</v>
      </c>
      <c r="J73" s="9">
        <v>19987</v>
      </c>
      <c r="K73" s="9">
        <v>289</v>
      </c>
      <c r="L73" s="18" t="s">
        <v>37</v>
      </c>
      <c r="M73" s="18"/>
    </row>
    <row r="74" spans="1:13" x14ac:dyDescent="0.3">
      <c r="A74" s="14" t="s">
        <v>185</v>
      </c>
      <c r="B74" s="14" t="s">
        <v>14</v>
      </c>
      <c r="C74" s="15">
        <v>45499</v>
      </c>
      <c r="D74" s="14" t="s">
        <v>45</v>
      </c>
      <c r="E74" s="14" t="s">
        <v>49</v>
      </c>
      <c r="F74" s="8">
        <v>432</v>
      </c>
      <c r="G74" s="8">
        <v>171</v>
      </c>
      <c r="H74" s="8">
        <v>280</v>
      </c>
      <c r="I74" s="8">
        <v>3024</v>
      </c>
      <c r="J74" s="8">
        <v>2285</v>
      </c>
      <c r="K74" s="8">
        <v>184</v>
      </c>
      <c r="L74" s="14" t="s">
        <v>37</v>
      </c>
      <c r="M74" s="14" t="s">
        <v>19</v>
      </c>
    </row>
    <row r="75" spans="1:13" x14ac:dyDescent="0.3">
      <c r="A75" s="18" t="s">
        <v>187</v>
      </c>
      <c r="B75" s="18" t="s">
        <v>43</v>
      </c>
      <c r="C75" s="19">
        <v>45745</v>
      </c>
      <c r="D75" s="18" t="s">
        <v>45</v>
      </c>
      <c r="E75" s="18" t="s">
        <v>46</v>
      </c>
      <c r="F75" s="9">
        <v>4712</v>
      </c>
      <c r="G75" s="9">
        <v>568</v>
      </c>
      <c r="H75" s="9">
        <v>127</v>
      </c>
      <c r="I75" s="9">
        <v>84816</v>
      </c>
      <c r="J75" s="9">
        <v>84691</v>
      </c>
      <c r="K75" s="9">
        <v>100</v>
      </c>
      <c r="L75" s="18" t="s">
        <v>37</v>
      </c>
      <c r="M75" s="18" t="s">
        <v>31</v>
      </c>
    </row>
    <row r="76" spans="1:13" x14ac:dyDescent="0.3">
      <c r="A76" s="14" t="s">
        <v>189</v>
      </c>
      <c r="B76" s="14" t="s">
        <v>33</v>
      </c>
      <c r="C76" s="15">
        <v>45634</v>
      </c>
      <c r="D76" s="14" t="s">
        <v>35</v>
      </c>
      <c r="E76" s="14" t="s">
        <v>36</v>
      </c>
      <c r="F76" s="8">
        <v>2610</v>
      </c>
      <c r="G76" s="8">
        <v>126</v>
      </c>
      <c r="H76" s="8">
        <v>288</v>
      </c>
      <c r="I76" s="8">
        <v>15660</v>
      </c>
      <c r="J76" s="8">
        <v>15145</v>
      </c>
      <c r="K76" s="8">
        <v>73</v>
      </c>
      <c r="L76" s="14" t="s">
        <v>37</v>
      </c>
      <c r="M76" s="14"/>
    </row>
    <row r="77" spans="1:13" x14ac:dyDescent="0.3">
      <c r="A77" s="18" t="s">
        <v>191</v>
      </c>
      <c r="B77" s="18" t="s">
        <v>14</v>
      </c>
      <c r="C77" s="19">
        <v>45724</v>
      </c>
      <c r="D77" s="18" t="s">
        <v>22</v>
      </c>
      <c r="E77" s="18" t="s">
        <v>23</v>
      </c>
      <c r="F77" s="9">
        <v>1292</v>
      </c>
      <c r="G77" s="9">
        <v>626</v>
      </c>
      <c r="H77" s="9">
        <v>496</v>
      </c>
      <c r="I77" s="9">
        <v>25840</v>
      </c>
      <c r="J77" s="9">
        <v>24916</v>
      </c>
      <c r="K77" s="9">
        <v>149</v>
      </c>
      <c r="L77" s="18" t="s">
        <v>62</v>
      </c>
      <c r="M77" s="18" t="s">
        <v>31</v>
      </c>
    </row>
    <row r="78" spans="1:13" x14ac:dyDescent="0.3">
      <c r="A78" s="14" t="s">
        <v>192</v>
      </c>
      <c r="B78" s="14" t="s">
        <v>43</v>
      </c>
      <c r="C78" s="15">
        <v>45749</v>
      </c>
      <c r="D78" s="14" t="s">
        <v>74</v>
      </c>
      <c r="E78" s="14" t="s">
        <v>75</v>
      </c>
      <c r="F78" s="8">
        <v>199</v>
      </c>
      <c r="G78" s="8">
        <v>772</v>
      </c>
      <c r="H78" s="8">
        <v>400</v>
      </c>
      <c r="I78" s="8">
        <v>3582</v>
      </c>
      <c r="J78" s="8">
        <v>2988</v>
      </c>
      <c r="K78" s="8">
        <v>43</v>
      </c>
      <c r="L78" s="14" t="s">
        <v>30</v>
      </c>
      <c r="M78" s="14"/>
    </row>
    <row r="79" spans="1:13" x14ac:dyDescent="0.3">
      <c r="A79" s="18" t="s">
        <v>194</v>
      </c>
      <c r="B79" s="18" t="s">
        <v>27</v>
      </c>
      <c r="C79" s="19">
        <v>45537</v>
      </c>
      <c r="D79" s="18" t="s">
        <v>45</v>
      </c>
      <c r="E79" s="18" t="s">
        <v>68</v>
      </c>
      <c r="F79" s="9">
        <v>2551</v>
      </c>
      <c r="G79" s="9">
        <v>915</v>
      </c>
      <c r="H79" s="9">
        <v>205</v>
      </c>
      <c r="I79" s="9">
        <v>30612</v>
      </c>
      <c r="J79" s="9">
        <v>30360</v>
      </c>
      <c r="K79" s="9">
        <v>227</v>
      </c>
      <c r="L79" s="18" t="s">
        <v>30</v>
      </c>
      <c r="M79" s="18" t="s">
        <v>25</v>
      </c>
    </row>
    <row r="80" spans="1:13" x14ac:dyDescent="0.3">
      <c r="A80" s="14" t="s">
        <v>196</v>
      </c>
      <c r="B80" s="14" t="s">
        <v>27</v>
      </c>
      <c r="C80" s="15">
        <v>45719</v>
      </c>
      <c r="D80" s="14" t="s">
        <v>16</v>
      </c>
      <c r="E80" s="14" t="s">
        <v>29</v>
      </c>
      <c r="F80" s="8">
        <v>296</v>
      </c>
      <c r="G80" s="8">
        <v>60</v>
      </c>
      <c r="H80" s="8">
        <v>141</v>
      </c>
      <c r="I80" s="8">
        <v>5624</v>
      </c>
      <c r="J80" s="8">
        <v>5239</v>
      </c>
      <c r="K80" s="8">
        <v>88</v>
      </c>
      <c r="L80" s="14" t="s">
        <v>37</v>
      </c>
      <c r="M80" s="14" t="s">
        <v>25</v>
      </c>
    </row>
    <row r="81" spans="1:13" x14ac:dyDescent="0.3">
      <c r="A81" s="18" t="s">
        <v>198</v>
      </c>
      <c r="B81" s="18" t="s">
        <v>43</v>
      </c>
      <c r="C81" s="19">
        <v>45583</v>
      </c>
      <c r="D81" s="18" t="s">
        <v>35</v>
      </c>
      <c r="E81" s="18" t="s">
        <v>71</v>
      </c>
      <c r="F81" s="9">
        <v>4126</v>
      </c>
      <c r="G81" s="9">
        <v>426</v>
      </c>
      <c r="H81" s="9">
        <v>486</v>
      </c>
      <c r="I81" s="9">
        <v>78394</v>
      </c>
      <c r="J81" s="9">
        <v>77798</v>
      </c>
      <c r="K81" s="9">
        <v>88</v>
      </c>
      <c r="L81" s="18" t="s">
        <v>62</v>
      </c>
      <c r="M81" s="18" t="s">
        <v>38</v>
      </c>
    </row>
    <row r="82" spans="1:13" x14ac:dyDescent="0.3">
      <c r="A82" s="14" t="s">
        <v>200</v>
      </c>
      <c r="B82" s="14" t="s">
        <v>27</v>
      </c>
      <c r="C82" s="15">
        <v>45593</v>
      </c>
      <c r="D82" s="14" t="s">
        <v>16</v>
      </c>
      <c r="E82" s="14" t="s">
        <v>29</v>
      </c>
      <c r="F82" s="8">
        <v>1855</v>
      </c>
      <c r="G82" s="8">
        <v>200</v>
      </c>
      <c r="H82" s="8">
        <v>174</v>
      </c>
      <c r="I82" s="8">
        <v>16695</v>
      </c>
      <c r="J82" s="8">
        <v>16330</v>
      </c>
      <c r="K82" s="8">
        <v>123</v>
      </c>
      <c r="L82" s="14" t="s">
        <v>30</v>
      </c>
      <c r="M82" s="14" t="s">
        <v>31</v>
      </c>
    </row>
    <row r="83" spans="1:13" x14ac:dyDescent="0.3">
      <c r="A83" s="18" t="s">
        <v>202</v>
      </c>
      <c r="B83" s="18" t="s">
        <v>33</v>
      </c>
      <c r="C83" s="19">
        <v>45505</v>
      </c>
      <c r="D83" s="18" t="s">
        <v>16</v>
      </c>
      <c r="E83" s="18" t="s">
        <v>82</v>
      </c>
      <c r="F83" s="9">
        <v>1674</v>
      </c>
      <c r="G83" s="9">
        <v>929</v>
      </c>
      <c r="H83" s="9">
        <v>37</v>
      </c>
      <c r="I83" s="9">
        <v>21762</v>
      </c>
      <c r="J83" s="9">
        <v>20998</v>
      </c>
      <c r="K83" s="9">
        <v>255</v>
      </c>
      <c r="L83" s="18" t="s">
        <v>30</v>
      </c>
      <c r="M83" s="18" t="s">
        <v>38</v>
      </c>
    </row>
    <row r="84" spans="1:13" x14ac:dyDescent="0.3">
      <c r="A84" s="14" t="s">
        <v>204</v>
      </c>
      <c r="B84" s="14" t="s">
        <v>14</v>
      </c>
      <c r="C84" s="15">
        <v>45603</v>
      </c>
      <c r="D84" s="14" t="s">
        <v>35</v>
      </c>
      <c r="E84" s="14" t="s">
        <v>149</v>
      </c>
      <c r="F84" s="8">
        <v>1121</v>
      </c>
      <c r="G84" s="8">
        <v>135</v>
      </c>
      <c r="H84" s="8">
        <v>18</v>
      </c>
      <c r="I84" s="8">
        <v>15694</v>
      </c>
      <c r="J84" s="8">
        <v>14957</v>
      </c>
      <c r="K84" s="8">
        <v>99</v>
      </c>
      <c r="L84" s="14" t="s">
        <v>30</v>
      </c>
      <c r="M84" s="14" t="s">
        <v>38</v>
      </c>
    </row>
    <row r="85" spans="1:13" x14ac:dyDescent="0.3">
      <c r="A85" s="18" t="s">
        <v>206</v>
      </c>
      <c r="B85" s="18" t="s">
        <v>43</v>
      </c>
      <c r="C85" s="19">
        <v>45720</v>
      </c>
      <c r="D85" s="18" t="s">
        <v>35</v>
      </c>
      <c r="E85" s="18" t="s">
        <v>71</v>
      </c>
      <c r="F85" s="9">
        <v>1249</v>
      </c>
      <c r="G85" s="9">
        <v>116</v>
      </c>
      <c r="H85" s="9">
        <v>420</v>
      </c>
      <c r="I85" s="9">
        <v>8743</v>
      </c>
      <c r="J85" s="9">
        <v>8538</v>
      </c>
      <c r="K85" s="9">
        <v>63</v>
      </c>
      <c r="L85" s="18" t="s">
        <v>30</v>
      </c>
      <c r="M85" s="18"/>
    </row>
    <row r="86" spans="1:13" x14ac:dyDescent="0.3">
      <c r="A86" s="14" t="s">
        <v>207</v>
      </c>
      <c r="B86" s="14" t="s">
        <v>14</v>
      </c>
      <c r="C86" s="15">
        <v>45460</v>
      </c>
      <c r="D86" s="14" t="s">
        <v>52</v>
      </c>
      <c r="E86" s="14" t="s">
        <v>132</v>
      </c>
      <c r="F86" s="8">
        <v>954</v>
      </c>
      <c r="G86" s="8">
        <v>324</v>
      </c>
      <c r="H86" s="8">
        <v>288</v>
      </c>
      <c r="I86" s="8">
        <v>19080</v>
      </c>
      <c r="J86" s="8">
        <v>18859</v>
      </c>
      <c r="K86" s="8">
        <v>21</v>
      </c>
      <c r="L86" s="14" t="s">
        <v>62</v>
      </c>
      <c r="M86" s="14" t="s">
        <v>38</v>
      </c>
    </row>
    <row r="87" spans="1:13" x14ac:dyDescent="0.3">
      <c r="A87" s="18" t="s">
        <v>208</v>
      </c>
      <c r="B87" s="18" t="s">
        <v>33</v>
      </c>
      <c r="C87" s="19">
        <v>45574</v>
      </c>
      <c r="D87" s="18" t="s">
        <v>45</v>
      </c>
      <c r="E87" s="18" t="s">
        <v>88</v>
      </c>
      <c r="F87" s="9">
        <v>3068</v>
      </c>
      <c r="G87" s="9">
        <v>137</v>
      </c>
      <c r="H87" s="9">
        <v>329</v>
      </c>
      <c r="I87" s="9">
        <v>39884</v>
      </c>
      <c r="J87" s="9">
        <v>39404</v>
      </c>
      <c r="K87" s="9">
        <v>266</v>
      </c>
      <c r="L87" s="18" t="s">
        <v>37</v>
      </c>
      <c r="M87" s="18" t="s">
        <v>25</v>
      </c>
    </row>
    <row r="88" spans="1:13" x14ac:dyDescent="0.3">
      <c r="A88" s="14" t="s">
        <v>210</v>
      </c>
      <c r="B88" s="14" t="s">
        <v>33</v>
      </c>
      <c r="C88" s="15">
        <v>45456</v>
      </c>
      <c r="D88" s="14" t="s">
        <v>35</v>
      </c>
      <c r="E88" s="14" t="s">
        <v>36</v>
      </c>
      <c r="F88" s="8">
        <v>2103</v>
      </c>
      <c r="G88" s="8">
        <v>892</v>
      </c>
      <c r="H88" s="8">
        <v>103</v>
      </c>
      <c r="I88" s="8">
        <v>39957</v>
      </c>
      <c r="J88" s="8">
        <v>39466</v>
      </c>
      <c r="K88" s="8">
        <v>28</v>
      </c>
      <c r="L88" s="14" t="s">
        <v>62</v>
      </c>
      <c r="M88" s="14"/>
    </row>
    <row r="89" spans="1:13" x14ac:dyDescent="0.3">
      <c r="A89" s="18" t="s">
        <v>211</v>
      </c>
      <c r="B89" s="18" t="s">
        <v>33</v>
      </c>
      <c r="C89" s="19">
        <v>45584</v>
      </c>
      <c r="D89" s="18" t="s">
        <v>35</v>
      </c>
      <c r="E89" s="18" t="s">
        <v>36</v>
      </c>
      <c r="F89" s="9">
        <v>1816</v>
      </c>
      <c r="G89" s="9">
        <v>29</v>
      </c>
      <c r="H89" s="9">
        <v>41</v>
      </c>
      <c r="I89" s="9">
        <v>19976</v>
      </c>
      <c r="J89" s="9">
        <v>19262</v>
      </c>
      <c r="K89" s="9">
        <v>283</v>
      </c>
      <c r="L89" s="18" t="s">
        <v>30</v>
      </c>
      <c r="M89" s="18" t="s">
        <v>31</v>
      </c>
    </row>
    <row r="90" spans="1:13" x14ac:dyDescent="0.3">
      <c r="A90" s="14" t="s">
        <v>213</v>
      </c>
      <c r="B90" s="14" t="s">
        <v>33</v>
      </c>
      <c r="C90" s="15">
        <v>45497</v>
      </c>
      <c r="D90" s="14" t="s">
        <v>52</v>
      </c>
      <c r="E90" s="14" t="s">
        <v>215</v>
      </c>
      <c r="F90" s="8">
        <v>725</v>
      </c>
      <c r="G90" s="8">
        <v>88</v>
      </c>
      <c r="H90" s="8">
        <v>428</v>
      </c>
      <c r="I90" s="8">
        <v>14500</v>
      </c>
      <c r="J90" s="8">
        <v>13637</v>
      </c>
      <c r="K90" s="8">
        <v>200</v>
      </c>
      <c r="L90" s="14" t="s">
        <v>62</v>
      </c>
      <c r="M90" s="14" t="s">
        <v>31</v>
      </c>
    </row>
    <row r="91" spans="1:13" x14ac:dyDescent="0.3">
      <c r="A91" s="18" t="s">
        <v>213</v>
      </c>
      <c r="B91" s="18" t="s">
        <v>33</v>
      </c>
      <c r="C91" s="19">
        <v>45497</v>
      </c>
      <c r="D91" s="18" t="s">
        <v>52</v>
      </c>
      <c r="E91" s="18" t="s">
        <v>215</v>
      </c>
      <c r="F91" s="9">
        <v>725</v>
      </c>
      <c r="G91" s="9">
        <v>88</v>
      </c>
      <c r="H91" s="9">
        <v>428</v>
      </c>
      <c r="I91" s="9">
        <v>14500</v>
      </c>
      <c r="J91" s="9">
        <v>13637</v>
      </c>
      <c r="K91" s="9">
        <v>200</v>
      </c>
      <c r="L91" s="18" t="s">
        <v>30</v>
      </c>
      <c r="M91" s="18" t="s">
        <v>31</v>
      </c>
    </row>
    <row r="92" spans="1:13" x14ac:dyDescent="0.3">
      <c r="A92" s="14" t="s">
        <v>213</v>
      </c>
      <c r="B92" s="14" t="s">
        <v>33</v>
      </c>
      <c r="C92" s="15">
        <v>45497</v>
      </c>
      <c r="D92" s="14" t="s">
        <v>52</v>
      </c>
      <c r="E92" s="14" t="s">
        <v>215</v>
      </c>
      <c r="F92" s="8">
        <v>725</v>
      </c>
      <c r="G92" s="8">
        <v>88</v>
      </c>
      <c r="H92" s="8">
        <v>428</v>
      </c>
      <c r="I92" s="8">
        <v>14500</v>
      </c>
      <c r="J92" s="8">
        <v>13637</v>
      </c>
      <c r="K92" s="8">
        <v>200</v>
      </c>
      <c r="L92" s="14" t="s">
        <v>613</v>
      </c>
      <c r="M92" s="14" t="s">
        <v>31</v>
      </c>
    </row>
    <row r="93" spans="1:13" x14ac:dyDescent="0.3">
      <c r="A93" s="18" t="s">
        <v>217</v>
      </c>
      <c r="B93" s="18" t="s">
        <v>27</v>
      </c>
      <c r="C93" s="19">
        <v>45580</v>
      </c>
      <c r="D93" s="18" t="s">
        <v>74</v>
      </c>
      <c r="E93" s="18" t="s">
        <v>219</v>
      </c>
      <c r="F93" s="9">
        <v>1094</v>
      </c>
      <c r="G93" s="9">
        <v>472</v>
      </c>
      <c r="H93" s="9">
        <v>21</v>
      </c>
      <c r="I93" s="9">
        <v>9846</v>
      </c>
      <c r="J93" s="9">
        <v>9609</v>
      </c>
      <c r="K93" s="9">
        <v>112</v>
      </c>
      <c r="L93" s="18" t="s">
        <v>37</v>
      </c>
      <c r="M93" s="18"/>
    </row>
    <row r="94" spans="1:13" x14ac:dyDescent="0.3">
      <c r="A94" s="14" t="s">
        <v>220</v>
      </c>
      <c r="B94" s="14" t="s">
        <v>43</v>
      </c>
      <c r="C94" s="15">
        <v>45635</v>
      </c>
      <c r="D94" s="14" t="s">
        <v>52</v>
      </c>
      <c r="E94" s="14" t="s">
        <v>59</v>
      </c>
      <c r="F94" s="8">
        <v>1841</v>
      </c>
      <c r="G94" s="8">
        <v>851</v>
      </c>
      <c r="H94" s="8">
        <v>342</v>
      </c>
      <c r="I94" s="8">
        <v>34979</v>
      </c>
      <c r="J94" s="8">
        <v>34154</v>
      </c>
      <c r="K94" s="8">
        <v>255</v>
      </c>
      <c r="L94" s="14" t="s">
        <v>62</v>
      </c>
      <c r="M94" s="14" t="s">
        <v>38</v>
      </c>
    </row>
    <row r="95" spans="1:13" x14ac:dyDescent="0.3">
      <c r="A95" s="18" t="s">
        <v>222</v>
      </c>
      <c r="B95" s="18" t="s">
        <v>33</v>
      </c>
      <c r="C95" s="19">
        <v>45766</v>
      </c>
      <c r="D95" s="18" t="s">
        <v>52</v>
      </c>
      <c r="E95" s="18" t="s">
        <v>215</v>
      </c>
      <c r="F95" s="9">
        <v>4177</v>
      </c>
      <c r="G95" s="9">
        <v>569</v>
      </c>
      <c r="H95" s="9">
        <v>55</v>
      </c>
      <c r="I95" s="9">
        <v>25062</v>
      </c>
      <c r="J95" s="9">
        <v>24847</v>
      </c>
      <c r="K95" s="9">
        <v>230</v>
      </c>
      <c r="L95" s="18" t="s">
        <v>62</v>
      </c>
      <c r="M95" s="18" t="s">
        <v>19</v>
      </c>
    </row>
    <row r="96" spans="1:13" x14ac:dyDescent="0.3">
      <c r="A96" s="14" t="s">
        <v>223</v>
      </c>
      <c r="B96" s="14" t="s">
        <v>27</v>
      </c>
      <c r="C96" s="15">
        <v>45684</v>
      </c>
      <c r="D96" s="14" t="s">
        <v>22</v>
      </c>
      <c r="E96" s="14" t="s">
        <v>104</v>
      </c>
      <c r="F96" s="8">
        <v>3428</v>
      </c>
      <c r="G96" s="8">
        <v>305</v>
      </c>
      <c r="H96" s="8">
        <v>85</v>
      </c>
      <c r="I96" s="8">
        <v>58276</v>
      </c>
      <c r="J96" s="8">
        <v>58052</v>
      </c>
      <c r="K96" s="8">
        <v>242</v>
      </c>
      <c r="L96" s="14" t="s">
        <v>37</v>
      </c>
      <c r="M96" s="14" t="s">
        <v>38</v>
      </c>
    </row>
    <row r="97" spans="1:13" x14ac:dyDescent="0.3">
      <c r="A97" s="18" t="s">
        <v>223</v>
      </c>
      <c r="B97" s="18" t="s">
        <v>27</v>
      </c>
      <c r="C97" s="19">
        <v>45684</v>
      </c>
      <c r="D97" s="18" t="s">
        <v>22</v>
      </c>
      <c r="E97" s="18" t="s">
        <v>104</v>
      </c>
      <c r="F97" s="9">
        <v>3428</v>
      </c>
      <c r="G97" s="9">
        <v>305</v>
      </c>
      <c r="H97" s="9">
        <v>85</v>
      </c>
      <c r="I97" s="9">
        <v>58276</v>
      </c>
      <c r="J97" s="9">
        <v>58052</v>
      </c>
      <c r="K97" s="9">
        <v>242</v>
      </c>
      <c r="L97" s="18" t="s">
        <v>614</v>
      </c>
      <c r="M97" s="18" t="s">
        <v>38</v>
      </c>
    </row>
    <row r="98" spans="1:13" x14ac:dyDescent="0.3">
      <c r="A98" s="14" t="s">
        <v>225</v>
      </c>
      <c r="B98" s="14" t="s">
        <v>14</v>
      </c>
      <c r="C98" s="15">
        <v>45449</v>
      </c>
      <c r="D98" s="14" t="s">
        <v>74</v>
      </c>
      <c r="E98" s="14" t="s">
        <v>145</v>
      </c>
      <c r="F98" s="8">
        <v>1436</v>
      </c>
      <c r="G98" s="8">
        <v>765</v>
      </c>
      <c r="H98" s="8">
        <v>496</v>
      </c>
      <c r="I98" s="8">
        <v>12924</v>
      </c>
      <c r="J98" s="8">
        <v>12701</v>
      </c>
      <c r="K98" s="8">
        <v>197</v>
      </c>
      <c r="L98" s="14" t="s">
        <v>62</v>
      </c>
      <c r="M98" s="14" t="s">
        <v>31</v>
      </c>
    </row>
    <row r="99" spans="1:13" x14ac:dyDescent="0.3">
      <c r="A99" s="18" t="s">
        <v>227</v>
      </c>
      <c r="B99" s="18" t="s">
        <v>43</v>
      </c>
      <c r="C99" s="19">
        <v>45480</v>
      </c>
      <c r="D99" s="18" t="s">
        <v>35</v>
      </c>
      <c r="E99" s="18" t="s">
        <v>71</v>
      </c>
      <c r="F99" s="9">
        <v>302</v>
      </c>
      <c r="G99" s="9">
        <v>47</v>
      </c>
      <c r="H99" s="9">
        <v>430</v>
      </c>
      <c r="I99" s="9">
        <v>5738</v>
      </c>
      <c r="J99" s="9">
        <v>4890</v>
      </c>
      <c r="K99" s="9">
        <v>25</v>
      </c>
      <c r="L99" s="18" t="s">
        <v>30</v>
      </c>
      <c r="M99" s="18" t="s">
        <v>38</v>
      </c>
    </row>
    <row r="100" spans="1:13" x14ac:dyDescent="0.3">
      <c r="A100" s="14" t="s">
        <v>229</v>
      </c>
      <c r="B100" s="14" t="s">
        <v>14</v>
      </c>
      <c r="C100" s="15">
        <v>45667</v>
      </c>
      <c r="D100" s="14" t="s">
        <v>52</v>
      </c>
      <c r="E100" s="14" t="s">
        <v>132</v>
      </c>
      <c r="F100" s="8">
        <v>2214</v>
      </c>
      <c r="G100" s="8">
        <v>249</v>
      </c>
      <c r="H100" s="8">
        <v>152</v>
      </c>
      <c r="I100" s="8">
        <v>15498</v>
      </c>
      <c r="J100" s="8">
        <v>14800</v>
      </c>
      <c r="K100" s="8">
        <v>180</v>
      </c>
      <c r="L100" s="14" t="s">
        <v>37</v>
      </c>
      <c r="M100" s="14"/>
    </row>
    <row r="101" spans="1:13" x14ac:dyDescent="0.3">
      <c r="A101" s="18" t="s">
        <v>231</v>
      </c>
      <c r="B101" s="18" t="s">
        <v>33</v>
      </c>
      <c r="C101" s="19">
        <v>45446</v>
      </c>
      <c r="D101" s="18" t="s">
        <v>52</v>
      </c>
      <c r="E101" s="18" t="s">
        <v>215</v>
      </c>
      <c r="F101" s="9">
        <v>3861</v>
      </c>
      <c r="G101" s="9">
        <v>960</v>
      </c>
      <c r="H101" s="9">
        <v>101</v>
      </c>
      <c r="I101" s="9">
        <v>69498</v>
      </c>
      <c r="J101" s="9">
        <v>68817</v>
      </c>
      <c r="K101" s="9">
        <v>297</v>
      </c>
      <c r="L101" s="18" t="s">
        <v>30</v>
      </c>
      <c r="M101" s="18" t="s">
        <v>38</v>
      </c>
    </row>
    <row r="102" spans="1:13" x14ac:dyDescent="0.3">
      <c r="A102" s="14" t="s">
        <v>233</v>
      </c>
      <c r="B102" s="14" t="s">
        <v>43</v>
      </c>
      <c r="C102" s="15">
        <v>45740</v>
      </c>
      <c r="D102" s="14" t="s">
        <v>52</v>
      </c>
      <c r="E102" s="14" t="s">
        <v>59</v>
      </c>
      <c r="F102" s="8">
        <v>1263</v>
      </c>
      <c r="G102" s="8">
        <v>397</v>
      </c>
      <c r="H102" s="8">
        <v>357</v>
      </c>
      <c r="I102" s="8">
        <v>25260</v>
      </c>
      <c r="J102" s="8">
        <v>24615</v>
      </c>
      <c r="K102" s="8">
        <v>137</v>
      </c>
      <c r="L102" s="14" t="s">
        <v>37</v>
      </c>
      <c r="M102" s="14" t="s">
        <v>38</v>
      </c>
    </row>
    <row r="103" spans="1:13" x14ac:dyDescent="0.3">
      <c r="A103" s="18" t="s">
        <v>235</v>
      </c>
      <c r="B103" s="18" t="s">
        <v>14</v>
      </c>
      <c r="C103" s="19">
        <v>45586</v>
      </c>
      <c r="D103" s="18" t="s">
        <v>35</v>
      </c>
      <c r="E103" s="18" t="s">
        <v>149</v>
      </c>
      <c r="F103" s="9">
        <v>3801</v>
      </c>
      <c r="G103" s="9">
        <v>967</v>
      </c>
      <c r="H103" s="9">
        <v>401</v>
      </c>
      <c r="I103" s="9">
        <v>38010</v>
      </c>
      <c r="J103" s="9">
        <v>37625</v>
      </c>
      <c r="K103" s="9">
        <v>236</v>
      </c>
      <c r="L103" s="18" t="s">
        <v>62</v>
      </c>
      <c r="M103" s="18" t="s">
        <v>31</v>
      </c>
    </row>
    <row r="104" spans="1:13" x14ac:dyDescent="0.3">
      <c r="A104" s="14" t="s">
        <v>236</v>
      </c>
      <c r="B104" s="14" t="s">
        <v>33</v>
      </c>
      <c r="C104" s="15">
        <v>45637</v>
      </c>
      <c r="D104" s="14" t="s">
        <v>74</v>
      </c>
      <c r="E104" s="14" t="s">
        <v>85</v>
      </c>
      <c r="F104" s="8">
        <v>1431</v>
      </c>
      <c r="G104" s="8">
        <v>951</v>
      </c>
      <c r="H104" s="8">
        <v>26</v>
      </c>
      <c r="I104" s="8">
        <v>8586</v>
      </c>
      <c r="J104" s="8">
        <v>8396</v>
      </c>
      <c r="K104" s="8">
        <v>150</v>
      </c>
      <c r="L104" s="14" t="s">
        <v>37</v>
      </c>
      <c r="M104" s="14" t="s">
        <v>31</v>
      </c>
    </row>
    <row r="105" spans="1:13" x14ac:dyDescent="0.3">
      <c r="A105" s="18" t="s">
        <v>238</v>
      </c>
      <c r="B105" s="18" t="s">
        <v>33</v>
      </c>
      <c r="C105" s="19">
        <v>45603</v>
      </c>
      <c r="D105" s="18" t="s">
        <v>52</v>
      </c>
      <c r="E105" s="18" t="s">
        <v>215</v>
      </c>
      <c r="F105" s="9">
        <v>2647</v>
      </c>
      <c r="G105" s="9">
        <v>304</v>
      </c>
      <c r="H105" s="9">
        <v>170</v>
      </c>
      <c r="I105" s="9">
        <v>18529</v>
      </c>
      <c r="J105" s="9">
        <v>17841</v>
      </c>
      <c r="K105" s="9">
        <v>46</v>
      </c>
      <c r="L105" s="18" t="s">
        <v>62</v>
      </c>
      <c r="M105" s="18" t="s">
        <v>31</v>
      </c>
    </row>
    <row r="106" spans="1:13" x14ac:dyDescent="0.3">
      <c r="A106" s="14" t="s">
        <v>239</v>
      </c>
      <c r="B106" s="14" t="s">
        <v>33</v>
      </c>
      <c r="C106" s="15">
        <v>45604</v>
      </c>
      <c r="D106" s="14" t="s">
        <v>22</v>
      </c>
      <c r="E106" s="14" t="s">
        <v>113</v>
      </c>
      <c r="F106" s="8">
        <v>3182</v>
      </c>
      <c r="G106" s="8">
        <v>559</v>
      </c>
      <c r="H106" s="8">
        <v>160</v>
      </c>
      <c r="I106" s="8">
        <v>57276</v>
      </c>
      <c r="J106" s="8">
        <v>56890</v>
      </c>
      <c r="K106" s="8">
        <v>163</v>
      </c>
      <c r="L106" s="14" t="s">
        <v>62</v>
      </c>
      <c r="M106" s="14" t="s">
        <v>38</v>
      </c>
    </row>
    <row r="107" spans="1:13" x14ac:dyDescent="0.3">
      <c r="A107" s="18" t="s">
        <v>241</v>
      </c>
      <c r="B107" s="18" t="s">
        <v>14</v>
      </c>
      <c r="C107" s="19">
        <v>45545</v>
      </c>
      <c r="D107" s="18" t="s">
        <v>52</v>
      </c>
      <c r="E107" s="18" t="s">
        <v>132</v>
      </c>
      <c r="F107" s="9">
        <v>1238</v>
      </c>
      <c r="G107" s="9">
        <v>366</v>
      </c>
      <c r="H107" s="9">
        <v>444</v>
      </c>
      <c r="I107" s="9">
        <v>19808</v>
      </c>
      <c r="J107" s="9">
        <v>19334</v>
      </c>
      <c r="K107" s="9">
        <v>123</v>
      </c>
      <c r="L107" s="18" t="s">
        <v>62</v>
      </c>
      <c r="M107" s="18"/>
    </row>
    <row r="108" spans="1:13" x14ac:dyDescent="0.3">
      <c r="A108" s="14" t="s">
        <v>243</v>
      </c>
      <c r="B108" s="14" t="s">
        <v>33</v>
      </c>
      <c r="C108" s="15">
        <v>45517</v>
      </c>
      <c r="D108" s="14" t="s">
        <v>52</v>
      </c>
      <c r="E108" s="14" t="s">
        <v>215</v>
      </c>
      <c r="F108" s="8">
        <v>4739</v>
      </c>
      <c r="G108" s="8">
        <v>527</v>
      </c>
      <c r="H108" s="8">
        <v>135</v>
      </c>
      <c r="I108" s="8">
        <v>61607</v>
      </c>
      <c r="J108" s="8">
        <v>61333</v>
      </c>
      <c r="K108" s="8">
        <v>36</v>
      </c>
      <c r="L108" s="14" t="s">
        <v>30</v>
      </c>
      <c r="M108" s="14" t="s">
        <v>25</v>
      </c>
    </row>
    <row r="109" spans="1:13" x14ac:dyDescent="0.3">
      <c r="A109" s="18" t="s">
        <v>243</v>
      </c>
      <c r="B109" s="18" t="s">
        <v>33</v>
      </c>
      <c r="C109" s="19">
        <v>45517</v>
      </c>
      <c r="D109" s="18" t="s">
        <v>52</v>
      </c>
      <c r="E109" s="18" t="s">
        <v>215</v>
      </c>
      <c r="F109" s="9">
        <v>4739</v>
      </c>
      <c r="G109" s="9">
        <v>527</v>
      </c>
      <c r="H109" s="9">
        <v>135</v>
      </c>
      <c r="I109" s="9">
        <v>61607</v>
      </c>
      <c r="J109" s="9">
        <v>61333</v>
      </c>
      <c r="K109" s="9">
        <v>36</v>
      </c>
      <c r="L109" s="18" t="s">
        <v>613</v>
      </c>
      <c r="M109" s="18" t="s">
        <v>25</v>
      </c>
    </row>
    <row r="110" spans="1:13" x14ac:dyDescent="0.3">
      <c r="A110" s="14" t="s">
        <v>245</v>
      </c>
      <c r="B110" s="14" t="s">
        <v>14</v>
      </c>
      <c r="C110" s="15">
        <v>45453</v>
      </c>
      <c r="D110" s="14" t="s">
        <v>35</v>
      </c>
      <c r="E110" s="14" t="s">
        <v>149</v>
      </c>
      <c r="F110" s="8">
        <v>1575</v>
      </c>
      <c r="G110" s="8">
        <v>771</v>
      </c>
      <c r="H110" s="8">
        <v>486</v>
      </c>
      <c r="I110" s="8">
        <v>25200</v>
      </c>
      <c r="J110" s="8">
        <v>24826</v>
      </c>
      <c r="K110" s="8">
        <v>17</v>
      </c>
      <c r="L110" s="14" t="s">
        <v>62</v>
      </c>
      <c r="M110" s="14" t="s">
        <v>38</v>
      </c>
    </row>
    <row r="111" spans="1:13" x14ac:dyDescent="0.3">
      <c r="A111" s="18" t="s">
        <v>246</v>
      </c>
      <c r="B111" s="18" t="s">
        <v>27</v>
      </c>
      <c r="C111" s="19">
        <v>45475</v>
      </c>
      <c r="D111" s="18" t="s">
        <v>45</v>
      </c>
      <c r="E111" s="18" t="s">
        <v>68</v>
      </c>
      <c r="F111" s="9">
        <v>4171</v>
      </c>
      <c r="G111" s="9">
        <v>548</v>
      </c>
      <c r="H111" s="9">
        <v>86</v>
      </c>
      <c r="I111" s="9">
        <v>66736</v>
      </c>
      <c r="J111" s="9">
        <v>66634</v>
      </c>
      <c r="K111" s="9">
        <v>173</v>
      </c>
      <c r="L111" s="18" t="s">
        <v>62</v>
      </c>
      <c r="M111" s="18" t="s">
        <v>31</v>
      </c>
    </row>
    <row r="112" spans="1:13" x14ac:dyDescent="0.3">
      <c r="A112" s="14" t="s">
        <v>248</v>
      </c>
      <c r="B112" s="14" t="s">
        <v>27</v>
      </c>
      <c r="C112" s="15">
        <v>45698</v>
      </c>
      <c r="D112" s="14" t="s">
        <v>74</v>
      </c>
      <c r="E112" s="14" t="s">
        <v>219</v>
      </c>
      <c r="F112" s="8">
        <v>1766</v>
      </c>
      <c r="G112" s="8">
        <v>92</v>
      </c>
      <c r="H112" s="8">
        <v>424</v>
      </c>
      <c r="I112" s="8">
        <v>24724</v>
      </c>
      <c r="J112" s="8">
        <v>24333</v>
      </c>
      <c r="K112" s="8">
        <v>52</v>
      </c>
      <c r="L112" s="14" t="s">
        <v>37</v>
      </c>
      <c r="M112" s="14"/>
    </row>
    <row r="113" spans="1:13" x14ac:dyDescent="0.3">
      <c r="A113" s="18" t="s">
        <v>250</v>
      </c>
      <c r="B113" s="18" t="s">
        <v>27</v>
      </c>
      <c r="C113" s="19">
        <v>45583</v>
      </c>
      <c r="D113" s="18" t="s">
        <v>74</v>
      </c>
      <c r="E113" s="18" t="s">
        <v>219</v>
      </c>
      <c r="F113" s="9">
        <v>4450</v>
      </c>
      <c r="G113" s="9">
        <v>983</v>
      </c>
      <c r="H113" s="9">
        <v>143</v>
      </c>
      <c r="I113" s="9">
        <v>75650</v>
      </c>
      <c r="J113" s="9">
        <v>75008</v>
      </c>
      <c r="K113" s="9">
        <v>12</v>
      </c>
      <c r="L113" s="18" t="s">
        <v>62</v>
      </c>
      <c r="M113" s="18" t="s">
        <v>31</v>
      </c>
    </row>
    <row r="114" spans="1:13" x14ac:dyDescent="0.3">
      <c r="A114" s="14" t="s">
        <v>251</v>
      </c>
      <c r="B114" s="14" t="s">
        <v>14</v>
      </c>
      <c r="C114" s="15">
        <v>45553</v>
      </c>
      <c r="D114" s="14" t="s">
        <v>16</v>
      </c>
      <c r="E114" s="14" t="s">
        <v>17</v>
      </c>
      <c r="F114" s="8">
        <v>1000</v>
      </c>
      <c r="G114" s="8">
        <v>978</v>
      </c>
      <c r="H114" s="8">
        <v>162</v>
      </c>
      <c r="I114" s="8">
        <v>6000</v>
      </c>
      <c r="J114" s="8">
        <v>5221</v>
      </c>
      <c r="K114" s="8">
        <v>223</v>
      </c>
      <c r="L114" s="14" t="s">
        <v>37</v>
      </c>
      <c r="M114" s="14" t="s">
        <v>25</v>
      </c>
    </row>
    <row r="115" spans="1:13" x14ac:dyDescent="0.3">
      <c r="A115" s="18" t="s">
        <v>253</v>
      </c>
      <c r="B115" s="18" t="s">
        <v>43</v>
      </c>
      <c r="C115" s="19">
        <v>45454</v>
      </c>
      <c r="D115" s="18" t="s">
        <v>52</v>
      </c>
      <c r="E115" s="18" t="s">
        <v>59</v>
      </c>
      <c r="F115" s="9">
        <v>3689</v>
      </c>
      <c r="G115" s="9">
        <v>48</v>
      </c>
      <c r="H115" s="9">
        <v>306</v>
      </c>
      <c r="I115" s="9">
        <v>40579</v>
      </c>
      <c r="J115" s="9">
        <v>39588</v>
      </c>
      <c r="K115" s="9">
        <v>212</v>
      </c>
      <c r="L115" s="18" t="s">
        <v>37</v>
      </c>
      <c r="M115" s="18" t="s">
        <v>25</v>
      </c>
    </row>
    <row r="116" spans="1:13" x14ac:dyDescent="0.3">
      <c r="A116" s="14" t="s">
        <v>255</v>
      </c>
      <c r="B116" s="14" t="s">
        <v>27</v>
      </c>
      <c r="C116" s="15">
        <v>45739</v>
      </c>
      <c r="D116" s="14" t="s">
        <v>35</v>
      </c>
      <c r="E116" s="14" t="s">
        <v>154</v>
      </c>
      <c r="F116" s="8">
        <v>3655</v>
      </c>
      <c r="G116" s="8">
        <v>568</v>
      </c>
      <c r="H116" s="8">
        <v>286</v>
      </c>
      <c r="I116" s="8">
        <v>32895</v>
      </c>
      <c r="J116" s="8">
        <v>32015</v>
      </c>
      <c r="K116" s="8">
        <v>199</v>
      </c>
      <c r="L116" s="14" t="s">
        <v>30</v>
      </c>
      <c r="M116" s="14" t="s">
        <v>31</v>
      </c>
    </row>
    <row r="117" spans="1:13" x14ac:dyDescent="0.3">
      <c r="A117" s="18" t="s">
        <v>257</v>
      </c>
      <c r="B117" s="18" t="s">
        <v>33</v>
      </c>
      <c r="C117" s="19">
        <v>45457</v>
      </c>
      <c r="D117" s="18" t="s">
        <v>45</v>
      </c>
      <c r="E117" s="18" t="s">
        <v>88</v>
      </c>
      <c r="F117" s="9">
        <v>498</v>
      </c>
      <c r="G117" s="9">
        <v>38</v>
      </c>
      <c r="H117" s="9">
        <v>42</v>
      </c>
      <c r="I117" s="9">
        <v>4482</v>
      </c>
      <c r="J117" s="9">
        <v>3647</v>
      </c>
      <c r="K117" s="9">
        <v>32</v>
      </c>
      <c r="L117" s="18" t="s">
        <v>62</v>
      </c>
      <c r="M117" s="18" t="s">
        <v>19</v>
      </c>
    </row>
    <row r="118" spans="1:13" x14ac:dyDescent="0.3">
      <c r="A118" s="14" t="s">
        <v>259</v>
      </c>
      <c r="B118" s="14" t="s">
        <v>33</v>
      </c>
      <c r="C118" s="15">
        <v>45692</v>
      </c>
      <c r="D118" s="14" t="s">
        <v>52</v>
      </c>
      <c r="E118" s="14" t="s">
        <v>215</v>
      </c>
      <c r="F118" s="8">
        <v>4619</v>
      </c>
      <c r="G118" s="8">
        <v>821</v>
      </c>
      <c r="H118" s="8">
        <v>499</v>
      </c>
      <c r="I118" s="8">
        <v>69285</v>
      </c>
      <c r="J118" s="8">
        <v>69141</v>
      </c>
      <c r="K118" s="8">
        <v>298</v>
      </c>
      <c r="L118" s="14" t="s">
        <v>30</v>
      </c>
      <c r="M118" s="14" t="s">
        <v>38</v>
      </c>
    </row>
    <row r="119" spans="1:13" x14ac:dyDescent="0.3">
      <c r="A119" s="18" t="s">
        <v>261</v>
      </c>
      <c r="B119" s="18" t="s">
        <v>27</v>
      </c>
      <c r="C119" s="19">
        <v>45464</v>
      </c>
      <c r="D119" s="18" t="s">
        <v>52</v>
      </c>
      <c r="E119" s="18" t="s">
        <v>53</v>
      </c>
      <c r="F119" s="9">
        <v>4832</v>
      </c>
      <c r="G119" s="9">
        <v>893</v>
      </c>
      <c r="H119" s="9">
        <v>10</v>
      </c>
      <c r="I119" s="9">
        <v>91808</v>
      </c>
      <c r="J119" s="9">
        <v>91296</v>
      </c>
      <c r="K119" s="9">
        <v>182</v>
      </c>
      <c r="L119" s="18" t="s">
        <v>30</v>
      </c>
      <c r="M119" s="18"/>
    </row>
    <row r="120" spans="1:13" x14ac:dyDescent="0.3">
      <c r="A120" s="14" t="s">
        <v>263</v>
      </c>
      <c r="B120" s="14" t="s">
        <v>14</v>
      </c>
      <c r="C120" s="15">
        <v>45741</v>
      </c>
      <c r="D120" s="14" t="s">
        <v>74</v>
      </c>
      <c r="E120" s="14" t="s">
        <v>145</v>
      </c>
      <c r="F120" s="8">
        <v>4050</v>
      </c>
      <c r="G120" s="8">
        <v>871</v>
      </c>
      <c r="H120" s="8">
        <v>347</v>
      </c>
      <c r="I120" s="8">
        <v>52650</v>
      </c>
      <c r="J120" s="8">
        <v>51755</v>
      </c>
      <c r="K120" s="8">
        <v>209</v>
      </c>
      <c r="L120" s="14" t="s">
        <v>30</v>
      </c>
      <c r="M120" s="14" t="s">
        <v>25</v>
      </c>
    </row>
    <row r="121" spans="1:13" x14ac:dyDescent="0.3">
      <c r="A121" s="18" t="s">
        <v>265</v>
      </c>
      <c r="B121" s="18" t="s">
        <v>14</v>
      </c>
      <c r="C121" s="19">
        <v>45512</v>
      </c>
      <c r="D121" s="18" t="s">
        <v>35</v>
      </c>
      <c r="E121" s="18" t="s">
        <v>149</v>
      </c>
      <c r="F121" s="9">
        <v>3649</v>
      </c>
      <c r="G121" s="9">
        <v>215</v>
      </c>
      <c r="H121" s="9">
        <v>413</v>
      </c>
      <c r="I121" s="9">
        <v>25543</v>
      </c>
      <c r="J121" s="9">
        <v>24963</v>
      </c>
      <c r="K121" s="9">
        <v>167</v>
      </c>
      <c r="L121" s="18" t="s">
        <v>62</v>
      </c>
      <c r="M121" s="18" t="s">
        <v>31</v>
      </c>
    </row>
    <row r="122" spans="1:13" x14ac:dyDescent="0.3">
      <c r="A122" s="14" t="s">
        <v>267</v>
      </c>
      <c r="B122" s="14" t="s">
        <v>33</v>
      </c>
      <c r="C122" s="15">
        <v>45502</v>
      </c>
      <c r="D122" s="14" t="s">
        <v>16</v>
      </c>
      <c r="E122" s="14" t="s">
        <v>82</v>
      </c>
      <c r="F122" s="8">
        <v>3523</v>
      </c>
      <c r="G122" s="8">
        <v>753</v>
      </c>
      <c r="H122" s="8">
        <v>482</v>
      </c>
      <c r="I122" s="8">
        <v>38753</v>
      </c>
      <c r="J122" s="8">
        <v>38579</v>
      </c>
      <c r="K122" s="8">
        <v>270</v>
      </c>
      <c r="L122" s="14" t="s">
        <v>37</v>
      </c>
      <c r="M122" s="14" t="s">
        <v>25</v>
      </c>
    </row>
    <row r="123" spans="1:13" x14ac:dyDescent="0.3">
      <c r="A123" s="18" t="s">
        <v>269</v>
      </c>
      <c r="B123" s="18" t="s">
        <v>27</v>
      </c>
      <c r="C123" s="19">
        <v>45619</v>
      </c>
      <c r="D123" s="18" t="s">
        <v>52</v>
      </c>
      <c r="E123" s="18" t="s">
        <v>53</v>
      </c>
      <c r="F123" s="9">
        <v>2719</v>
      </c>
      <c r="G123" s="9">
        <v>17</v>
      </c>
      <c r="H123" s="9">
        <v>285</v>
      </c>
      <c r="I123" s="9">
        <v>40785</v>
      </c>
      <c r="J123" s="9">
        <v>40281</v>
      </c>
      <c r="K123" s="9">
        <v>40</v>
      </c>
      <c r="L123" s="18" t="s">
        <v>30</v>
      </c>
      <c r="M123" s="18" t="s">
        <v>25</v>
      </c>
    </row>
    <row r="124" spans="1:13" x14ac:dyDescent="0.3">
      <c r="A124" s="14" t="s">
        <v>271</v>
      </c>
      <c r="B124" s="14" t="s">
        <v>14</v>
      </c>
      <c r="C124" s="15">
        <v>45570</v>
      </c>
      <c r="D124" s="14" t="s">
        <v>35</v>
      </c>
      <c r="E124" s="14" t="s">
        <v>149</v>
      </c>
      <c r="F124" s="8">
        <v>1957</v>
      </c>
      <c r="G124" s="8">
        <v>877</v>
      </c>
      <c r="H124" s="8">
        <v>238</v>
      </c>
      <c r="I124" s="8">
        <v>17613</v>
      </c>
      <c r="J124" s="8">
        <v>16865</v>
      </c>
      <c r="K124" s="8">
        <v>297</v>
      </c>
      <c r="L124" s="14" t="s">
        <v>62</v>
      </c>
      <c r="M124" s="14" t="s">
        <v>31</v>
      </c>
    </row>
    <row r="125" spans="1:13" x14ac:dyDescent="0.3">
      <c r="A125" s="18" t="s">
        <v>273</v>
      </c>
      <c r="B125" s="18" t="s">
        <v>14</v>
      </c>
      <c r="C125" s="19">
        <v>45567</v>
      </c>
      <c r="D125" s="18" t="s">
        <v>45</v>
      </c>
      <c r="E125" s="18" t="s">
        <v>49</v>
      </c>
      <c r="F125" s="9">
        <v>4419</v>
      </c>
      <c r="G125" s="9">
        <v>236</v>
      </c>
      <c r="H125" s="9">
        <v>369</v>
      </c>
      <c r="I125" s="9">
        <v>44190</v>
      </c>
      <c r="J125" s="9">
        <v>43582</v>
      </c>
      <c r="K125" s="9">
        <v>10</v>
      </c>
      <c r="L125" s="18" t="s">
        <v>37</v>
      </c>
      <c r="M125" s="18" t="s">
        <v>19</v>
      </c>
    </row>
    <row r="126" spans="1:13" x14ac:dyDescent="0.3">
      <c r="A126" s="14" t="s">
        <v>275</v>
      </c>
      <c r="B126" s="14" t="s">
        <v>14</v>
      </c>
      <c r="C126" s="15">
        <v>45610</v>
      </c>
      <c r="D126" s="14" t="s">
        <v>35</v>
      </c>
      <c r="E126" s="14" t="s">
        <v>149</v>
      </c>
      <c r="F126" s="8">
        <v>4000</v>
      </c>
      <c r="G126" s="8">
        <v>689</v>
      </c>
      <c r="H126" s="8">
        <v>488</v>
      </c>
      <c r="I126" s="8">
        <v>40000</v>
      </c>
      <c r="J126" s="8">
        <v>39569</v>
      </c>
      <c r="K126" s="8">
        <v>44</v>
      </c>
      <c r="L126" s="14" t="s">
        <v>62</v>
      </c>
      <c r="M126" s="14" t="s">
        <v>19</v>
      </c>
    </row>
    <row r="127" spans="1:13" x14ac:dyDescent="0.3">
      <c r="A127" s="18" t="s">
        <v>277</v>
      </c>
      <c r="B127" s="18" t="s">
        <v>14</v>
      </c>
      <c r="C127" s="19">
        <v>45788</v>
      </c>
      <c r="D127" s="18" t="s">
        <v>52</v>
      </c>
      <c r="E127" s="18" t="s">
        <v>132</v>
      </c>
      <c r="F127" s="9">
        <v>2493</v>
      </c>
      <c r="G127" s="9">
        <v>97</v>
      </c>
      <c r="H127" s="9">
        <v>44</v>
      </c>
      <c r="I127" s="9">
        <v>42381</v>
      </c>
      <c r="J127" s="9">
        <v>41991</v>
      </c>
      <c r="K127" s="9">
        <v>242</v>
      </c>
      <c r="L127" s="18" t="s">
        <v>30</v>
      </c>
      <c r="M127" s="18" t="s">
        <v>38</v>
      </c>
    </row>
    <row r="128" spans="1:13" x14ac:dyDescent="0.3">
      <c r="A128" s="14" t="s">
        <v>277</v>
      </c>
      <c r="B128" s="14" t="s">
        <v>14</v>
      </c>
      <c r="C128" s="15">
        <v>45788</v>
      </c>
      <c r="D128" s="14" t="s">
        <v>52</v>
      </c>
      <c r="E128" s="14" t="s">
        <v>132</v>
      </c>
      <c r="F128" s="8">
        <v>2493</v>
      </c>
      <c r="G128" s="8">
        <v>97</v>
      </c>
      <c r="H128" s="8">
        <v>44</v>
      </c>
      <c r="I128" s="8">
        <v>42381</v>
      </c>
      <c r="J128" s="8">
        <v>41991</v>
      </c>
      <c r="K128" s="8">
        <v>242</v>
      </c>
      <c r="L128" s="14" t="s">
        <v>613</v>
      </c>
      <c r="M128" s="14" t="s">
        <v>38</v>
      </c>
    </row>
    <row r="129" spans="1:13" x14ac:dyDescent="0.3">
      <c r="A129" s="18" t="s">
        <v>279</v>
      </c>
      <c r="B129" s="18" t="s">
        <v>27</v>
      </c>
      <c r="C129" s="19">
        <v>45734</v>
      </c>
      <c r="D129" s="18" t="s">
        <v>16</v>
      </c>
      <c r="E129" s="18" t="s">
        <v>29</v>
      </c>
      <c r="F129" s="9">
        <v>3704</v>
      </c>
      <c r="G129" s="9">
        <v>186</v>
      </c>
      <c r="H129" s="9">
        <v>458</v>
      </c>
      <c r="I129" s="9">
        <v>25928</v>
      </c>
      <c r="J129" s="9">
        <v>25081</v>
      </c>
      <c r="K129" s="9">
        <v>131</v>
      </c>
      <c r="L129" s="18" t="s">
        <v>30</v>
      </c>
      <c r="M129" s="18"/>
    </row>
    <row r="130" spans="1:13" x14ac:dyDescent="0.3">
      <c r="A130" s="14" t="s">
        <v>281</v>
      </c>
      <c r="B130" s="14" t="s">
        <v>14</v>
      </c>
      <c r="C130" s="15">
        <v>45600</v>
      </c>
      <c r="D130" s="14" t="s">
        <v>52</v>
      </c>
      <c r="E130" s="14" t="s">
        <v>132</v>
      </c>
      <c r="F130" s="8">
        <v>1606</v>
      </c>
      <c r="G130" s="8">
        <v>451</v>
      </c>
      <c r="H130" s="8">
        <v>405</v>
      </c>
      <c r="I130" s="8">
        <v>20878</v>
      </c>
      <c r="J130" s="8">
        <v>20190</v>
      </c>
      <c r="K130" s="8">
        <v>219</v>
      </c>
      <c r="L130" s="14" t="s">
        <v>37</v>
      </c>
      <c r="M130" s="14" t="s">
        <v>38</v>
      </c>
    </row>
    <row r="131" spans="1:13" x14ac:dyDescent="0.3">
      <c r="A131" s="18" t="s">
        <v>283</v>
      </c>
      <c r="B131" s="18" t="s">
        <v>43</v>
      </c>
      <c r="C131" s="19">
        <v>45600</v>
      </c>
      <c r="D131" s="18" t="s">
        <v>52</v>
      </c>
      <c r="E131" s="18" t="s">
        <v>59</v>
      </c>
      <c r="F131" s="9">
        <v>4551</v>
      </c>
      <c r="G131" s="9">
        <v>714</v>
      </c>
      <c r="H131" s="9">
        <v>207</v>
      </c>
      <c r="I131" s="9">
        <v>68265</v>
      </c>
      <c r="J131" s="9">
        <v>67754</v>
      </c>
      <c r="K131" s="9">
        <v>57</v>
      </c>
      <c r="L131" s="18" t="s">
        <v>62</v>
      </c>
      <c r="M131" s="18" t="s">
        <v>31</v>
      </c>
    </row>
    <row r="132" spans="1:13" x14ac:dyDescent="0.3">
      <c r="A132" s="14" t="s">
        <v>284</v>
      </c>
      <c r="B132" s="14" t="s">
        <v>33</v>
      </c>
      <c r="C132" s="15">
        <v>45695</v>
      </c>
      <c r="D132" s="14" t="s">
        <v>16</v>
      </c>
      <c r="E132" s="14" t="s">
        <v>82</v>
      </c>
      <c r="F132" s="8">
        <v>1970</v>
      </c>
      <c r="G132" s="8">
        <v>675</v>
      </c>
      <c r="H132" s="8">
        <v>478</v>
      </c>
      <c r="I132" s="8">
        <v>9850</v>
      </c>
      <c r="J132" s="8">
        <v>8924</v>
      </c>
      <c r="K132" s="8">
        <v>117</v>
      </c>
      <c r="L132" s="14" t="s">
        <v>62</v>
      </c>
      <c r="M132" s="14"/>
    </row>
    <row r="133" spans="1:13" x14ac:dyDescent="0.3">
      <c r="A133" s="18" t="s">
        <v>286</v>
      </c>
      <c r="B133" s="18" t="s">
        <v>43</v>
      </c>
      <c r="C133" s="19">
        <v>45586</v>
      </c>
      <c r="D133" s="18" t="s">
        <v>35</v>
      </c>
      <c r="E133" s="18" t="s">
        <v>71</v>
      </c>
      <c r="F133" s="9">
        <v>780</v>
      </c>
      <c r="G133" s="9">
        <v>928</v>
      </c>
      <c r="H133" s="9">
        <v>301</v>
      </c>
      <c r="I133" s="9">
        <v>8580</v>
      </c>
      <c r="J133" s="9">
        <v>8081</v>
      </c>
      <c r="K133" s="9">
        <v>91</v>
      </c>
      <c r="L133" s="18" t="s">
        <v>37</v>
      </c>
      <c r="M133" s="18" t="s">
        <v>31</v>
      </c>
    </row>
    <row r="134" spans="1:13" x14ac:dyDescent="0.3">
      <c r="A134" s="14" t="s">
        <v>287</v>
      </c>
      <c r="B134" s="14" t="s">
        <v>33</v>
      </c>
      <c r="C134" s="15">
        <v>45502</v>
      </c>
      <c r="D134" s="14" t="s">
        <v>35</v>
      </c>
      <c r="E134" s="14" t="s">
        <v>36</v>
      </c>
      <c r="F134" s="8">
        <v>498</v>
      </c>
      <c r="G134" s="8">
        <v>701</v>
      </c>
      <c r="H134" s="8">
        <v>412</v>
      </c>
      <c r="I134" s="8">
        <v>4980</v>
      </c>
      <c r="J134" s="8">
        <v>4185</v>
      </c>
      <c r="K134" s="8">
        <v>185</v>
      </c>
      <c r="L134" s="14" t="s">
        <v>62</v>
      </c>
      <c r="M134" s="14"/>
    </row>
    <row r="135" spans="1:13" x14ac:dyDescent="0.3">
      <c r="A135" s="18" t="s">
        <v>288</v>
      </c>
      <c r="B135" s="18" t="s">
        <v>33</v>
      </c>
      <c r="C135" s="19">
        <v>45567</v>
      </c>
      <c r="D135" s="18" t="s">
        <v>22</v>
      </c>
      <c r="E135" s="18" t="s">
        <v>113</v>
      </c>
      <c r="F135" s="9">
        <v>3432</v>
      </c>
      <c r="G135" s="9">
        <v>869</v>
      </c>
      <c r="H135" s="9">
        <v>123</v>
      </c>
      <c r="I135" s="9">
        <v>54912</v>
      </c>
      <c r="J135" s="9">
        <v>53916</v>
      </c>
      <c r="K135" s="9">
        <v>264</v>
      </c>
      <c r="L135" s="18" t="s">
        <v>37</v>
      </c>
      <c r="M135" s="18" t="s">
        <v>25</v>
      </c>
    </row>
    <row r="136" spans="1:13" x14ac:dyDescent="0.3">
      <c r="A136" s="14" t="s">
        <v>289</v>
      </c>
      <c r="B136" s="14" t="s">
        <v>33</v>
      </c>
      <c r="C136" s="15">
        <v>45457</v>
      </c>
      <c r="D136" s="14" t="s">
        <v>35</v>
      </c>
      <c r="E136" s="14" t="s">
        <v>36</v>
      </c>
      <c r="F136" s="8">
        <v>4363</v>
      </c>
      <c r="G136" s="8">
        <v>649</v>
      </c>
      <c r="H136" s="8">
        <v>140</v>
      </c>
      <c r="I136" s="8">
        <v>21815</v>
      </c>
      <c r="J136" s="8">
        <v>21481</v>
      </c>
      <c r="K136" s="8">
        <v>157</v>
      </c>
      <c r="L136" s="14" t="s">
        <v>37</v>
      </c>
      <c r="M136" s="14" t="s">
        <v>19</v>
      </c>
    </row>
    <row r="137" spans="1:13" x14ac:dyDescent="0.3">
      <c r="A137" s="18" t="s">
        <v>290</v>
      </c>
      <c r="B137" s="18" t="s">
        <v>27</v>
      </c>
      <c r="C137" s="19">
        <v>45753</v>
      </c>
      <c r="D137" s="18" t="s">
        <v>45</v>
      </c>
      <c r="E137" s="18" t="s">
        <v>68</v>
      </c>
      <c r="F137" s="9">
        <v>736</v>
      </c>
      <c r="G137" s="9">
        <v>771</v>
      </c>
      <c r="H137" s="9">
        <v>225</v>
      </c>
      <c r="I137" s="9">
        <v>5152</v>
      </c>
      <c r="J137" s="9">
        <v>4706</v>
      </c>
      <c r="K137" s="9">
        <v>19</v>
      </c>
      <c r="L137" s="18" t="s">
        <v>37</v>
      </c>
      <c r="M137" s="18" t="s">
        <v>19</v>
      </c>
    </row>
    <row r="138" spans="1:13" x14ac:dyDescent="0.3">
      <c r="A138" s="14" t="s">
        <v>292</v>
      </c>
      <c r="B138" s="14" t="s">
        <v>14</v>
      </c>
      <c r="C138" s="15">
        <v>45543</v>
      </c>
      <c r="D138" s="14" t="s">
        <v>45</v>
      </c>
      <c r="E138" s="14" t="s">
        <v>49</v>
      </c>
      <c r="F138" s="8">
        <v>3811</v>
      </c>
      <c r="G138" s="8">
        <v>866</v>
      </c>
      <c r="H138" s="8">
        <v>216</v>
      </c>
      <c r="I138" s="8">
        <v>34299</v>
      </c>
      <c r="J138" s="8">
        <v>34088</v>
      </c>
      <c r="K138" s="8">
        <v>233</v>
      </c>
      <c r="L138" s="14" t="s">
        <v>30</v>
      </c>
      <c r="M138" s="14" t="s">
        <v>38</v>
      </c>
    </row>
    <row r="139" spans="1:13" x14ac:dyDescent="0.3">
      <c r="A139" s="18" t="s">
        <v>294</v>
      </c>
      <c r="B139" s="18" t="s">
        <v>33</v>
      </c>
      <c r="C139" s="19">
        <v>45744</v>
      </c>
      <c r="D139" s="18" t="s">
        <v>45</v>
      </c>
      <c r="E139" s="18" t="s">
        <v>88</v>
      </c>
      <c r="F139" s="9">
        <v>4158</v>
      </c>
      <c r="G139" s="9">
        <v>167</v>
      </c>
      <c r="H139" s="9">
        <v>241</v>
      </c>
      <c r="I139" s="9">
        <v>45738</v>
      </c>
      <c r="J139" s="9">
        <v>45183</v>
      </c>
      <c r="K139" s="9">
        <v>142</v>
      </c>
      <c r="L139" s="18" t="s">
        <v>62</v>
      </c>
      <c r="M139" s="18"/>
    </row>
    <row r="140" spans="1:13" x14ac:dyDescent="0.3">
      <c r="A140" s="14" t="s">
        <v>295</v>
      </c>
      <c r="B140" s="14" t="s">
        <v>43</v>
      </c>
      <c r="C140" s="15">
        <v>45684</v>
      </c>
      <c r="D140" s="14" t="s">
        <v>16</v>
      </c>
      <c r="E140" s="14" t="s">
        <v>65</v>
      </c>
      <c r="F140" s="8">
        <v>3452</v>
      </c>
      <c r="G140" s="8">
        <v>652</v>
      </c>
      <c r="H140" s="8">
        <v>442</v>
      </c>
      <c r="I140" s="8">
        <v>65588</v>
      </c>
      <c r="J140" s="8">
        <v>65049</v>
      </c>
      <c r="K140" s="8">
        <v>158</v>
      </c>
      <c r="L140" s="14" t="s">
        <v>62</v>
      </c>
      <c r="M140" s="14" t="s">
        <v>31</v>
      </c>
    </row>
    <row r="141" spans="1:13" x14ac:dyDescent="0.3">
      <c r="A141" s="18" t="s">
        <v>296</v>
      </c>
      <c r="B141" s="18" t="s">
        <v>14</v>
      </c>
      <c r="C141" s="19">
        <v>45667</v>
      </c>
      <c r="D141" s="18" t="s">
        <v>52</v>
      </c>
      <c r="E141" s="18" t="s">
        <v>132</v>
      </c>
      <c r="F141" s="9">
        <v>3092</v>
      </c>
      <c r="G141" s="9">
        <v>106</v>
      </c>
      <c r="H141" s="9">
        <v>291</v>
      </c>
      <c r="I141" s="9">
        <v>27828</v>
      </c>
      <c r="J141" s="9">
        <v>27217</v>
      </c>
      <c r="K141" s="9">
        <v>102</v>
      </c>
      <c r="L141" s="18" t="s">
        <v>62</v>
      </c>
      <c r="M141" s="18"/>
    </row>
    <row r="142" spans="1:13" x14ac:dyDescent="0.3">
      <c r="A142" s="14" t="s">
        <v>297</v>
      </c>
      <c r="B142" s="14" t="s">
        <v>14</v>
      </c>
      <c r="C142" s="15">
        <v>45494</v>
      </c>
      <c r="D142" s="14" t="s">
        <v>22</v>
      </c>
      <c r="E142" s="14" t="s">
        <v>23</v>
      </c>
      <c r="F142" s="8">
        <v>2147</v>
      </c>
      <c r="G142" s="8">
        <v>430</v>
      </c>
      <c r="H142" s="8">
        <v>393</v>
      </c>
      <c r="I142" s="8">
        <v>17176</v>
      </c>
      <c r="J142" s="8">
        <v>16483</v>
      </c>
      <c r="K142" s="8">
        <v>170</v>
      </c>
      <c r="L142" s="14" t="s">
        <v>30</v>
      </c>
      <c r="M142" s="14"/>
    </row>
    <row r="143" spans="1:13" x14ac:dyDescent="0.3">
      <c r="A143" s="18" t="s">
        <v>298</v>
      </c>
      <c r="B143" s="18" t="s">
        <v>27</v>
      </c>
      <c r="C143" s="19">
        <v>45564</v>
      </c>
      <c r="D143" s="18" t="s">
        <v>16</v>
      </c>
      <c r="E143" s="18" t="s">
        <v>29</v>
      </c>
      <c r="F143" s="9">
        <v>2936</v>
      </c>
      <c r="G143" s="9">
        <v>439</v>
      </c>
      <c r="H143" s="9">
        <v>44</v>
      </c>
      <c r="I143" s="9">
        <v>38168</v>
      </c>
      <c r="J143" s="9">
        <v>37571</v>
      </c>
      <c r="K143" s="9">
        <v>22</v>
      </c>
      <c r="L143" s="18" t="s">
        <v>37</v>
      </c>
      <c r="M143" s="18" t="s">
        <v>38</v>
      </c>
    </row>
    <row r="144" spans="1:13" x14ac:dyDescent="0.3">
      <c r="A144" s="14" t="s">
        <v>300</v>
      </c>
      <c r="B144" s="14" t="s">
        <v>33</v>
      </c>
      <c r="C144" s="15">
        <v>45586</v>
      </c>
      <c r="D144" s="14" t="s">
        <v>16</v>
      </c>
      <c r="E144" s="14" t="s">
        <v>82</v>
      </c>
      <c r="F144" s="8">
        <v>4840</v>
      </c>
      <c r="G144" s="8">
        <v>658</v>
      </c>
      <c r="H144" s="8">
        <v>211</v>
      </c>
      <c r="I144" s="8">
        <v>43560</v>
      </c>
      <c r="J144" s="8">
        <v>43225</v>
      </c>
      <c r="K144" s="8">
        <v>57</v>
      </c>
      <c r="L144" s="14" t="s">
        <v>62</v>
      </c>
      <c r="M144" s="14" t="s">
        <v>31</v>
      </c>
    </row>
    <row r="145" spans="1:13" x14ac:dyDescent="0.3">
      <c r="A145" s="18" t="s">
        <v>301</v>
      </c>
      <c r="B145" s="18" t="s">
        <v>33</v>
      </c>
      <c r="C145" s="19">
        <v>45720</v>
      </c>
      <c r="D145" s="18" t="s">
        <v>35</v>
      </c>
      <c r="E145" s="18" t="s">
        <v>36</v>
      </c>
      <c r="F145" s="9">
        <v>1947</v>
      </c>
      <c r="G145" s="9">
        <v>842</v>
      </c>
      <c r="H145" s="9">
        <v>101</v>
      </c>
      <c r="I145" s="9">
        <v>21417</v>
      </c>
      <c r="J145" s="9">
        <v>20967</v>
      </c>
      <c r="K145" s="9">
        <v>186</v>
      </c>
      <c r="L145" s="18" t="s">
        <v>62</v>
      </c>
      <c r="M145" s="18" t="s">
        <v>25</v>
      </c>
    </row>
    <row r="146" spans="1:13" x14ac:dyDescent="0.3">
      <c r="A146" s="14" t="s">
        <v>302</v>
      </c>
      <c r="B146" s="14" t="s">
        <v>43</v>
      </c>
      <c r="C146" s="15">
        <v>45694</v>
      </c>
      <c r="D146" s="14" t="s">
        <v>52</v>
      </c>
      <c r="E146" s="14" t="s">
        <v>59</v>
      </c>
      <c r="F146" s="8">
        <v>2072</v>
      </c>
      <c r="G146" s="8">
        <v>532</v>
      </c>
      <c r="H146" s="8">
        <v>71</v>
      </c>
      <c r="I146" s="8">
        <v>37296</v>
      </c>
      <c r="J146" s="8">
        <v>36467</v>
      </c>
      <c r="K146" s="8">
        <v>25</v>
      </c>
      <c r="L146" s="14" t="s">
        <v>30</v>
      </c>
      <c r="M146" s="14" t="s">
        <v>38</v>
      </c>
    </row>
    <row r="147" spans="1:13" x14ac:dyDescent="0.3">
      <c r="A147" s="18" t="s">
        <v>304</v>
      </c>
      <c r="B147" s="18" t="s">
        <v>14</v>
      </c>
      <c r="C147" s="19">
        <v>45771</v>
      </c>
      <c r="D147" s="18" t="s">
        <v>16</v>
      </c>
      <c r="E147" s="18" t="s">
        <v>17</v>
      </c>
      <c r="F147" s="9">
        <v>3731</v>
      </c>
      <c r="G147" s="9">
        <v>115</v>
      </c>
      <c r="H147" s="9">
        <v>135</v>
      </c>
      <c r="I147" s="9">
        <v>55965</v>
      </c>
      <c r="J147" s="9">
        <v>55436</v>
      </c>
      <c r="K147" s="9">
        <v>103</v>
      </c>
      <c r="L147" s="18" t="s">
        <v>30</v>
      </c>
      <c r="M147" s="18" t="s">
        <v>19</v>
      </c>
    </row>
    <row r="148" spans="1:13" x14ac:dyDescent="0.3">
      <c r="A148" s="14" t="s">
        <v>306</v>
      </c>
      <c r="B148" s="14" t="s">
        <v>43</v>
      </c>
      <c r="C148" s="15">
        <v>45624</v>
      </c>
      <c r="D148" s="14" t="s">
        <v>22</v>
      </c>
      <c r="E148" s="14" t="s">
        <v>56</v>
      </c>
      <c r="F148" s="8">
        <v>4213</v>
      </c>
      <c r="G148" s="8">
        <v>253</v>
      </c>
      <c r="H148" s="8">
        <v>434</v>
      </c>
      <c r="I148" s="8">
        <v>75834</v>
      </c>
      <c r="J148" s="8">
        <v>75437</v>
      </c>
      <c r="K148" s="8">
        <v>272</v>
      </c>
      <c r="L148" s="14" t="s">
        <v>62</v>
      </c>
      <c r="M148" s="14" t="s">
        <v>38</v>
      </c>
    </row>
    <row r="149" spans="1:13" x14ac:dyDescent="0.3">
      <c r="A149" s="18" t="s">
        <v>308</v>
      </c>
      <c r="B149" s="18" t="s">
        <v>33</v>
      </c>
      <c r="C149" s="19">
        <v>45484</v>
      </c>
      <c r="D149" s="18" t="s">
        <v>22</v>
      </c>
      <c r="E149" s="18" t="s">
        <v>113</v>
      </c>
      <c r="F149" s="9">
        <v>3134</v>
      </c>
      <c r="G149" s="9">
        <v>888</v>
      </c>
      <c r="H149" s="9">
        <v>444</v>
      </c>
      <c r="I149" s="9">
        <v>21938</v>
      </c>
      <c r="J149" s="9">
        <v>21337</v>
      </c>
      <c r="K149" s="9">
        <v>130</v>
      </c>
      <c r="L149" s="18" t="s">
        <v>37</v>
      </c>
      <c r="M149" s="18" t="s">
        <v>38</v>
      </c>
    </row>
    <row r="150" spans="1:13" x14ac:dyDescent="0.3">
      <c r="A150" s="14" t="s">
        <v>310</v>
      </c>
      <c r="B150" s="14" t="s">
        <v>43</v>
      </c>
      <c r="C150" s="15">
        <v>45504</v>
      </c>
      <c r="D150" s="14" t="s">
        <v>74</v>
      </c>
      <c r="E150" s="14" t="s">
        <v>75</v>
      </c>
      <c r="F150" s="8">
        <v>3008</v>
      </c>
      <c r="G150" s="8">
        <v>94</v>
      </c>
      <c r="H150" s="8">
        <v>37</v>
      </c>
      <c r="I150" s="8">
        <v>15040</v>
      </c>
      <c r="J150" s="8">
        <v>14639</v>
      </c>
      <c r="K150" s="8">
        <v>277</v>
      </c>
      <c r="L150" s="14" t="s">
        <v>62</v>
      </c>
      <c r="M150" s="14"/>
    </row>
    <row r="151" spans="1:13" x14ac:dyDescent="0.3">
      <c r="A151" s="18" t="s">
        <v>311</v>
      </c>
      <c r="B151" s="18" t="s">
        <v>14</v>
      </c>
      <c r="C151" s="19">
        <v>45745</v>
      </c>
      <c r="D151" s="18" t="s">
        <v>52</v>
      </c>
      <c r="E151" s="18" t="s">
        <v>132</v>
      </c>
      <c r="F151" s="9">
        <v>305</v>
      </c>
      <c r="G151" s="9">
        <v>187</v>
      </c>
      <c r="H151" s="9">
        <v>243</v>
      </c>
      <c r="I151" s="9">
        <v>4575</v>
      </c>
      <c r="J151" s="9">
        <v>3704</v>
      </c>
      <c r="K151" s="9">
        <v>234</v>
      </c>
      <c r="L151" s="18" t="s">
        <v>62</v>
      </c>
      <c r="M151" s="18" t="s">
        <v>31</v>
      </c>
    </row>
    <row r="152" spans="1:13" x14ac:dyDescent="0.3">
      <c r="A152" s="14" t="s">
        <v>312</v>
      </c>
      <c r="B152" s="14" t="s">
        <v>27</v>
      </c>
      <c r="C152" s="15">
        <v>45594</v>
      </c>
      <c r="D152" s="14" t="s">
        <v>22</v>
      </c>
      <c r="E152" s="14" t="s">
        <v>104</v>
      </c>
      <c r="F152" s="8">
        <v>2746</v>
      </c>
      <c r="G152" s="8">
        <v>156</v>
      </c>
      <c r="H152" s="8">
        <v>203</v>
      </c>
      <c r="I152" s="8">
        <v>32952</v>
      </c>
      <c r="J152" s="8">
        <v>32147</v>
      </c>
      <c r="K152" s="8">
        <v>147</v>
      </c>
      <c r="L152" s="14" t="s">
        <v>37</v>
      </c>
      <c r="M152" s="14" t="s">
        <v>19</v>
      </c>
    </row>
    <row r="153" spans="1:13" x14ac:dyDescent="0.3">
      <c r="A153" s="18" t="s">
        <v>314</v>
      </c>
      <c r="B153" s="18" t="s">
        <v>43</v>
      </c>
      <c r="C153" s="19">
        <v>45488</v>
      </c>
      <c r="D153" s="18" t="s">
        <v>52</v>
      </c>
      <c r="E153" s="18" t="s">
        <v>59</v>
      </c>
      <c r="F153" s="9">
        <v>2291</v>
      </c>
      <c r="G153" s="9">
        <v>78</v>
      </c>
      <c r="H153" s="9">
        <v>485</v>
      </c>
      <c r="I153" s="9">
        <v>18328</v>
      </c>
      <c r="J153" s="9">
        <v>18101</v>
      </c>
      <c r="K153" s="9">
        <v>10</v>
      </c>
      <c r="L153" s="18" t="s">
        <v>37</v>
      </c>
      <c r="M153" s="18" t="s">
        <v>25</v>
      </c>
    </row>
    <row r="154" spans="1:13" x14ac:dyDescent="0.3">
      <c r="A154" s="14" t="s">
        <v>314</v>
      </c>
      <c r="B154" s="14" t="s">
        <v>43</v>
      </c>
      <c r="C154" s="15">
        <v>45488</v>
      </c>
      <c r="D154" s="14" t="s">
        <v>52</v>
      </c>
      <c r="E154" s="14" t="s">
        <v>59</v>
      </c>
      <c r="F154" s="8">
        <v>2291</v>
      </c>
      <c r="G154" s="8">
        <v>78</v>
      </c>
      <c r="H154" s="8">
        <v>485</v>
      </c>
      <c r="I154" s="8">
        <v>18328</v>
      </c>
      <c r="J154" s="8">
        <v>18101</v>
      </c>
      <c r="K154" s="8">
        <v>10</v>
      </c>
      <c r="L154" s="14" t="s">
        <v>607</v>
      </c>
      <c r="M154" s="14" t="s">
        <v>25</v>
      </c>
    </row>
    <row r="155" spans="1:13" x14ac:dyDescent="0.3">
      <c r="A155" s="18" t="s">
        <v>317</v>
      </c>
      <c r="B155" s="18" t="s">
        <v>14</v>
      </c>
      <c r="C155" s="19">
        <v>45535</v>
      </c>
      <c r="D155" s="18" t="s">
        <v>52</v>
      </c>
      <c r="E155" s="18" t="s">
        <v>132</v>
      </c>
      <c r="F155" s="9">
        <v>3170</v>
      </c>
      <c r="G155" s="9">
        <v>857</v>
      </c>
      <c r="H155" s="9">
        <v>379</v>
      </c>
      <c r="I155" s="9">
        <v>19020</v>
      </c>
      <c r="J155" s="9">
        <v>18559</v>
      </c>
      <c r="K155" s="9">
        <v>240</v>
      </c>
      <c r="L155" s="18" t="s">
        <v>62</v>
      </c>
      <c r="M155" s="18"/>
    </row>
    <row r="156" spans="1:13" x14ac:dyDescent="0.3">
      <c r="A156" s="14" t="s">
        <v>319</v>
      </c>
      <c r="B156" s="14" t="s">
        <v>27</v>
      </c>
      <c r="C156" s="15">
        <v>45741</v>
      </c>
      <c r="D156" s="14" t="s">
        <v>35</v>
      </c>
      <c r="E156" s="14" t="s">
        <v>154</v>
      </c>
      <c r="F156" s="8">
        <v>2070</v>
      </c>
      <c r="G156" s="8">
        <v>275</v>
      </c>
      <c r="H156" s="8">
        <v>386</v>
      </c>
      <c r="I156" s="8">
        <v>39330</v>
      </c>
      <c r="J156" s="8">
        <v>38627</v>
      </c>
      <c r="K156" s="8">
        <v>114</v>
      </c>
      <c r="L156" s="14" t="s">
        <v>62</v>
      </c>
      <c r="M156" s="14" t="s">
        <v>38</v>
      </c>
    </row>
    <row r="157" spans="1:13" x14ac:dyDescent="0.3">
      <c r="A157" s="18" t="s">
        <v>320</v>
      </c>
      <c r="B157" s="18" t="s">
        <v>27</v>
      </c>
      <c r="C157" s="19">
        <v>45567</v>
      </c>
      <c r="D157" s="18" t="s">
        <v>45</v>
      </c>
      <c r="E157" s="18" t="s">
        <v>68</v>
      </c>
      <c r="F157" s="9">
        <v>80</v>
      </c>
      <c r="G157" s="9">
        <v>362</v>
      </c>
      <c r="H157" s="9">
        <v>80</v>
      </c>
      <c r="I157" s="9">
        <v>1040</v>
      </c>
      <c r="J157" s="9">
        <v>349</v>
      </c>
      <c r="K157" s="9">
        <v>117</v>
      </c>
      <c r="L157" s="18" t="s">
        <v>30</v>
      </c>
      <c r="M157" s="18" t="s">
        <v>31</v>
      </c>
    </row>
    <row r="158" spans="1:13" x14ac:dyDescent="0.3">
      <c r="A158" s="14" t="s">
        <v>321</v>
      </c>
      <c r="B158" s="14" t="s">
        <v>27</v>
      </c>
      <c r="C158" s="15">
        <v>45593</v>
      </c>
      <c r="D158" s="14" t="s">
        <v>35</v>
      </c>
      <c r="E158" s="14" t="s">
        <v>154</v>
      </c>
      <c r="F158" s="8">
        <v>4929</v>
      </c>
      <c r="G158" s="8">
        <v>749</v>
      </c>
      <c r="H158" s="8">
        <v>452</v>
      </c>
      <c r="I158" s="8">
        <v>93651</v>
      </c>
      <c r="J158" s="8">
        <v>92810</v>
      </c>
      <c r="K158" s="8">
        <v>66</v>
      </c>
      <c r="L158" s="14" t="s">
        <v>37</v>
      </c>
      <c r="M158" s="14" t="s">
        <v>38</v>
      </c>
    </row>
    <row r="159" spans="1:13" x14ac:dyDescent="0.3">
      <c r="A159" s="18" t="s">
        <v>322</v>
      </c>
      <c r="B159" s="18" t="s">
        <v>33</v>
      </c>
      <c r="C159" s="19">
        <v>45516</v>
      </c>
      <c r="D159" s="18" t="s">
        <v>45</v>
      </c>
      <c r="E159" s="18" t="s">
        <v>88</v>
      </c>
      <c r="F159" s="9">
        <v>1878</v>
      </c>
      <c r="G159" s="9">
        <v>62</v>
      </c>
      <c r="H159" s="9">
        <v>179</v>
      </c>
      <c r="I159" s="9">
        <v>37560</v>
      </c>
      <c r="J159" s="9">
        <v>36874</v>
      </c>
      <c r="K159" s="9">
        <v>142</v>
      </c>
      <c r="L159" s="18" t="s">
        <v>30</v>
      </c>
      <c r="M159" s="18" t="s">
        <v>38</v>
      </c>
    </row>
    <row r="160" spans="1:13" x14ac:dyDescent="0.3">
      <c r="A160" s="14" t="s">
        <v>323</v>
      </c>
      <c r="B160" s="14" t="s">
        <v>27</v>
      </c>
      <c r="C160" s="15">
        <v>45448</v>
      </c>
      <c r="D160" s="14" t="s">
        <v>16</v>
      </c>
      <c r="E160" s="14" t="s">
        <v>29</v>
      </c>
      <c r="F160" s="8">
        <v>3065</v>
      </c>
      <c r="G160" s="8">
        <v>772</v>
      </c>
      <c r="H160" s="8">
        <v>142</v>
      </c>
      <c r="I160" s="8">
        <v>18390</v>
      </c>
      <c r="J160" s="8">
        <v>17875</v>
      </c>
      <c r="K160" s="8">
        <v>200</v>
      </c>
      <c r="L160" s="14" t="s">
        <v>37</v>
      </c>
      <c r="M160" s="14"/>
    </row>
    <row r="161" spans="1:13" x14ac:dyDescent="0.3">
      <c r="A161" s="18" t="s">
        <v>323</v>
      </c>
      <c r="B161" s="18" t="s">
        <v>27</v>
      </c>
      <c r="C161" s="19">
        <v>45448</v>
      </c>
      <c r="D161" s="18" t="s">
        <v>16</v>
      </c>
      <c r="E161" s="18" t="s">
        <v>29</v>
      </c>
      <c r="F161" s="9">
        <v>3065</v>
      </c>
      <c r="G161" s="9">
        <v>772</v>
      </c>
      <c r="H161" s="9">
        <v>142</v>
      </c>
      <c r="I161" s="9">
        <v>18390</v>
      </c>
      <c r="J161" s="9">
        <v>17875</v>
      </c>
      <c r="K161" s="9">
        <v>200</v>
      </c>
      <c r="L161" s="18" t="s">
        <v>613</v>
      </c>
      <c r="M161" s="18"/>
    </row>
    <row r="162" spans="1:13" x14ac:dyDescent="0.3">
      <c r="A162" s="14" t="s">
        <v>326</v>
      </c>
      <c r="B162" s="14" t="s">
        <v>33</v>
      </c>
      <c r="C162" s="15">
        <v>45586</v>
      </c>
      <c r="D162" s="14" t="s">
        <v>16</v>
      </c>
      <c r="E162" s="14" t="s">
        <v>82</v>
      </c>
      <c r="F162" s="8">
        <v>3256</v>
      </c>
      <c r="G162" s="8">
        <v>459</v>
      </c>
      <c r="H162" s="8">
        <v>266</v>
      </c>
      <c r="I162" s="8">
        <v>26048</v>
      </c>
      <c r="J162" s="8">
        <v>25529</v>
      </c>
      <c r="K162" s="8">
        <v>143</v>
      </c>
      <c r="L162" s="14" t="s">
        <v>30</v>
      </c>
      <c r="M162" s="14" t="s">
        <v>25</v>
      </c>
    </row>
    <row r="163" spans="1:13" x14ac:dyDescent="0.3">
      <c r="A163" s="18" t="s">
        <v>327</v>
      </c>
      <c r="B163" s="18" t="s">
        <v>33</v>
      </c>
      <c r="C163" s="19">
        <v>45762</v>
      </c>
      <c r="D163" s="18" t="s">
        <v>74</v>
      </c>
      <c r="E163" s="18" t="s">
        <v>85</v>
      </c>
      <c r="F163" s="9">
        <v>4133</v>
      </c>
      <c r="G163" s="9">
        <v>466</v>
      </c>
      <c r="H163" s="9">
        <v>327</v>
      </c>
      <c r="I163" s="9">
        <v>24798</v>
      </c>
      <c r="J163" s="9">
        <v>24620</v>
      </c>
      <c r="K163" s="9">
        <v>176</v>
      </c>
      <c r="L163" s="18" t="s">
        <v>37</v>
      </c>
      <c r="M163" s="18" t="s">
        <v>38</v>
      </c>
    </row>
    <row r="164" spans="1:13" x14ac:dyDescent="0.3">
      <c r="A164" s="14" t="s">
        <v>328</v>
      </c>
      <c r="B164" s="14" t="s">
        <v>14</v>
      </c>
      <c r="C164" s="15">
        <v>45459</v>
      </c>
      <c r="D164" s="14" t="s">
        <v>74</v>
      </c>
      <c r="E164" s="14" t="s">
        <v>145</v>
      </c>
      <c r="F164" s="8">
        <v>1702</v>
      </c>
      <c r="G164" s="8">
        <v>750</v>
      </c>
      <c r="H164" s="8">
        <v>179</v>
      </c>
      <c r="I164" s="8">
        <v>34040</v>
      </c>
      <c r="J164" s="8">
        <v>33174</v>
      </c>
      <c r="K164" s="8">
        <v>76</v>
      </c>
      <c r="L164" s="14" t="s">
        <v>37</v>
      </c>
      <c r="M164" s="14" t="s">
        <v>19</v>
      </c>
    </row>
    <row r="165" spans="1:13" x14ac:dyDescent="0.3">
      <c r="A165" s="18" t="s">
        <v>330</v>
      </c>
      <c r="B165" s="18" t="s">
        <v>27</v>
      </c>
      <c r="C165" s="19">
        <v>45526</v>
      </c>
      <c r="D165" s="18" t="s">
        <v>45</v>
      </c>
      <c r="E165" s="18" t="s">
        <v>68</v>
      </c>
      <c r="F165" s="9">
        <v>4295</v>
      </c>
      <c r="G165" s="9">
        <v>853</v>
      </c>
      <c r="H165" s="9">
        <v>325</v>
      </c>
      <c r="I165" s="9">
        <v>85900</v>
      </c>
      <c r="J165" s="9">
        <v>85788</v>
      </c>
      <c r="K165" s="9">
        <v>290</v>
      </c>
      <c r="L165" s="18" t="s">
        <v>30</v>
      </c>
      <c r="M165" s="18" t="s">
        <v>38</v>
      </c>
    </row>
    <row r="166" spans="1:13" x14ac:dyDescent="0.3">
      <c r="A166" s="14" t="s">
        <v>332</v>
      </c>
      <c r="B166" s="14" t="s">
        <v>33</v>
      </c>
      <c r="C166" s="15">
        <v>45499</v>
      </c>
      <c r="D166" s="14" t="s">
        <v>52</v>
      </c>
      <c r="E166" s="14" t="s">
        <v>215</v>
      </c>
      <c r="F166" s="8">
        <v>3559</v>
      </c>
      <c r="G166" s="8">
        <v>59</v>
      </c>
      <c r="H166" s="8">
        <v>289</v>
      </c>
      <c r="I166" s="8">
        <v>35590</v>
      </c>
      <c r="J166" s="8">
        <v>35105</v>
      </c>
      <c r="K166" s="8">
        <v>122</v>
      </c>
      <c r="L166" s="14" t="s">
        <v>37</v>
      </c>
      <c r="M166" s="14" t="s">
        <v>19</v>
      </c>
    </row>
    <row r="167" spans="1:13" x14ac:dyDescent="0.3">
      <c r="A167" s="18" t="s">
        <v>333</v>
      </c>
      <c r="B167" s="18" t="s">
        <v>43</v>
      </c>
      <c r="C167" s="19">
        <v>45769</v>
      </c>
      <c r="D167" s="18" t="s">
        <v>52</v>
      </c>
      <c r="E167" s="18" t="s">
        <v>59</v>
      </c>
      <c r="F167" s="9">
        <v>4804</v>
      </c>
      <c r="G167" s="9">
        <v>550</v>
      </c>
      <c r="H167" s="9">
        <v>270</v>
      </c>
      <c r="I167" s="9">
        <v>28824</v>
      </c>
      <c r="J167" s="9">
        <v>28370</v>
      </c>
      <c r="K167" s="9">
        <v>47</v>
      </c>
      <c r="L167" s="18" t="s">
        <v>37</v>
      </c>
      <c r="M167" s="18" t="s">
        <v>38</v>
      </c>
    </row>
    <row r="168" spans="1:13" x14ac:dyDescent="0.3">
      <c r="A168" s="14" t="s">
        <v>335</v>
      </c>
      <c r="B168" s="14" t="s">
        <v>14</v>
      </c>
      <c r="C168" s="15">
        <v>45658</v>
      </c>
      <c r="D168" s="14" t="s">
        <v>74</v>
      </c>
      <c r="E168" s="14" t="s">
        <v>145</v>
      </c>
      <c r="F168" s="8">
        <v>754</v>
      </c>
      <c r="G168" s="8">
        <v>197</v>
      </c>
      <c r="H168" s="8">
        <v>257</v>
      </c>
      <c r="I168" s="8">
        <v>6786</v>
      </c>
      <c r="J168" s="8">
        <v>6221</v>
      </c>
      <c r="K168" s="8">
        <v>212</v>
      </c>
      <c r="L168" s="14" t="s">
        <v>30</v>
      </c>
      <c r="M168" s="14" t="s">
        <v>31</v>
      </c>
    </row>
    <row r="169" spans="1:13" x14ac:dyDescent="0.3">
      <c r="A169" s="18" t="s">
        <v>337</v>
      </c>
      <c r="B169" s="18" t="s">
        <v>33</v>
      </c>
      <c r="C169" s="19">
        <v>45574</v>
      </c>
      <c r="D169" s="18" t="s">
        <v>45</v>
      </c>
      <c r="E169" s="18" t="s">
        <v>88</v>
      </c>
      <c r="F169" s="9">
        <v>985</v>
      </c>
      <c r="G169" s="9">
        <v>932</v>
      </c>
      <c r="H169" s="9">
        <v>287</v>
      </c>
      <c r="I169" s="9">
        <v>6895</v>
      </c>
      <c r="J169" s="9">
        <v>6757</v>
      </c>
      <c r="K169" s="9">
        <v>64</v>
      </c>
      <c r="L169" s="18" t="s">
        <v>62</v>
      </c>
      <c r="M169" s="18" t="s">
        <v>38</v>
      </c>
    </row>
    <row r="170" spans="1:13" x14ac:dyDescent="0.3">
      <c r="A170" s="14" t="s">
        <v>338</v>
      </c>
      <c r="B170" s="14" t="s">
        <v>27</v>
      </c>
      <c r="C170" s="15">
        <v>45647</v>
      </c>
      <c r="D170" s="14" t="s">
        <v>52</v>
      </c>
      <c r="E170" s="14" t="s">
        <v>53</v>
      </c>
      <c r="F170" s="8">
        <v>2283</v>
      </c>
      <c r="G170" s="8">
        <v>210</v>
      </c>
      <c r="H170" s="8">
        <v>130</v>
      </c>
      <c r="I170" s="8">
        <v>22830</v>
      </c>
      <c r="J170" s="8">
        <v>22617</v>
      </c>
      <c r="K170" s="8">
        <v>143</v>
      </c>
      <c r="L170" s="14" t="s">
        <v>62</v>
      </c>
      <c r="M170" s="14" t="s">
        <v>25</v>
      </c>
    </row>
    <row r="171" spans="1:13" x14ac:dyDescent="0.3">
      <c r="A171" s="18" t="s">
        <v>340</v>
      </c>
      <c r="B171" s="18" t="s">
        <v>43</v>
      </c>
      <c r="C171" s="19">
        <v>45587</v>
      </c>
      <c r="D171" s="18" t="s">
        <v>45</v>
      </c>
      <c r="E171" s="18" t="s">
        <v>46</v>
      </c>
      <c r="F171" s="9">
        <v>3352</v>
      </c>
      <c r="G171" s="9">
        <v>941</v>
      </c>
      <c r="H171" s="9">
        <v>482</v>
      </c>
      <c r="I171" s="9">
        <v>43576</v>
      </c>
      <c r="J171" s="9">
        <v>43338</v>
      </c>
      <c r="K171" s="9">
        <v>240</v>
      </c>
      <c r="L171" s="18" t="s">
        <v>62</v>
      </c>
      <c r="M171" s="18" t="s">
        <v>25</v>
      </c>
    </row>
    <row r="172" spans="1:13" x14ac:dyDescent="0.3">
      <c r="A172" s="14" t="s">
        <v>342</v>
      </c>
      <c r="B172" s="14" t="s">
        <v>27</v>
      </c>
      <c r="C172" s="15">
        <v>45496</v>
      </c>
      <c r="D172" s="14" t="s">
        <v>35</v>
      </c>
      <c r="E172" s="14" t="s">
        <v>154</v>
      </c>
      <c r="F172" s="8">
        <v>4775</v>
      </c>
      <c r="G172" s="8">
        <v>173</v>
      </c>
      <c r="H172" s="8">
        <v>206</v>
      </c>
      <c r="I172" s="8">
        <v>47750</v>
      </c>
      <c r="J172" s="8">
        <v>47544</v>
      </c>
      <c r="K172" s="8">
        <v>187</v>
      </c>
      <c r="L172" s="14" t="s">
        <v>62</v>
      </c>
      <c r="M172" s="14" t="s">
        <v>25</v>
      </c>
    </row>
    <row r="173" spans="1:13" x14ac:dyDescent="0.3">
      <c r="A173" s="18" t="s">
        <v>344</v>
      </c>
      <c r="B173" s="18" t="s">
        <v>33</v>
      </c>
      <c r="C173" s="19">
        <v>45515</v>
      </c>
      <c r="D173" s="18" t="s">
        <v>35</v>
      </c>
      <c r="E173" s="18" t="s">
        <v>36</v>
      </c>
      <c r="F173" s="9">
        <v>1762</v>
      </c>
      <c r="G173" s="9">
        <v>405</v>
      </c>
      <c r="H173" s="9">
        <v>423</v>
      </c>
      <c r="I173" s="9">
        <v>22906</v>
      </c>
      <c r="J173" s="9">
        <v>21925</v>
      </c>
      <c r="K173" s="9">
        <v>25</v>
      </c>
      <c r="L173" s="18" t="s">
        <v>30</v>
      </c>
      <c r="M173" s="18" t="s">
        <v>19</v>
      </c>
    </row>
    <row r="174" spans="1:13" x14ac:dyDescent="0.3">
      <c r="A174" s="14" t="s">
        <v>346</v>
      </c>
      <c r="B174" s="14" t="s">
        <v>43</v>
      </c>
      <c r="C174" s="15">
        <v>45621</v>
      </c>
      <c r="D174" s="14" t="s">
        <v>35</v>
      </c>
      <c r="E174" s="14" t="s">
        <v>71</v>
      </c>
      <c r="F174" s="8">
        <v>2120</v>
      </c>
      <c r="G174" s="8">
        <v>158</v>
      </c>
      <c r="H174" s="8">
        <v>488</v>
      </c>
      <c r="I174" s="8">
        <v>12720</v>
      </c>
      <c r="J174" s="8">
        <v>12085</v>
      </c>
      <c r="K174" s="8">
        <v>17</v>
      </c>
      <c r="L174" s="14" t="s">
        <v>62</v>
      </c>
      <c r="M174" s="14" t="s">
        <v>25</v>
      </c>
    </row>
    <row r="175" spans="1:13" x14ac:dyDescent="0.3">
      <c r="A175" s="18" t="s">
        <v>347</v>
      </c>
      <c r="B175" s="18" t="s">
        <v>14</v>
      </c>
      <c r="C175" s="19">
        <v>45528</v>
      </c>
      <c r="D175" s="18" t="s">
        <v>74</v>
      </c>
      <c r="E175" s="18" t="s">
        <v>145</v>
      </c>
      <c r="F175" s="9">
        <v>1082</v>
      </c>
      <c r="G175" s="9">
        <v>209</v>
      </c>
      <c r="H175" s="9">
        <v>484</v>
      </c>
      <c r="I175" s="9">
        <v>19476</v>
      </c>
      <c r="J175" s="9">
        <v>18654</v>
      </c>
      <c r="K175" s="9">
        <v>20</v>
      </c>
      <c r="L175" s="18" t="s">
        <v>30</v>
      </c>
      <c r="M175" s="18"/>
    </row>
    <row r="176" spans="1:13" x14ac:dyDescent="0.3">
      <c r="A176" s="14" t="s">
        <v>349</v>
      </c>
      <c r="B176" s="14" t="s">
        <v>14</v>
      </c>
      <c r="C176" s="15">
        <v>45707</v>
      </c>
      <c r="D176" s="14" t="s">
        <v>22</v>
      </c>
      <c r="E176" s="14" t="s">
        <v>23</v>
      </c>
      <c r="F176" s="8">
        <v>4671</v>
      </c>
      <c r="G176" s="8">
        <v>876</v>
      </c>
      <c r="H176" s="8">
        <v>366</v>
      </c>
      <c r="I176" s="8">
        <v>51381</v>
      </c>
      <c r="J176" s="8">
        <v>50565</v>
      </c>
      <c r="K176" s="8">
        <v>245</v>
      </c>
      <c r="L176" s="14" t="s">
        <v>30</v>
      </c>
      <c r="M176" s="14" t="s">
        <v>38</v>
      </c>
    </row>
    <row r="177" spans="1:13" x14ac:dyDescent="0.3">
      <c r="A177" s="18" t="s">
        <v>351</v>
      </c>
      <c r="B177" s="18" t="s">
        <v>43</v>
      </c>
      <c r="C177" s="19">
        <v>45748</v>
      </c>
      <c r="D177" s="18" t="s">
        <v>35</v>
      </c>
      <c r="E177" s="18" t="s">
        <v>71</v>
      </c>
      <c r="F177" s="9">
        <v>3430</v>
      </c>
      <c r="G177" s="9">
        <v>566</v>
      </c>
      <c r="H177" s="9">
        <v>164</v>
      </c>
      <c r="I177" s="9">
        <v>48020</v>
      </c>
      <c r="J177" s="9">
        <v>47305</v>
      </c>
      <c r="K177" s="9">
        <v>120</v>
      </c>
      <c r="L177" s="18" t="s">
        <v>62</v>
      </c>
      <c r="M177" s="18"/>
    </row>
    <row r="178" spans="1:13" x14ac:dyDescent="0.3">
      <c r="A178" s="14" t="s">
        <v>353</v>
      </c>
      <c r="B178" s="14" t="s">
        <v>33</v>
      </c>
      <c r="C178" s="15">
        <v>45755</v>
      </c>
      <c r="D178" s="14" t="s">
        <v>52</v>
      </c>
      <c r="E178" s="14" t="s">
        <v>215</v>
      </c>
      <c r="F178" s="8">
        <v>4501</v>
      </c>
      <c r="G178" s="8">
        <v>375</v>
      </c>
      <c r="H178" s="8">
        <v>323</v>
      </c>
      <c r="I178" s="8">
        <v>22505</v>
      </c>
      <c r="J178" s="8">
        <v>21836</v>
      </c>
      <c r="K178" s="8">
        <v>132</v>
      </c>
      <c r="L178" s="14" t="s">
        <v>30</v>
      </c>
      <c r="M178" s="14" t="s">
        <v>25</v>
      </c>
    </row>
    <row r="179" spans="1:13" x14ac:dyDescent="0.3">
      <c r="A179" s="18" t="s">
        <v>355</v>
      </c>
      <c r="B179" s="18" t="s">
        <v>27</v>
      </c>
      <c r="C179" s="19">
        <v>45715</v>
      </c>
      <c r="D179" s="18" t="s">
        <v>22</v>
      </c>
      <c r="E179" s="18" t="s">
        <v>104</v>
      </c>
      <c r="F179" s="9">
        <v>4934</v>
      </c>
      <c r="G179" s="9">
        <v>971</v>
      </c>
      <c r="H179" s="9">
        <v>156</v>
      </c>
      <c r="I179" s="9">
        <v>39472</v>
      </c>
      <c r="J179" s="9">
        <v>39025</v>
      </c>
      <c r="K179" s="9">
        <v>169</v>
      </c>
      <c r="L179" s="18" t="s">
        <v>30</v>
      </c>
      <c r="M179" s="18" t="s">
        <v>38</v>
      </c>
    </row>
    <row r="180" spans="1:13" x14ac:dyDescent="0.3">
      <c r="A180" s="14" t="s">
        <v>355</v>
      </c>
      <c r="B180" s="14" t="s">
        <v>27</v>
      </c>
      <c r="C180" s="15">
        <v>45715</v>
      </c>
      <c r="D180" s="14" t="s">
        <v>22</v>
      </c>
      <c r="E180" s="14" t="s">
        <v>104</v>
      </c>
      <c r="F180" s="8">
        <v>4934</v>
      </c>
      <c r="G180" s="8">
        <v>971</v>
      </c>
      <c r="H180" s="8">
        <v>156</v>
      </c>
      <c r="I180" s="8">
        <v>39472</v>
      </c>
      <c r="J180" s="8">
        <v>39025</v>
      </c>
      <c r="K180" s="8">
        <v>169</v>
      </c>
      <c r="L180" s="14" t="s">
        <v>613</v>
      </c>
      <c r="M180" s="14" t="s">
        <v>38</v>
      </c>
    </row>
    <row r="181" spans="1:13" x14ac:dyDescent="0.3">
      <c r="A181" s="18" t="s">
        <v>356</v>
      </c>
      <c r="B181" s="18" t="s">
        <v>14</v>
      </c>
      <c r="C181" s="19">
        <v>45637</v>
      </c>
      <c r="D181" s="18" t="s">
        <v>22</v>
      </c>
      <c r="E181" s="18" t="s">
        <v>23</v>
      </c>
      <c r="F181" s="9">
        <v>3239</v>
      </c>
      <c r="G181" s="9">
        <v>43</v>
      </c>
      <c r="H181" s="9">
        <v>211</v>
      </c>
      <c r="I181" s="9">
        <v>22673</v>
      </c>
      <c r="J181" s="9">
        <v>22171</v>
      </c>
      <c r="K181" s="9">
        <v>230</v>
      </c>
      <c r="L181" s="18" t="s">
        <v>30</v>
      </c>
      <c r="M181" s="18" t="s">
        <v>25</v>
      </c>
    </row>
    <row r="182" spans="1:13" x14ac:dyDescent="0.3">
      <c r="A182" s="14" t="s">
        <v>357</v>
      </c>
      <c r="B182" s="14" t="s">
        <v>14</v>
      </c>
      <c r="C182" s="15">
        <v>45704</v>
      </c>
      <c r="D182" s="14" t="s">
        <v>16</v>
      </c>
      <c r="E182" s="14" t="s">
        <v>17</v>
      </c>
      <c r="F182" s="8">
        <v>1076</v>
      </c>
      <c r="G182" s="8">
        <v>313</v>
      </c>
      <c r="H182" s="8">
        <v>306</v>
      </c>
      <c r="I182" s="8">
        <v>11836</v>
      </c>
      <c r="J182" s="8">
        <v>11596</v>
      </c>
      <c r="K182" s="8">
        <v>104</v>
      </c>
      <c r="L182" s="14" t="s">
        <v>62</v>
      </c>
      <c r="M182" s="14" t="s">
        <v>19</v>
      </c>
    </row>
    <row r="183" spans="1:13" x14ac:dyDescent="0.3">
      <c r="A183" s="18" t="s">
        <v>358</v>
      </c>
      <c r="B183" s="18" t="s">
        <v>33</v>
      </c>
      <c r="C183" s="19">
        <v>45624</v>
      </c>
      <c r="D183" s="18" t="s">
        <v>22</v>
      </c>
      <c r="E183" s="18" t="s">
        <v>113</v>
      </c>
      <c r="F183" s="9">
        <v>4771</v>
      </c>
      <c r="G183" s="9">
        <v>818</v>
      </c>
      <c r="H183" s="9">
        <v>56</v>
      </c>
      <c r="I183" s="9">
        <v>57252</v>
      </c>
      <c r="J183" s="9">
        <v>56378</v>
      </c>
      <c r="K183" s="9">
        <v>150</v>
      </c>
      <c r="L183" s="18" t="s">
        <v>62</v>
      </c>
      <c r="M183" s="18"/>
    </row>
    <row r="184" spans="1:13" x14ac:dyDescent="0.3">
      <c r="A184" s="14" t="s">
        <v>359</v>
      </c>
      <c r="B184" s="14" t="s">
        <v>43</v>
      </c>
      <c r="C184" s="15">
        <v>45608</v>
      </c>
      <c r="D184" s="14" t="s">
        <v>22</v>
      </c>
      <c r="E184" s="14" t="s">
        <v>56</v>
      </c>
      <c r="F184" s="8">
        <v>2418</v>
      </c>
      <c r="G184" s="8">
        <v>754</v>
      </c>
      <c r="H184" s="8">
        <v>54</v>
      </c>
      <c r="I184" s="8">
        <v>43524</v>
      </c>
      <c r="J184" s="8">
        <v>42743</v>
      </c>
      <c r="K184" s="8">
        <v>182</v>
      </c>
      <c r="L184" s="14" t="s">
        <v>37</v>
      </c>
      <c r="M184" s="14" t="s">
        <v>19</v>
      </c>
    </row>
    <row r="185" spans="1:13" x14ac:dyDescent="0.3">
      <c r="A185" s="18" t="s">
        <v>361</v>
      </c>
      <c r="B185" s="18" t="s">
        <v>27</v>
      </c>
      <c r="C185" s="19">
        <v>45629</v>
      </c>
      <c r="D185" s="18" t="s">
        <v>74</v>
      </c>
      <c r="E185" s="18" t="s">
        <v>219</v>
      </c>
      <c r="F185" s="9">
        <v>3809</v>
      </c>
      <c r="G185" s="9">
        <v>273</v>
      </c>
      <c r="H185" s="9">
        <v>200</v>
      </c>
      <c r="I185" s="9">
        <v>34281</v>
      </c>
      <c r="J185" s="9">
        <v>33534</v>
      </c>
      <c r="K185" s="9">
        <v>83</v>
      </c>
      <c r="L185" s="18" t="s">
        <v>37</v>
      </c>
      <c r="M185" s="18" t="s">
        <v>19</v>
      </c>
    </row>
    <row r="186" spans="1:13" x14ac:dyDescent="0.3">
      <c r="A186" s="14" t="s">
        <v>363</v>
      </c>
      <c r="B186" s="14" t="s">
        <v>14</v>
      </c>
      <c r="C186" s="15">
        <v>45775</v>
      </c>
      <c r="D186" s="14" t="s">
        <v>22</v>
      </c>
      <c r="E186" s="14" t="s">
        <v>23</v>
      </c>
      <c r="F186" s="8">
        <v>3577</v>
      </c>
      <c r="G186" s="8">
        <v>596</v>
      </c>
      <c r="H186" s="8">
        <v>493</v>
      </c>
      <c r="I186" s="8">
        <v>67963</v>
      </c>
      <c r="J186" s="8">
        <v>67839</v>
      </c>
      <c r="K186" s="8">
        <v>53</v>
      </c>
      <c r="L186" s="14" t="s">
        <v>30</v>
      </c>
      <c r="M186" s="14" t="s">
        <v>31</v>
      </c>
    </row>
    <row r="187" spans="1:13" x14ac:dyDescent="0.3">
      <c r="A187" s="18" t="s">
        <v>365</v>
      </c>
      <c r="B187" s="18" t="s">
        <v>27</v>
      </c>
      <c r="C187" s="19">
        <v>45657</v>
      </c>
      <c r="D187" s="18" t="s">
        <v>74</v>
      </c>
      <c r="E187" s="18" t="s">
        <v>219</v>
      </c>
      <c r="F187" s="9">
        <v>1018</v>
      </c>
      <c r="G187" s="9">
        <v>447</v>
      </c>
      <c r="H187" s="9">
        <v>332</v>
      </c>
      <c r="I187" s="9">
        <v>18324</v>
      </c>
      <c r="J187" s="9">
        <v>18164</v>
      </c>
      <c r="K187" s="9">
        <v>38</v>
      </c>
      <c r="L187" s="18" t="s">
        <v>62</v>
      </c>
      <c r="M187" s="18" t="s">
        <v>25</v>
      </c>
    </row>
    <row r="188" spans="1:13" x14ac:dyDescent="0.3">
      <c r="A188" s="14" t="s">
        <v>367</v>
      </c>
      <c r="B188" s="14" t="s">
        <v>43</v>
      </c>
      <c r="C188" s="15">
        <v>45518</v>
      </c>
      <c r="D188" s="14" t="s">
        <v>45</v>
      </c>
      <c r="E188" s="14" t="s">
        <v>46</v>
      </c>
      <c r="F188" s="8">
        <v>3073</v>
      </c>
      <c r="G188" s="8">
        <v>553</v>
      </c>
      <c r="H188" s="8">
        <v>174</v>
      </c>
      <c r="I188" s="8">
        <v>52241</v>
      </c>
      <c r="J188" s="8">
        <v>51605</v>
      </c>
      <c r="K188" s="8">
        <v>246</v>
      </c>
      <c r="L188" s="14" t="s">
        <v>37</v>
      </c>
      <c r="M188" s="14" t="s">
        <v>31</v>
      </c>
    </row>
    <row r="189" spans="1:13" x14ac:dyDescent="0.3">
      <c r="A189" s="18" t="s">
        <v>369</v>
      </c>
      <c r="B189" s="18" t="s">
        <v>14</v>
      </c>
      <c r="C189" s="19">
        <v>45631</v>
      </c>
      <c r="D189" s="18" t="s">
        <v>74</v>
      </c>
      <c r="E189" s="18" t="s">
        <v>145</v>
      </c>
      <c r="F189" s="9">
        <v>1330</v>
      </c>
      <c r="G189" s="9">
        <v>925</v>
      </c>
      <c r="H189" s="9">
        <v>35</v>
      </c>
      <c r="I189" s="9">
        <v>15960</v>
      </c>
      <c r="J189" s="9">
        <v>15379</v>
      </c>
      <c r="K189" s="9">
        <v>229</v>
      </c>
      <c r="L189" s="18" t="s">
        <v>62</v>
      </c>
      <c r="M189" s="18" t="s">
        <v>31</v>
      </c>
    </row>
    <row r="190" spans="1:13" x14ac:dyDescent="0.3">
      <c r="A190" s="14" t="s">
        <v>371</v>
      </c>
      <c r="B190" s="14" t="s">
        <v>43</v>
      </c>
      <c r="C190" s="15">
        <v>45465</v>
      </c>
      <c r="D190" s="14" t="s">
        <v>22</v>
      </c>
      <c r="E190" s="14" t="s">
        <v>56</v>
      </c>
      <c r="F190" s="8">
        <v>3828</v>
      </c>
      <c r="G190" s="8">
        <v>148</v>
      </c>
      <c r="H190" s="8">
        <v>253</v>
      </c>
      <c r="I190" s="8">
        <v>30624</v>
      </c>
      <c r="J190" s="8">
        <v>30229</v>
      </c>
      <c r="K190" s="8">
        <v>235</v>
      </c>
      <c r="L190" s="14" t="s">
        <v>37</v>
      </c>
      <c r="M190" s="14"/>
    </row>
    <row r="191" spans="1:13" x14ac:dyDescent="0.3">
      <c r="A191" s="18" t="s">
        <v>372</v>
      </c>
      <c r="B191" s="18" t="s">
        <v>33</v>
      </c>
      <c r="C191" s="19">
        <v>45674</v>
      </c>
      <c r="D191" s="18" t="s">
        <v>16</v>
      </c>
      <c r="E191" s="18" t="s">
        <v>82</v>
      </c>
      <c r="F191" s="9">
        <v>142</v>
      </c>
      <c r="G191" s="9">
        <v>784</v>
      </c>
      <c r="H191" s="9">
        <v>183</v>
      </c>
      <c r="I191" s="9">
        <v>1704</v>
      </c>
      <c r="J191" s="9">
        <v>995</v>
      </c>
      <c r="K191" s="9">
        <v>154</v>
      </c>
      <c r="L191" s="18" t="s">
        <v>62</v>
      </c>
      <c r="M191" s="18" t="s">
        <v>38</v>
      </c>
    </row>
    <row r="192" spans="1:13" x14ac:dyDescent="0.3">
      <c r="A192" s="14" t="s">
        <v>374</v>
      </c>
      <c r="B192" s="14" t="s">
        <v>43</v>
      </c>
      <c r="C192" s="15">
        <v>45463</v>
      </c>
      <c r="D192" s="14" t="s">
        <v>74</v>
      </c>
      <c r="E192" s="14" t="s">
        <v>75</v>
      </c>
      <c r="F192" s="8">
        <v>3798</v>
      </c>
      <c r="G192" s="8">
        <v>31</v>
      </c>
      <c r="H192" s="8">
        <v>279</v>
      </c>
      <c r="I192" s="8">
        <v>75960</v>
      </c>
      <c r="J192" s="8">
        <v>75813</v>
      </c>
      <c r="K192" s="8">
        <v>266</v>
      </c>
      <c r="L192" s="14" t="s">
        <v>30</v>
      </c>
      <c r="M192" s="14" t="s">
        <v>19</v>
      </c>
    </row>
    <row r="193" spans="1:13" x14ac:dyDescent="0.3">
      <c r="A193" s="18" t="s">
        <v>376</v>
      </c>
      <c r="B193" s="18" t="s">
        <v>33</v>
      </c>
      <c r="C193" s="19">
        <v>45483</v>
      </c>
      <c r="D193" s="18" t="s">
        <v>45</v>
      </c>
      <c r="E193" s="18" t="s">
        <v>88</v>
      </c>
      <c r="F193" s="9">
        <v>3099</v>
      </c>
      <c r="G193" s="9">
        <v>694</v>
      </c>
      <c r="H193" s="9">
        <v>171</v>
      </c>
      <c r="I193" s="9">
        <v>43386</v>
      </c>
      <c r="J193" s="9">
        <v>42921</v>
      </c>
      <c r="K193" s="9">
        <v>52</v>
      </c>
      <c r="L193" s="18" t="s">
        <v>30</v>
      </c>
      <c r="M193" s="18" t="s">
        <v>31</v>
      </c>
    </row>
    <row r="194" spans="1:13" x14ac:dyDescent="0.3">
      <c r="A194" s="14" t="s">
        <v>378</v>
      </c>
      <c r="B194" s="14" t="s">
        <v>33</v>
      </c>
      <c r="C194" s="15">
        <v>45603</v>
      </c>
      <c r="D194" s="14" t="s">
        <v>74</v>
      </c>
      <c r="E194" s="14" t="s">
        <v>85</v>
      </c>
      <c r="F194" s="8">
        <v>129</v>
      </c>
      <c r="G194" s="8">
        <v>643</v>
      </c>
      <c r="H194" s="8">
        <v>136</v>
      </c>
      <c r="I194" s="8">
        <v>1290</v>
      </c>
      <c r="J194" s="8">
        <v>839</v>
      </c>
      <c r="K194" s="8">
        <v>238</v>
      </c>
      <c r="L194" s="14" t="s">
        <v>30</v>
      </c>
      <c r="M194" s="14" t="s">
        <v>38</v>
      </c>
    </row>
    <row r="195" spans="1:13" x14ac:dyDescent="0.3">
      <c r="A195" s="18" t="s">
        <v>379</v>
      </c>
      <c r="B195" s="18" t="s">
        <v>43</v>
      </c>
      <c r="C195" s="19">
        <v>45488</v>
      </c>
      <c r="D195" s="18" t="s">
        <v>45</v>
      </c>
      <c r="E195" s="18" t="s">
        <v>46</v>
      </c>
      <c r="F195" s="9">
        <v>3796</v>
      </c>
      <c r="G195" s="9">
        <v>667</v>
      </c>
      <c r="H195" s="9">
        <v>395</v>
      </c>
      <c r="I195" s="9">
        <v>64532</v>
      </c>
      <c r="J195" s="9">
        <v>63550</v>
      </c>
      <c r="K195" s="9">
        <v>292</v>
      </c>
      <c r="L195" s="18" t="s">
        <v>30</v>
      </c>
      <c r="M195" s="18"/>
    </row>
    <row r="196" spans="1:13" x14ac:dyDescent="0.3">
      <c r="A196" s="14" t="s">
        <v>380</v>
      </c>
      <c r="B196" s="14" t="s">
        <v>27</v>
      </c>
      <c r="C196" s="15">
        <v>45629</v>
      </c>
      <c r="D196" s="14" t="s">
        <v>22</v>
      </c>
      <c r="E196" s="14" t="s">
        <v>104</v>
      </c>
      <c r="F196" s="8">
        <v>3711</v>
      </c>
      <c r="G196" s="8">
        <v>352</v>
      </c>
      <c r="H196" s="8">
        <v>290</v>
      </c>
      <c r="I196" s="8">
        <v>48243</v>
      </c>
      <c r="J196" s="8">
        <v>47579</v>
      </c>
      <c r="K196" s="8">
        <v>11</v>
      </c>
      <c r="L196" s="14" t="s">
        <v>30</v>
      </c>
      <c r="M196" s="14" t="s">
        <v>19</v>
      </c>
    </row>
    <row r="197" spans="1:13" x14ac:dyDescent="0.3">
      <c r="A197" s="18" t="s">
        <v>381</v>
      </c>
      <c r="B197" s="18" t="s">
        <v>27</v>
      </c>
      <c r="C197" s="19">
        <v>45737</v>
      </c>
      <c r="D197" s="18" t="s">
        <v>52</v>
      </c>
      <c r="E197" s="18" t="s">
        <v>53</v>
      </c>
      <c r="F197" s="9">
        <v>606</v>
      </c>
      <c r="G197" s="9">
        <v>789</v>
      </c>
      <c r="H197" s="9">
        <v>470</v>
      </c>
      <c r="I197" s="9">
        <v>7878</v>
      </c>
      <c r="J197" s="9">
        <v>7389</v>
      </c>
      <c r="K197" s="9">
        <v>239</v>
      </c>
      <c r="L197" s="18" t="s">
        <v>37</v>
      </c>
      <c r="M197" s="18" t="s">
        <v>31</v>
      </c>
    </row>
    <row r="198" spans="1:13" x14ac:dyDescent="0.3">
      <c r="A198" s="14" t="s">
        <v>383</v>
      </c>
      <c r="B198" s="14" t="s">
        <v>43</v>
      </c>
      <c r="C198" s="15">
        <v>45504</v>
      </c>
      <c r="D198" s="14" t="s">
        <v>52</v>
      </c>
      <c r="E198" s="14" t="s">
        <v>59</v>
      </c>
      <c r="F198" s="8">
        <v>4689</v>
      </c>
      <c r="G198" s="8">
        <v>134</v>
      </c>
      <c r="H198" s="8">
        <v>403</v>
      </c>
      <c r="I198" s="8">
        <v>51579</v>
      </c>
      <c r="J198" s="8">
        <v>50924</v>
      </c>
      <c r="K198" s="8">
        <v>173</v>
      </c>
      <c r="L198" s="14" t="s">
        <v>30</v>
      </c>
      <c r="M198" s="14" t="s">
        <v>38</v>
      </c>
    </row>
    <row r="199" spans="1:13" x14ac:dyDescent="0.3">
      <c r="A199" s="18" t="s">
        <v>384</v>
      </c>
      <c r="B199" s="18" t="s">
        <v>33</v>
      </c>
      <c r="C199" s="19">
        <v>45643</v>
      </c>
      <c r="D199" s="18" t="s">
        <v>35</v>
      </c>
      <c r="E199" s="18" t="s">
        <v>36</v>
      </c>
      <c r="F199" s="9">
        <v>360</v>
      </c>
      <c r="G199" s="9">
        <v>590</v>
      </c>
      <c r="H199" s="9">
        <v>393</v>
      </c>
      <c r="I199" s="9">
        <v>4680</v>
      </c>
      <c r="J199" s="9">
        <v>4322</v>
      </c>
      <c r="K199" s="9">
        <v>208</v>
      </c>
      <c r="L199" s="18" t="s">
        <v>62</v>
      </c>
      <c r="M199" s="18" t="s">
        <v>25</v>
      </c>
    </row>
    <row r="200" spans="1:13" x14ac:dyDescent="0.3">
      <c r="A200" s="14" t="s">
        <v>386</v>
      </c>
      <c r="B200" s="14" t="s">
        <v>14</v>
      </c>
      <c r="C200" s="15">
        <v>45501</v>
      </c>
      <c r="D200" s="14" t="s">
        <v>52</v>
      </c>
      <c r="E200" s="14" t="s">
        <v>132</v>
      </c>
      <c r="F200" s="8">
        <v>3215</v>
      </c>
      <c r="G200" s="8">
        <v>960</v>
      </c>
      <c r="H200" s="8">
        <v>202</v>
      </c>
      <c r="I200" s="8">
        <v>32150</v>
      </c>
      <c r="J200" s="8">
        <v>31404</v>
      </c>
      <c r="K200" s="8">
        <v>251</v>
      </c>
      <c r="L200" s="14" t="s">
        <v>37</v>
      </c>
      <c r="M200" s="14" t="s">
        <v>19</v>
      </c>
    </row>
    <row r="201" spans="1:13" x14ac:dyDescent="0.3">
      <c r="A201" s="18" t="s">
        <v>388</v>
      </c>
      <c r="B201" s="18" t="s">
        <v>33</v>
      </c>
      <c r="C201" s="19">
        <v>45668</v>
      </c>
      <c r="D201" s="18" t="s">
        <v>45</v>
      </c>
      <c r="E201" s="18" t="s">
        <v>88</v>
      </c>
      <c r="F201" s="9">
        <v>4523</v>
      </c>
      <c r="G201" s="9">
        <v>61</v>
      </c>
      <c r="H201" s="9">
        <v>157</v>
      </c>
      <c r="I201" s="9">
        <v>49753</v>
      </c>
      <c r="J201" s="9">
        <v>49329</v>
      </c>
      <c r="K201" s="9">
        <v>71</v>
      </c>
      <c r="L201" s="18" t="s">
        <v>37</v>
      </c>
      <c r="M201" s="18"/>
    </row>
    <row r="202" spans="1:13" x14ac:dyDescent="0.3">
      <c r="A202" s="14" t="s">
        <v>390</v>
      </c>
      <c r="B202" s="14" t="s">
        <v>43</v>
      </c>
      <c r="C202" s="15">
        <v>45528</v>
      </c>
      <c r="D202" s="14" t="s">
        <v>45</v>
      </c>
      <c r="E202" s="14" t="s">
        <v>46</v>
      </c>
      <c r="F202" s="8">
        <v>4292</v>
      </c>
      <c r="G202" s="8">
        <v>51</v>
      </c>
      <c r="H202" s="8">
        <v>392</v>
      </c>
      <c r="I202" s="8">
        <v>55796</v>
      </c>
      <c r="J202" s="8">
        <v>54826</v>
      </c>
      <c r="K202" s="8">
        <v>264</v>
      </c>
      <c r="L202" s="14" t="s">
        <v>37</v>
      </c>
      <c r="M202" s="14" t="s">
        <v>31</v>
      </c>
    </row>
    <row r="203" spans="1:13" x14ac:dyDescent="0.3">
      <c r="A203" s="18" t="s">
        <v>391</v>
      </c>
      <c r="B203" s="18" t="s">
        <v>14</v>
      </c>
      <c r="C203" s="19">
        <v>45648</v>
      </c>
      <c r="D203" s="18" t="s">
        <v>16</v>
      </c>
      <c r="E203" s="18" t="s">
        <v>17</v>
      </c>
      <c r="F203" s="9">
        <v>1644</v>
      </c>
      <c r="G203" s="9">
        <v>546</v>
      </c>
      <c r="H203" s="9">
        <v>150</v>
      </c>
      <c r="I203" s="9">
        <v>27948</v>
      </c>
      <c r="J203" s="9">
        <v>27184</v>
      </c>
      <c r="K203" s="9">
        <v>300</v>
      </c>
      <c r="L203" s="18" t="s">
        <v>37</v>
      </c>
      <c r="M203" s="18" t="s">
        <v>31</v>
      </c>
    </row>
    <row r="204" spans="1:13" x14ac:dyDescent="0.3">
      <c r="A204" s="14" t="s">
        <v>393</v>
      </c>
      <c r="B204" s="14" t="s">
        <v>27</v>
      </c>
      <c r="C204" s="15">
        <v>45449</v>
      </c>
      <c r="D204" s="14" t="s">
        <v>16</v>
      </c>
      <c r="E204" s="14" t="s">
        <v>29</v>
      </c>
      <c r="F204" s="8">
        <v>2728</v>
      </c>
      <c r="G204" s="8">
        <v>533</v>
      </c>
      <c r="H204" s="8">
        <v>215</v>
      </c>
      <c r="I204" s="8">
        <v>40920</v>
      </c>
      <c r="J204" s="8">
        <v>40816</v>
      </c>
      <c r="K204" s="8">
        <v>137</v>
      </c>
      <c r="L204" s="14" t="s">
        <v>62</v>
      </c>
      <c r="M204" s="14" t="s">
        <v>25</v>
      </c>
    </row>
    <row r="205" spans="1:13" x14ac:dyDescent="0.3">
      <c r="A205" s="18" t="s">
        <v>394</v>
      </c>
      <c r="B205" s="18" t="s">
        <v>43</v>
      </c>
      <c r="C205" s="19">
        <v>45740</v>
      </c>
      <c r="D205" s="18" t="s">
        <v>16</v>
      </c>
      <c r="E205" s="18" t="s">
        <v>65</v>
      </c>
      <c r="F205" s="9">
        <v>3360</v>
      </c>
      <c r="G205" s="9">
        <v>525</v>
      </c>
      <c r="H205" s="9">
        <v>500</v>
      </c>
      <c r="I205" s="9">
        <v>60480</v>
      </c>
      <c r="J205" s="9">
        <v>59610</v>
      </c>
      <c r="K205" s="9">
        <v>192</v>
      </c>
      <c r="L205" s="18" t="s">
        <v>30</v>
      </c>
      <c r="M205" s="18" t="s">
        <v>19</v>
      </c>
    </row>
    <row r="206" spans="1:13" x14ac:dyDescent="0.3">
      <c r="A206" s="14" t="s">
        <v>395</v>
      </c>
      <c r="B206" s="14" t="s">
        <v>27</v>
      </c>
      <c r="C206" s="15">
        <v>45569</v>
      </c>
      <c r="D206" s="14" t="s">
        <v>22</v>
      </c>
      <c r="E206" s="14" t="s">
        <v>104</v>
      </c>
      <c r="F206" s="8">
        <v>1963</v>
      </c>
      <c r="G206" s="8">
        <v>213</v>
      </c>
      <c r="H206" s="8">
        <v>19</v>
      </c>
      <c r="I206" s="8">
        <v>39260</v>
      </c>
      <c r="J206" s="8">
        <v>38771</v>
      </c>
      <c r="K206" s="8">
        <v>145</v>
      </c>
      <c r="L206" s="14" t="s">
        <v>62</v>
      </c>
      <c r="M206" s="14"/>
    </row>
    <row r="207" spans="1:13" x14ac:dyDescent="0.3">
      <c r="A207" s="18" t="s">
        <v>397</v>
      </c>
      <c r="B207" s="18" t="s">
        <v>27</v>
      </c>
      <c r="C207" s="19">
        <v>45629</v>
      </c>
      <c r="D207" s="18" t="s">
        <v>35</v>
      </c>
      <c r="E207" s="18" t="s">
        <v>154</v>
      </c>
      <c r="F207" s="9">
        <v>4285</v>
      </c>
      <c r="G207" s="9">
        <v>886</v>
      </c>
      <c r="H207" s="9">
        <v>376</v>
      </c>
      <c r="I207" s="9">
        <v>55705</v>
      </c>
      <c r="J207" s="9">
        <v>55556</v>
      </c>
      <c r="K207" s="9">
        <v>51</v>
      </c>
      <c r="L207" s="18" t="s">
        <v>62</v>
      </c>
      <c r="M207" s="18" t="s">
        <v>31</v>
      </c>
    </row>
    <row r="208" spans="1:13" x14ac:dyDescent="0.3">
      <c r="A208" s="14" t="s">
        <v>398</v>
      </c>
      <c r="B208" s="14" t="s">
        <v>33</v>
      </c>
      <c r="C208" s="15">
        <v>45625</v>
      </c>
      <c r="D208" s="14" t="s">
        <v>74</v>
      </c>
      <c r="E208" s="14" t="s">
        <v>85</v>
      </c>
      <c r="F208" s="8">
        <v>1176</v>
      </c>
      <c r="G208" s="8">
        <v>464</v>
      </c>
      <c r="H208" s="8">
        <v>394</v>
      </c>
      <c r="I208" s="8">
        <v>14112</v>
      </c>
      <c r="J208" s="8">
        <v>13588</v>
      </c>
      <c r="K208" s="8">
        <v>272</v>
      </c>
      <c r="L208" s="14" t="s">
        <v>37</v>
      </c>
      <c r="M208" s="14"/>
    </row>
    <row r="209" spans="1:13" x14ac:dyDescent="0.3">
      <c r="A209" s="18" t="s">
        <v>400</v>
      </c>
      <c r="B209" s="18" t="s">
        <v>14</v>
      </c>
      <c r="C209" s="19">
        <v>45546</v>
      </c>
      <c r="D209" s="18" t="s">
        <v>52</v>
      </c>
      <c r="E209" s="18" t="s">
        <v>132</v>
      </c>
      <c r="F209" s="9">
        <v>4858</v>
      </c>
      <c r="G209" s="9">
        <v>317</v>
      </c>
      <c r="H209" s="9">
        <v>129</v>
      </c>
      <c r="I209" s="9">
        <v>53438</v>
      </c>
      <c r="J209" s="9">
        <v>52687</v>
      </c>
      <c r="K209" s="9">
        <v>223</v>
      </c>
      <c r="L209" s="18" t="s">
        <v>37</v>
      </c>
      <c r="M209" s="18" t="s">
        <v>31</v>
      </c>
    </row>
    <row r="210" spans="1:13" x14ac:dyDescent="0.3">
      <c r="A210" s="14" t="s">
        <v>402</v>
      </c>
      <c r="B210" s="14" t="s">
        <v>27</v>
      </c>
      <c r="C210" s="15">
        <v>45567</v>
      </c>
      <c r="D210" s="14" t="s">
        <v>35</v>
      </c>
      <c r="E210" s="14" t="s">
        <v>154</v>
      </c>
      <c r="F210" s="8">
        <v>4350</v>
      </c>
      <c r="G210" s="8">
        <v>771</v>
      </c>
      <c r="H210" s="8">
        <v>7</v>
      </c>
      <c r="I210" s="8">
        <v>60900</v>
      </c>
      <c r="J210" s="8">
        <v>60592</v>
      </c>
      <c r="K210" s="8">
        <v>195</v>
      </c>
      <c r="L210" s="14" t="s">
        <v>37</v>
      </c>
      <c r="M210" s="14" t="s">
        <v>19</v>
      </c>
    </row>
    <row r="211" spans="1:13" x14ac:dyDescent="0.3">
      <c r="A211" s="18" t="s">
        <v>403</v>
      </c>
      <c r="B211" s="18" t="s">
        <v>33</v>
      </c>
      <c r="C211" s="19">
        <v>45519</v>
      </c>
      <c r="D211" s="18" t="s">
        <v>45</v>
      </c>
      <c r="E211" s="18" t="s">
        <v>88</v>
      </c>
      <c r="F211" s="9">
        <v>914</v>
      </c>
      <c r="G211" s="9">
        <v>464</v>
      </c>
      <c r="H211" s="9">
        <v>246</v>
      </c>
      <c r="I211" s="9">
        <v>11882</v>
      </c>
      <c r="J211" s="9">
        <v>11500</v>
      </c>
      <c r="K211" s="9">
        <v>282</v>
      </c>
      <c r="L211" s="18" t="s">
        <v>62</v>
      </c>
      <c r="M211" s="18" t="s">
        <v>38</v>
      </c>
    </row>
    <row r="212" spans="1:13" x14ac:dyDescent="0.3">
      <c r="A212" s="14" t="s">
        <v>403</v>
      </c>
      <c r="B212" s="14" t="s">
        <v>33</v>
      </c>
      <c r="C212" s="15">
        <v>45519</v>
      </c>
      <c r="D212" s="14" t="s">
        <v>45</v>
      </c>
      <c r="E212" s="14" t="s">
        <v>88</v>
      </c>
      <c r="F212" s="8">
        <v>914</v>
      </c>
      <c r="G212" s="8">
        <v>464</v>
      </c>
      <c r="H212" s="8">
        <v>246</v>
      </c>
      <c r="I212" s="8">
        <v>11882</v>
      </c>
      <c r="J212" s="8">
        <v>11500</v>
      </c>
      <c r="K212" s="8">
        <v>282</v>
      </c>
      <c r="L212" s="14" t="s">
        <v>30</v>
      </c>
      <c r="M212" s="14" t="s">
        <v>38</v>
      </c>
    </row>
    <row r="213" spans="1:13" x14ac:dyDescent="0.3">
      <c r="A213" s="18" t="s">
        <v>403</v>
      </c>
      <c r="B213" s="18" t="s">
        <v>33</v>
      </c>
      <c r="C213" s="19">
        <v>45519</v>
      </c>
      <c r="D213" s="18" t="s">
        <v>45</v>
      </c>
      <c r="E213" s="18" t="s">
        <v>88</v>
      </c>
      <c r="F213" s="9">
        <v>914</v>
      </c>
      <c r="G213" s="9">
        <v>464</v>
      </c>
      <c r="H213" s="9">
        <v>246</v>
      </c>
      <c r="I213" s="9">
        <v>11882</v>
      </c>
      <c r="J213" s="9">
        <v>11500</v>
      </c>
      <c r="K213" s="9">
        <v>282</v>
      </c>
      <c r="L213" s="18" t="s">
        <v>613</v>
      </c>
      <c r="M213" s="18" t="s">
        <v>38</v>
      </c>
    </row>
    <row r="214" spans="1:13" x14ac:dyDescent="0.3">
      <c r="A214" s="14" t="s">
        <v>405</v>
      </c>
      <c r="B214" s="14" t="s">
        <v>33</v>
      </c>
      <c r="C214" s="15">
        <v>45645</v>
      </c>
      <c r="D214" s="14" t="s">
        <v>22</v>
      </c>
      <c r="E214" s="14" t="s">
        <v>113</v>
      </c>
      <c r="F214" s="8">
        <v>1813</v>
      </c>
      <c r="G214" s="8">
        <v>623</v>
      </c>
      <c r="H214" s="8">
        <v>72</v>
      </c>
      <c r="I214" s="8">
        <v>19943</v>
      </c>
      <c r="J214" s="8">
        <v>18959</v>
      </c>
      <c r="K214" s="8">
        <v>85</v>
      </c>
      <c r="L214" s="14" t="s">
        <v>37</v>
      </c>
      <c r="M214" s="14" t="s">
        <v>31</v>
      </c>
    </row>
    <row r="215" spans="1:13" x14ac:dyDescent="0.3">
      <c r="A215" s="18" t="s">
        <v>407</v>
      </c>
      <c r="B215" s="18" t="s">
        <v>14</v>
      </c>
      <c r="C215" s="19">
        <v>45587</v>
      </c>
      <c r="D215" s="18" t="s">
        <v>16</v>
      </c>
      <c r="E215" s="18" t="s">
        <v>17</v>
      </c>
      <c r="F215" s="9">
        <v>4782</v>
      </c>
      <c r="G215" s="9">
        <v>721</v>
      </c>
      <c r="H215" s="9">
        <v>82</v>
      </c>
      <c r="I215" s="9">
        <v>86076</v>
      </c>
      <c r="J215" s="9">
        <v>85339</v>
      </c>
      <c r="K215" s="9">
        <v>19</v>
      </c>
      <c r="L215" s="18" t="s">
        <v>37</v>
      </c>
      <c r="M215" s="18" t="s">
        <v>19</v>
      </c>
    </row>
    <row r="216" spans="1:13" x14ac:dyDescent="0.3">
      <c r="A216" s="14" t="s">
        <v>408</v>
      </c>
      <c r="B216" s="14" t="s">
        <v>14</v>
      </c>
      <c r="C216" s="15">
        <v>45549</v>
      </c>
      <c r="D216" s="14" t="s">
        <v>52</v>
      </c>
      <c r="E216" s="14" t="s">
        <v>132</v>
      </c>
      <c r="F216" s="8">
        <v>1048</v>
      </c>
      <c r="G216" s="8">
        <v>374</v>
      </c>
      <c r="H216" s="8">
        <v>450</v>
      </c>
      <c r="I216" s="8">
        <v>9432</v>
      </c>
      <c r="J216" s="8">
        <v>8882</v>
      </c>
      <c r="K216" s="8">
        <v>158</v>
      </c>
      <c r="L216" s="14" t="s">
        <v>30</v>
      </c>
      <c r="M216" s="14" t="s">
        <v>31</v>
      </c>
    </row>
    <row r="217" spans="1:13" x14ac:dyDescent="0.3">
      <c r="A217" s="18" t="s">
        <v>410</v>
      </c>
      <c r="B217" s="18" t="s">
        <v>27</v>
      </c>
      <c r="C217" s="19">
        <v>45626</v>
      </c>
      <c r="D217" s="18" t="s">
        <v>45</v>
      </c>
      <c r="E217" s="18" t="s">
        <v>68</v>
      </c>
      <c r="F217" s="9">
        <v>2509</v>
      </c>
      <c r="G217" s="9">
        <v>324</v>
      </c>
      <c r="H217" s="9">
        <v>171</v>
      </c>
      <c r="I217" s="9">
        <v>35126</v>
      </c>
      <c r="J217" s="9">
        <v>34685</v>
      </c>
      <c r="K217" s="9">
        <v>277</v>
      </c>
      <c r="L217" s="18" t="s">
        <v>30</v>
      </c>
      <c r="M217" s="18" t="s">
        <v>25</v>
      </c>
    </row>
    <row r="218" spans="1:13" x14ac:dyDescent="0.3">
      <c r="A218" s="14" t="s">
        <v>411</v>
      </c>
      <c r="B218" s="14" t="s">
        <v>43</v>
      </c>
      <c r="C218" s="15">
        <v>45754</v>
      </c>
      <c r="D218" s="14" t="s">
        <v>16</v>
      </c>
      <c r="E218" s="14" t="s">
        <v>65</v>
      </c>
      <c r="F218" s="8">
        <v>3718</v>
      </c>
      <c r="G218" s="8">
        <v>385</v>
      </c>
      <c r="H218" s="8">
        <v>310</v>
      </c>
      <c r="I218" s="8">
        <v>70642</v>
      </c>
      <c r="J218" s="8">
        <v>69749</v>
      </c>
      <c r="K218" s="8">
        <v>233</v>
      </c>
      <c r="L218" s="14" t="s">
        <v>30</v>
      </c>
      <c r="M218" s="14" t="s">
        <v>25</v>
      </c>
    </row>
    <row r="219" spans="1:13" x14ac:dyDescent="0.3">
      <c r="A219" s="18" t="s">
        <v>413</v>
      </c>
      <c r="B219" s="18" t="s">
        <v>14</v>
      </c>
      <c r="C219" s="19">
        <v>45672</v>
      </c>
      <c r="D219" s="18" t="s">
        <v>16</v>
      </c>
      <c r="E219" s="18" t="s">
        <v>17</v>
      </c>
      <c r="F219" s="9">
        <v>802</v>
      </c>
      <c r="G219" s="9">
        <v>262</v>
      </c>
      <c r="H219" s="9">
        <v>244</v>
      </c>
      <c r="I219" s="9">
        <v>14436</v>
      </c>
      <c r="J219" s="9">
        <v>14280</v>
      </c>
      <c r="K219" s="9">
        <v>49</v>
      </c>
      <c r="L219" s="18" t="s">
        <v>37</v>
      </c>
      <c r="M219" s="18" t="s">
        <v>19</v>
      </c>
    </row>
    <row r="220" spans="1:13" x14ac:dyDescent="0.3">
      <c r="A220" s="14" t="s">
        <v>415</v>
      </c>
      <c r="B220" s="14" t="s">
        <v>43</v>
      </c>
      <c r="C220" s="15">
        <v>45445</v>
      </c>
      <c r="D220" s="14" t="s">
        <v>52</v>
      </c>
      <c r="E220" s="14" t="s">
        <v>59</v>
      </c>
      <c r="F220" s="8">
        <v>1871</v>
      </c>
      <c r="G220" s="8">
        <v>252</v>
      </c>
      <c r="H220" s="8">
        <v>335</v>
      </c>
      <c r="I220" s="8">
        <v>29936</v>
      </c>
      <c r="J220" s="8">
        <v>29576</v>
      </c>
      <c r="K220" s="8">
        <v>288</v>
      </c>
      <c r="L220" s="14" t="s">
        <v>37</v>
      </c>
      <c r="M220" s="14" t="s">
        <v>31</v>
      </c>
    </row>
    <row r="221" spans="1:13" x14ac:dyDescent="0.3">
      <c r="A221" s="18" t="s">
        <v>417</v>
      </c>
      <c r="B221" s="18" t="s">
        <v>33</v>
      </c>
      <c r="C221" s="19">
        <v>45617</v>
      </c>
      <c r="D221" s="18" t="s">
        <v>45</v>
      </c>
      <c r="E221" s="18" t="s">
        <v>88</v>
      </c>
      <c r="F221" s="9">
        <v>3773</v>
      </c>
      <c r="G221" s="9">
        <v>299</v>
      </c>
      <c r="H221" s="9">
        <v>38</v>
      </c>
      <c r="I221" s="9">
        <v>71687</v>
      </c>
      <c r="J221" s="9">
        <v>71447</v>
      </c>
      <c r="K221" s="9">
        <v>286</v>
      </c>
      <c r="L221" s="18" t="s">
        <v>62</v>
      </c>
      <c r="M221" s="18" t="s">
        <v>19</v>
      </c>
    </row>
    <row r="222" spans="1:13" x14ac:dyDescent="0.3">
      <c r="A222" s="14" t="s">
        <v>419</v>
      </c>
      <c r="B222" s="14" t="s">
        <v>33</v>
      </c>
      <c r="C222" s="15">
        <v>45658</v>
      </c>
      <c r="D222" s="14" t="s">
        <v>45</v>
      </c>
      <c r="E222" s="14" t="s">
        <v>88</v>
      </c>
      <c r="F222" s="8">
        <v>2234</v>
      </c>
      <c r="G222" s="8">
        <v>653</v>
      </c>
      <c r="H222" s="8">
        <v>432</v>
      </c>
      <c r="I222" s="8">
        <v>11170</v>
      </c>
      <c r="J222" s="8">
        <v>10569</v>
      </c>
      <c r="K222" s="8">
        <v>198</v>
      </c>
      <c r="L222" s="14" t="s">
        <v>62</v>
      </c>
      <c r="M222" s="14" t="s">
        <v>31</v>
      </c>
    </row>
    <row r="223" spans="1:13" x14ac:dyDescent="0.3">
      <c r="A223" s="18" t="s">
        <v>420</v>
      </c>
      <c r="B223" s="18" t="s">
        <v>14</v>
      </c>
      <c r="C223" s="19">
        <v>45771</v>
      </c>
      <c r="D223" s="18" t="s">
        <v>74</v>
      </c>
      <c r="E223" s="18" t="s">
        <v>145</v>
      </c>
      <c r="F223" s="9">
        <v>3820</v>
      </c>
      <c r="G223" s="9">
        <v>697</v>
      </c>
      <c r="H223" s="9">
        <v>268</v>
      </c>
      <c r="I223" s="9">
        <v>45840</v>
      </c>
      <c r="J223" s="9">
        <v>45631</v>
      </c>
      <c r="K223" s="9">
        <v>171</v>
      </c>
      <c r="L223" s="18" t="s">
        <v>30</v>
      </c>
      <c r="M223" s="18" t="s">
        <v>38</v>
      </c>
    </row>
    <row r="224" spans="1:13" x14ac:dyDescent="0.3">
      <c r="A224" s="14" t="s">
        <v>420</v>
      </c>
      <c r="B224" s="14" t="s">
        <v>14</v>
      </c>
      <c r="C224" s="15">
        <v>45771</v>
      </c>
      <c r="D224" s="14" t="s">
        <v>74</v>
      </c>
      <c r="E224" s="14" t="s">
        <v>145</v>
      </c>
      <c r="F224" s="8">
        <v>3820</v>
      </c>
      <c r="G224" s="8">
        <v>697</v>
      </c>
      <c r="H224" s="8">
        <v>268</v>
      </c>
      <c r="I224" s="8">
        <v>45840</v>
      </c>
      <c r="J224" s="8">
        <v>45631</v>
      </c>
      <c r="K224" s="8">
        <v>171</v>
      </c>
      <c r="L224" s="14" t="s">
        <v>607</v>
      </c>
      <c r="M224" s="14" t="s">
        <v>38</v>
      </c>
    </row>
    <row r="225" spans="1:13" x14ac:dyDescent="0.3">
      <c r="A225" s="18" t="s">
        <v>422</v>
      </c>
      <c r="B225" s="18" t="s">
        <v>14</v>
      </c>
      <c r="C225" s="19">
        <v>45467</v>
      </c>
      <c r="D225" s="18" t="s">
        <v>22</v>
      </c>
      <c r="E225" s="18" t="s">
        <v>23</v>
      </c>
      <c r="F225" s="9">
        <v>941</v>
      </c>
      <c r="G225" s="9">
        <v>121</v>
      </c>
      <c r="H225" s="9">
        <v>458</v>
      </c>
      <c r="I225" s="9">
        <v>14115</v>
      </c>
      <c r="J225" s="9">
        <v>13838</v>
      </c>
      <c r="K225" s="9">
        <v>87</v>
      </c>
      <c r="L225" s="18" t="s">
        <v>37</v>
      </c>
      <c r="M225" s="18" t="s">
        <v>19</v>
      </c>
    </row>
    <row r="226" spans="1:13" x14ac:dyDescent="0.3">
      <c r="A226" s="14" t="s">
        <v>423</v>
      </c>
      <c r="B226" s="14" t="s">
        <v>14</v>
      </c>
      <c r="C226" s="15">
        <v>45655</v>
      </c>
      <c r="D226" s="14" t="s">
        <v>45</v>
      </c>
      <c r="E226" s="14" t="s">
        <v>49</v>
      </c>
      <c r="F226" s="8">
        <v>4274</v>
      </c>
      <c r="G226" s="8">
        <v>340</v>
      </c>
      <c r="H226" s="8">
        <v>281</v>
      </c>
      <c r="I226" s="8">
        <v>34192</v>
      </c>
      <c r="J226" s="8">
        <v>33446</v>
      </c>
      <c r="K226" s="8">
        <v>129</v>
      </c>
      <c r="L226" s="14" t="s">
        <v>30</v>
      </c>
      <c r="M226" s="14" t="s">
        <v>31</v>
      </c>
    </row>
    <row r="227" spans="1:13" x14ac:dyDescent="0.3">
      <c r="A227" s="18" t="s">
        <v>423</v>
      </c>
      <c r="B227" s="18" t="s">
        <v>14</v>
      </c>
      <c r="C227" s="19">
        <v>45655</v>
      </c>
      <c r="D227" s="18" t="s">
        <v>45</v>
      </c>
      <c r="E227" s="18" t="s">
        <v>49</v>
      </c>
      <c r="F227" s="9">
        <v>4274</v>
      </c>
      <c r="G227" s="9">
        <v>340</v>
      </c>
      <c r="H227" s="9">
        <v>281</v>
      </c>
      <c r="I227" s="9">
        <v>34192</v>
      </c>
      <c r="J227" s="9">
        <v>33446</v>
      </c>
      <c r="K227" s="9">
        <v>129</v>
      </c>
      <c r="L227" s="18" t="s">
        <v>607</v>
      </c>
      <c r="M227" s="18" t="s">
        <v>31</v>
      </c>
    </row>
    <row r="228" spans="1:13" x14ac:dyDescent="0.3">
      <c r="A228" s="14" t="s">
        <v>425</v>
      </c>
      <c r="B228" s="14" t="s">
        <v>27</v>
      </c>
      <c r="C228" s="15">
        <v>45467</v>
      </c>
      <c r="D228" s="14" t="s">
        <v>74</v>
      </c>
      <c r="E228" s="14" t="s">
        <v>219</v>
      </c>
      <c r="F228" s="8">
        <v>2949</v>
      </c>
      <c r="G228" s="8">
        <v>476</v>
      </c>
      <c r="H228" s="8">
        <v>403</v>
      </c>
      <c r="I228" s="8">
        <v>44235</v>
      </c>
      <c r="J228" s="8">
        <v>43705</v>
      </c>
      <c r="K228" s="8">
        <v>135</v>
      </c>
      <c r="L228" s="14" t="s">
        <v>30</v>
      </c>
      <c r="M228" s="14" t="s">
        <v>25</v>
      </c>
    </row>
    <row r="229" spans="1:13" x14ac:dyDescent="0.3">
      <c r="A229" s="18" t="s">
        <v>426</v>
      </c>
      <c r="B229" s="18" t="s">
        <v>14</v>
      </c>
      <c r="C229" s="19">
        <v>45735</v>
      </c>
      <c r="D229" s="18" t="s">
        <v>74</v>
      </c>
      <c r="E229" s="18" t="s">
        <v>145</v>
      </c>
      <c r="F229" s="9">
        <v>3160</v>
      </c>
      <c r="G229" s="9">
        <v>204</v>
      </c>
      <c r="H229" s="9">
        <v>297</v>
      </c>
      <c r="I229" s="9">
        <v>44240</v>
      </c>
      <c r="J229" s="9">
        <v>43666</v>
      </c>
      <c r="K229" s="9">
        <v>49</v>
      </c>
      <c r="L229" s="18" t="s">
        <v>62</v>
      </c>
      <c r="M229" s="18" t="s">
        <v>38</v>
      </c>
    </row>
    <row r="230" spans="1:13" x14ac:dyDescent="0.3">
      <c r="A230" s="14" t="s">
        <v>426</v>
      </c>
      <c r="B230" s="14" t="s">
        <v>14</v>
      </c>
      <c r="C230" s="15">
        <v>45735</v>
      </c>
      <c r="D230" s="14" t="s">
        <v>74</v>
      </c>
      <c r="E230" s="14" t="s">
        <v>145</v>
      </c>
      <c r="F230" s="8">
        <v>3160</v>
      </c>
      <c r="G230" s="8">
        <v>204</v>
      </c>
      <c r="H230" s="8">
        <v>297</v>
      </c>
      <c r="I230" s="8">
        <v>44240</v>
      </c>
      <c r="J230" s="8">
        <v>43666</v>
      </c>
      <c r="K230" s="8">
        <v>49</v>
      </c>
      <c r="L230" s="14" t="s">
        <v>613</v>
      </c>
      <c r="M230" s="14" t="s">
        <v>38</v>
      </c>
    </row>
    <row r="231" spans="1:13" x14ac:dyDescent="0.3">
      <c r="A231" s="18" t="s">
        <v>428</v>
      </c>
      <c r="B231" s="18" t="s">
        <v>27</v>
      </c>
      <c r="C231" s="19">
        <v>45707</v>
      </c>
      <c r="D231" s="18" t="s">
        <v>52</v>
      </c>
      <c r="E231" s="18" t="s">
        <v>53</v>
      </c>
      <c r="F231" s="9">
        <v>257</v>
      </c>
      <c r="G231" s="9">
        <v>966</v>
      </c>
      <c r="H231" s="9">
        <v>398</v>
      </c>
      <c r="I231" s="9">
        <v>3341</v>
      </c>
      <c r="J231" s="9">
        <v>2753</v>
      </c>
      <c r="K231" s="9">
        <v>287</v>
      </c>
      <c r="L231" s="18" t="s">
        <v>62</v>
      </c>
      <c r="M231" s="18" t="s">
        <v>19</v>
      </c>
    </row>
    <row r="232" spans="1:13" x14ac:dyDescent="0.3">
      <c r="A232" s="14" t="s">
        <v>429</v>
      </c>
      <c r="B232" s="14" t="s">
        <v>14</v>
      </c>
      <c r="C232" s="15">
        <v>45491</v>
      </c>
      <c r="D232" s="14" t="s">
        <v>45</v>
      </c>
      <c r="E232" s="14" t="s">
        <v>49</v>
      </c>
      <c r="F232" s="8">
        <v>2120</v>
      </c>
      <c r="G232" s="8">
        <v>38</v>
      </c>
      <c r="H232" s="8">
        <v>212</v>
      </c>
      <c r="I232" s="8">
        <v>12720</v>
      </c>
      <c r="J232" s="8">
        <v>12564</v>
      </c>
      <c r="K232" s="8">
        <v>21</v>
      </c>
      <c r="L232" s="14" t="s">
        <v>62</v>
      </c>
      <c r="M232" s="14" t="s">
        <v>38</v>
      </c>
    </row>
    <row r="233" spans="1:13" x14ac:dyDescent="0.3">
      <c r="A233" s="18" t="s">
        <v>431</v>
      </c>
      <c r="B233" s="18" t="s">
        <v>27</v>
      </c>
      <c r="C233" s="19">
        <v>45719</v>
      </c>
      <c r="D233" s="18" t="s">
        <v>74</v>
      </c>
      <c r="E233" s="18" t="s">
        <v>219</v>
      </c>
      <c r="F233" s="9">
        <v>3874</v>
      </c>
      <c r="G233" s="9">
        <v>884</v>
      </c>
      <c r="H233" s="9">
        <v>19</v>
      </c>
      <c r="I233" s="9">
        <v>38740</v>
      </c>
      <c r="J233" s="9">
        <v>38552</v>
      </c>
      <c r="K233" s="9">
        <v>219</v>
      </c>
      <c r="L233" s="18" t="s">
        <v>30</v>
      </c>
      <c r="M233" s="18" t="s">
        <v>25</v>
      </c>
    </row>
    <row r="234" spans="1:13" x14ac:dyDescent="0.3">
      <c r="A234" s="14" t="s">
        <v>432</v>
      </c>
      <c r="B234" s="14" t="s">
        <v>43</v>
      </c>
      <c r="C234" s="15">
        <v>45778</v>
      </c>
      <c r="D234" s="14" t="s">
        <v>45</v>
      </c>
      <c r="E234" s="14" t="s">
        <v>46</v>
      </c>
      <c r="F234" s="8">
        <v>2696</v>
      </c>
      <c r="G234" s="8">
        <v>628</v>
      </c>
      <c r="H234" s="8">
        <v>443</v>
      </c>
      <c r="I234" s="8">
        <v>45832</v>
      </c>
      <c r="J234" s="8">
        <v>45632</v>
      </c>
      <c r="K234" s="8">
        <v>248</v>
      </c>
      <c r="L234" s="14" t="s">
        <v>37</v>
      </c>
      <c r="M234" s="14" t="s">
        <v>38</v>
      </c>
    </row>
    <row r="235" spans="1:13" x14ac:dyDescent="0.3">
      <c r="A235" s="18" t="s">
        <v>434</v>
      </c>
      <c r="B235" s="18" t="s">
        <v>33</v>
      </c>
      <c r="C235" s="19">
        <v>45649</v>
      </c>
      <c r="D235" s="18" t="s">
        <v>52</v>
      </c>
      <c r="E235" s="18" t="s">
        <v>215</v>
      </c>
      <c r="F235" s="9">
        <v>521</v>
      </c>
      <c r="G235" s="9">
        <v>746</v>
      </c>
      <c r="H235" s="9">
        <v>315</v>
      </c>
      <c r="I235" s="9">
        <v>4168</v>
      </c>
      <c r="J235" s="9">
        <v>3399</v>
      </c>
      <c r="K235" s="9">
        <v>282</v>
      </c>
      <c r="L235" s="18" t="s">
        <v>62</v>
      </c>
      <c r="M235" s="18" t="s">
        <v>25</v>
      </c>
    </row>
    <row r="236" spans="1:13" x14ac:dyDescent="0.3">
      <c r="A236" s="14" t="s">
        <v>435</v>
      </c>
      <c r="B236" s="14" t="s">
        <v>43</v>
      </c>
      <c r="C236" s="15">
        <v>45783</v>
      </c>
      <c r="D236" s="14" t="s">
        <v>52</v>
      </c>
      <c r="E236" s="14" t="s">
        <v>59</v>
      </c>
      <c r="F236" s="8">
        <v>4872</v>
      </c>
      <c r="G236" s="8">
        <v>925</v>
      </c>
      <c r="H236" s="8">
        <v>176</v>
      </c>
      <c r="I236" s="8">
        <v>82824</v>
      </c>
      <c r="J236" s="8">
        <v>82543</v>
      </c>
      <c r="K236" s="8">
        <v>89</v>
      </c>
      <c r="L236" s="14" t="s">
        <v>37</v>
      </c>
      <c r="M236" s="14" t="s">
        <v>25</v>
      </c>
    </row>
    <row r="237" spans="1:13" x14ac:dyDescent="0.3">
      <c r="A237" s="18" t="s">
        <v>437</v>
      </c>
      <c r="B237" s="18" t="s">
        <v>27</v>
      </c>
      <c r="C237" s="19">
        <v>45502</v>
      </c>
      <c r="D237" s="18" t="s">
        <v>35</v>
      </c>
      <c r="E237" s="18" t="s">
        <v>154</v>
      </c>
      <c r="F237" s="9">
        <v>1509</v>
      </c>
      <c r="G237" s="9">
        <v>88</v>
      </c>
      <c r="H237" s="9">
        <v>163</v>
      </c>
      <c r="I237" s="9">
        <v>30180</v>
      </c>
      <c r="J237" s="9">
        <v>29689</v>
      </c>
      <c r="K237" s="9">
        <v>119</v>
      </c>
      <c r="L237" s="18" t="s">
        <v>37</v>
      </c>
      <c r="M237" s="18" t="s">
        <v>25</v>
      </c>
    </row>
    <row r="238" spans="1:13" x14ac:dyDescent="0.3">
      <c r="A238" s="14" t="s">
        <v>438</v>
      </c>
      <c r="B238" s="14" t="s">
        <v>43</v>
      </c>
      <c r="C238" s="15">
        <v>45629</v>
      </c>
      <c r="D238" s="14" t="s">
        <v>52</v>
      </c>
      <c r="E238" s="14" t="s">
        <v>59</v>
      </c>
      <c r="F238" s="8">
        <v>4606</v>
      </c>
      <c r="G238" s="8">
        <v>931</v>
      </c>
      <c r="H238" s="8">
        <v>230</v>
      </c>
      <c r="I238" s="8">
        <v>92120</v>
      </c>
      <c r="J238" s="8">
        <v>91440</v>
      </c>
      <c r="K238" s="8">
        <v>56</v>
      </c>
      <c r="L238" s="14" t="s">
        <v>30</v>
      </c>
      <c r="M238" s="14"/>
    </row>
    <row r="239" spans="1:13" x14ac:dyDescent="0.3">
      <c r="A239" s="18" t="s">
        <v>439</v>
      </c>
      <c r="B239" s="18" t="s">
        <v>43</v>
      </c>
      <c r="C239" s="19">
        <v>45454</v>
      </c>
      <c r="D239" s="18" t="s">
        <v>45</v>
      </c>
      <c r="E239" s="18" t="s">
        <v>46</v>
      </c>
      <c r="F239" s="9">
        <v>1869</v>
      </c>
      <c r="G239" s="9">
        <v>453</v>
      </c>
      <c r="H239" s="9">
        <v>490</v>
      </c>
      <c r="I239" s="9">
        <v>14952</v>
      </c>
      <c r="J239" s="9">
        <v>14309</v>
      </c>
      <c r="K239" s="9">
        <v>275</v>
      </c>
      <c r="L239" s="18" t="s">
        <v>30</v>
      </c>
      <c r="M239" s="18" t="s">
        <v>38</v>
      </c>
    </row>
    <row r="240" spans="1:13" x14ac:dyDescent="0.3">
      <c r="A240" s="14" t="s">
        <v>440</v>
      </c>
      <c r="B240" s="14" t="s">
        <v>14</v>
      </c>
      <c r="C240" s="15">
        <v>45685</v>
      </c>
      <c r="D240" s="14" t="s">
        <v>16</v>
      </c>
      <c r="E240" s="14" t="s">
        <v>17</v>
      </c>
      <c r="F240" s="8">
        <v>1188</v>
      </c>
      <c r="G240" s="8">
        <v>470</v>
      </c>
      <c r="H240" s="8">
        <v>174</v>
      </c>
      <c r="I240" s="8">
        <v>7128</v>
      </c>
      <c r="J240" s="8">
        <v>6145</v>
      </c>
      <c r="K240" s="8">
        <v>270</v>
      </c>
      <c r="L240" s="14" t="s">
        <v>30</v>
      </c>
      <c r="M240" s="14" t="s">
        <v>38</v>
      </c>
    </row>
    <row r="241" spans="1:13" x14ac:dyDescent="0.3">
      <c r="A241" s="18" t="s">
        <v>441</v>
      </c>
      <c r="B241" s="18" t="s">
        <v>33</v>
      </c>
      <c r="C241" s="19">
        <v>45445</v>
      </c>
      <c r="D241" s="18" t="s">
        <v>35</v>
      </c>
      <c r="E241" s="18" t="s">
        <v>36</v>
      </c>
      <c r="F241" s="9">
        <v>84</v>
      </c>
      <c r="G241" s="9">
        <v>897</v>
      </c>
      <c r="H241" s="9">
        <v>85</v>
      </c>
      <c r="I241" s="9">
        <v>588</v>
      </c>
      <c r="J241" s="9">
        <v>8</v>
      </c>
      <c r="K241" s="9">
        <v>12</v>
      </c>
      <c r="L241" s="18" t="s">
        <v>37</v>
      </c>
      <c r="M241" s="18"/>
    </row>
    <row r="242" spans="1:13" x14ac:dyDescent="0.3">
      <c r="A242" s="14" t="s">
        <v>442</v>
      </c>
      <c r="B242" s="14" t="s">
        <v>43</v>
      </c>
      <c r="C242" s="15">
        <v>45739</v>
      </c>
      <c r="D242" s="14" t="s">
        <v>74</v>
      </c>
      <c r="E242" s="14" t="s">
        <v>75</v>
      </c>
      <c r="F242" s="8">
        <v>4453</v>
      </c>
      <c r="G242" s="8">
        <v>111</v>
      </c>
      <c r="H242" s="8">
        <v>420</v>
      </c>
      <c r="I242" s="8">
        <v>31171</v>
      </c>
      <c r="J242" s="8">
        <v>30565</v>
      </c>
      <c r="K242" s="8">
        <v>23</v>
      </c>
      <c r="L242" s="14" t="s">
        <v>30</v>
      </c>
      <c r="M242" s="14"/>
    </row>
    <row r="243" spans="1:13" x14ac:dyDescent="0.3">
      <c r="A243" s="18" t="s">
        <v>443</v>
      </c>
      <c r="B243" s="18" t="s">
        <v>43</v>
      </c>
      <c r="C243" s="19">
        <v>45573</v>
      </c>
      <c r="D243" s="18" t="s">
        <v>16</v>
      </c>
      <c r="E243" s="18" t="s">
        <v>65</v>
      </c>
      <c r="F243" s="9">
        <v>1814</v>
      </c>
      <c r="G243" s="9">
        <v>653</v>
      </c>
      <c r="H243" s="9">
        <v>363</v>
      </c>
      <c r="I243" s="9">
        <v>25396</v>
      </c>
      <c r="J243" s="9">
        <v>25286</v>
      </c>
      <c r="K243" s="9">
        <v>39</v>
      </c>
      <c r="L243" s="18" t="s">
        <v>62</v>
      </c>
      <c r="M243" s="18" t="s">
        <v>19</v>
      </c>
    </row>
    <row r="244" spans="1:13" x14ac:dyDescent="0.3">
      <c r="A244" s="14" t="s">
        <v>443</v>
      </c>
      <c r="B244" s="14" t="s">
        <v>43</v>
      </c>
      <c r="C244" s="15">
        <v>45573</v>
      </c>
      <c r="D244" s="14" t="s">
        <v>16</v>
      </c>
      <c r="E244" s="14" t="s">
        <v>65</v>
      </c>
      <c r="F244" s="8">
        <v>1814</v>
      </c>
      <c r="G244" s="8">
        <v>653</v>
      </c>
      <c r="H244" s="8">
        <v>363</v>
      </c>
      <c r="I244" s="8">
        <v>25396</v>
      </c>
      <c r="J244" s="8">
        <v>25286</v>
      </c>
      <c r="K244" s="8">
        <v>39</v>
      </c>
      <c r="L244" s="14" t="s">
        <v>607</v>
      </c>
      <c r="M244" s="14" t="s">
        <v>19</v>
      </c>
    </row>
    <row r="245" spans="1:13" x14ac:dyDescent="0.3">
      <c r="A245" s="18" t="s">
        <v>446</v>
      </c>
      <c r="B245" s="18" t="s">
        <v>14</v>
      </c>
      <c r="C245" s="19">
        <v>45608</v>
      </c>
      <c r="D245" s="18" t="s">
        <v>52</v>
      </c>
      <c r="E245" s="18" t="s">
        <v>132</v>
      </c>
      <c r="F245" s="9">
        <v>3338</v>
      </c>
      <c r="G245" s="9">
        <v>277</v>
      </c>
      <c r="H245" s="9">
        <v>118</v>
      </c>
      <c r="I245" s="9">
        <v>60084</v>
      </c>
      <c r="J245" s="9">
        <v>59842</v>
      </c>
      <c r="K245" s="9">
        <v>252</v>
      </c>
      <c r="L245" s="18" t="s">
        <v>30</v>
      </c>
      <c r="M245" s="18"/>
    </row>
    <row r="246" spans="1:13" x14ac:dyDescent="0.3">
      <c r="A246" s="14" t="s">
        <v>447</v>
      </c>
      <c r="B246" s="14" t="s">
        <v>43</v>
      </c>
      <c r="C246" s="15">
        <v>45790</v>
      </c>
      <c r="D246" s="14" t="s">
        <v>52</v>
      </c>
      <c r="E246" s="14" t="s">
        <v>59</v>
      </c>
      <c r="F246" s="8">
        <v>602</v>
      </c>
      <c r="G246" s="8">
        <v>594</v>
      </c>
      <c r="H246" s="8">
        <v>156</v>
      </c>
      <c r="I246" s="8">
        <v>4214</v>
      </c>
      <c r="J246" s="8">
        <v>3363</v>
      </c>
      <c r="K246" s="8">
        <v>164</v>
      </c>
      <c r="L246" s="14" t="s">
        <v>30</v>
      </c>
      <c r="M246" s="14" t="s">
        <v>31</v>
      </c>
    </row>
    <row r="247" spans="1:13" x14ac:dyDescent="0.3">
      <c r="A247" s="18" t="s">
        <v>449</v>
      </c>
      <c r="B247" s="18" t="s">
        <v>14</v>
      </c>
      <c r="C247" s="19">
        <v>45463</v>
      </c>
      <c r="D247" s="18" t="s">
        <v>45</v>
      </c>
      <c r="E247" s="18" t="s">
        <v>49</v>
      </c>
      <c r="F247" s="9">
        <v>4672</v>
      </c>
      <c r="G247" s="9">
        <v>325</v>
      </c>
      <c r="H247" s="9">
        <v>32</v>
      </c>
      <c r="I247" s="9">
        <v>88768</v>
      </c>
      <c r="J247" s="9">
        <v>87833</v>
      </c>
      <c r="K247" s="9">
        <v>118</v>
      </c>
      <c r="L247" s="18" t="s">
        <v>37</v>
      </c>
      <c r="M247" s="18"/>
    </row>
    <row r="248" spans="1:13" x14ac:dyDescent="0.3">
      <c r="A248" s="14" t="s">
        <v>450</v>
      </c>
      <c r="B248" s="14" t="s">
        <v>33</v>
      </c>
      <c r="C248" s="15">
        <v>45511</v>
      </c>
      <c r="D248" s="14" t="s">
        <v>45</v>
      </c>
      <c r="E248" s="14" t="s">
        <v>88</v>
      </c>
      <c r="F248" s="8">
        <v>1741</v>
      </c>
      <c r="G248" s="8">
        <v>164</v>
      </c>
      <c r="H248" s="8">
        <v>318</v>
      </c>
      <c r="I248" s="8">
        <v>8705</v>
      </c>
      <c r="J248" s="8">
        <v>8272</v>
      </c>
      <c r="K248" s="8">
        <v>121</v>
      </c>
      <c r="L248" s="14" t="s">
        <v>30</v>
      </c>
      <c r="M248" s="14"/>
    </row>
    <row r="249" spans="1:13" x14ac:dyDescent="0.3">
      <c r="A249" s="18" t="s">
        <v>452</v>
      </c>
      <c r="B249" s="18" t="s">
        <v>33</v>
      </c>
      <c r="C249" s="19">
        <v>45455</v>
      </c>
      <c r="D249" s="18" t="s">
        <v>22</v>
      </c>
      <c r="E249" s="18" t="s">
        <v>113</v>
      </c>
      <c r="F249" s="9">
        <v>246</v>
      </c>
      <c r="G249" s="9">
        <v>149</v>
      </c>
      <c r="H249" s="9">
        <v>130</v>
      </c>
      <c r="I249" s="9">
        <v>4674</v>
      </c>
      <c r="J249" s="9">
        <v>4390</v>
      </c>
      <c r="K249" s="9">
        <v>217</v>
      </c>
      <c r="L249" s="18" t="s">
        <v>62</v>
      </c>
      <c r="M249" s="18" t="s">
        <v>31</v>
      </c>
    </row>
    <row r="250" spans="1:13" x14ac:dyDescent="0.3">
      <c r="A250" s="14" t="s">
        <v>454</v>
      </c>
      <c r="B250" s="14" t="s">
        <v>33</v>
      </c>
      <c r="C250" s="15">
        <v>45474</v>
      </c>
      <c r="D250" s="14" t="s">
        <v>35</v>
      </c>
      <c r="E250" s="14" t="s">
        <v>36</v>
      </c>
      <c r="F250" s="8">
        <v>4808</v>
      </c>
      <c r="G250" s="8">
        <v>772</v>
      </c>
      <c r="H250" s="8">
        <v>320</v>
      </c>
      <c r="I250" s="8">
        <v>72120</v>
      </c>
      <c r="J250" s="8">
        <v>71696</v>
      </c>
      <c r="K250" s="8">
        <v>195</v>
      </c>
      <c r="L250" s="14" t="s">
        <v>37</v>
      </c>
      <c r="M250" s="14" t="s">
        <v>19</v>
      </c>
    </row>
    <row r="251" spans="1:13" x14ac:dyDescent="0.3">
      <c r="A251" s="18" t="s">
        <v>456</v>
      </c>
      <c r="B251" s="18" t="s">
        <v>33</v>
      </c>
      <c r="C251" s="19">
        <v>45476</v>
      </c>
      <c r="D251" s="18" t="s">
        <v>45</v>
      </c>
      <c r="E251" s="18" t="s">
        <v>88</v>
      </c>
      <c r="F251" s="9">
        <v>4799</v>
      </c>
      <c r="G251" s="9">
        <v>694</v>
      </c>
      <c r="H251" s="9">
        <v>289</v>
      </c>
      <c r="I251" s="9">
        <v>43191</v>
      </c>
      <c r="J251" s="9">
        <v>42228</v>
      </c>
      <c r="K251" s="9">
        <v>118</v>
      </c>
      <c r="L251" s="18" t="s">
        <v>30</v>
      </c>
      <c r="M251" s="18"/>
    </row>
    <row r="252" spans="1:13" x14ac:dyDescent="0.3">
      <c r="A252" s="14" t="s">
        <v>457</v>
      </c>
      <c r="B252" s="14" t="s">
        <v>43</v>
      </c>
      <c r="C252" s="15">
        <v>45488</v>
      </c>
      <c r="D252" s="14" t="s">
        <v>16</v>
      </c>
      <c r="E252" s="14" t="s">
        <v>65</v>
      </c>
      <c r="F252" s="8">
        <v>3663</v>
      </c>
      <c r="G252" s="8">
        <v>17</v>
      </c>
      <c r="H252" s="8">
        <v>295</v>
      </c>
      <c r="I252" s="8">
        <v>51282</v>
      </c>
      <c r="J252" s="8">
        <v>50567</v>
      </c>
      <c r="K252" s="8">
        <v>84</v>
      </c>
      <c r="L252" s="14" t="s">
        <v>37</v>
      </c>
      <c r="M252" s="14" t="s">
        <v>31</v>
      </c>
    </row>
    <row r="253" spans="1:13" x14ac:dyDescent="0.3">
      <c r="A253" s="18" t="s">
        <v>458</v>
      </c>
      <c r="B253" s="18" t="s">
        <v>33</v>
      </c>
      <c r="C253" s="19">
        <v>45778</v>
      </c>
      <c r="D253" s="18" t="s">
        <v>22</v>
      </c>
      <c r="E253" s="18" t="s">
        <v>113</v>
      </c>
      <c r="F253" s="9">
        <v>1430</v>
      </c>
      <c r="G253" s="9">
        <v>376</v>
      </c>
      <c r="H253" s="9">
        <v>33</v>
      </c>
      <c r="I253" s="9">
        <v>21450</v>
      </c>
      <c r="J253" s="9">
        <v>20509</v>
      </c>
      <c r="K253" s="9">
        <v>251</v>
      </c>
      <c r="L253" s="18" t="s">
        <v>62</v>
      </c>
      <c r="M253" s="18" t="s">
        <v>19</v>
      </c>
    </row>
    <row r="254" spans="1:13" x14ac:dyDescent="0.3">
      <c r="A254" s="14" t="s">
        <v>459</v>
      </c>
      <c r="B254" s="14" t="s">
        <v>14</v>
      </c>
      <c r="C254" s="15">
        <v>45776</v>
      </c>
      <c r="D254" s="14" t="s">
        <v>35</v>
      </c>
      <c r="E254" s="14" t="s">
        <v>149</v>
      </c>
      <c r="F254" s="8">
        <v>249</v>
      </c>
      <c r="G254" s="8">
        <v>592</v>
      </c>
      <c r="H254" s="8">
        <v>230</v>
      </c>
      <c r="I254" s="8">
        <v>1494</v>
      </c>
      <c r="J254" s="8">
        <v>1044</v>
      </c>
      <c r="K254" s="8">
        <v>201</v>
      </c>
      <c r="L254" s="14" t="s">
        <v>37</v>
      </c>
      <c r="M254" s="14" t="s">
        <v>38</v>
      </c>
    </row>
    <row r="255" spans="1:13" x14ac:dyDescent="0.3">
      <c r="A255" s="18" t="s">
        <v>461</v>
      </c>
      <c r="B255" s="18" t="s">
        <v>43</v>
      </c>
      <c r="C255" s="19">
        <v>45724</v>
      </c>
      <c r="D255" s="18" t="s">
        <v>52</v>
      </c>
      <c r="E255" s="18" t="s">
        <v>59</v>
      </c>
      <c r="F255" s="9">
        <v>2382</v>
      </c>
      <c r="G255" s="9">
        <v>265</v>
      </c>
      <c r="H255" s="9">
        <v>134</v>
      </c>
      <c r="I255" s="9">
        <v>38112</v>
      </c>
      <c r="J255" s="9">
        <v>37437</v>
      </c>
      <c r="K255" s="9">
        <v>249</v>
      </c>
      <c r="L255" s="18" t="s">
        <v>62</v>
      </c>
      <c r="M255" s="18" t="s">
        <v>38</v>
      </c>
    </row>
    <row r="256" spans="1:13" x14ac:dyDescent="0.3">
      <c r="A256" s="14" t="s">
        <v>462</v>
      </c>
      <c r="B256" s="14" t="s">
        <v>43</v>
      </c>
      <c r="C256" s="15">
        <v>45444</v>
      </c>
      <c r="D256" s="14" t="s">
        <v>22</v>
      </c>
      <c r="E256" s="14" t="s">
        <v>56</v>
      </c>
      <c r="F256" s="8">
        <v>1272</v>
      </c>
      <c r="G256" s="8">
        <v>465</v>
      </c>
      <c r="H256" s="8">
        <v>99</v>
      </c>
      <c r="I256" s="8">
        <v>24168</v>
      </c>
      <c r="J256" s="8">
        <v>23719</v>
      </c>
      <c r="K256" s="8">
        <v>42</v>
      </c>
      <c r="L256" s="14" t="s">
        <v>30</v>
      </c>
      <c r="M256" s="14"/>
    </row>
    <row r="257" spans="1:13" x14ac:dyDescent="0.3">
      <c r="A257" s="18" t="s">
        <v>464</v>
      </c>
      <c r="B257" s="18" t="s">
        <v>43</v>
      </c>
      <c r="C257" s="19">
        <v>45648</v>
      </c>
      <c r="D257" s="18" t="s">
        <v>52</v>
      </c>
      <c r="E257" s="18" t="s">
        <v>59</v>
      </c>
      <c r="F257" s="9">
        <v>3196</v>
      </c>
      <c r="G257" s="9">
        <v>941</v>
      </c>
      <c r="H257" s="9">
        <v>376</v>
      </c>
      <c r="I257" s="9">
        <v>35156</v>
      </c>
      <c r="J257" s="9">
        <v>34444</v>
      </c>
      <c r="K257" s="9">
        <v>241</v>
      </c>
      <c r="L257" s="18" t="s">
        <v>30</v>
      </c>
      <c r="M257" s="18" t="s">
        <v>31</v>
      </c>
    </row>
    <row r="258" spans="1:13" x14ac:dyDescent="0.3">
      <c r="A258" s="14" t="s">
        <v>465</v>
      </c>
      <c r="B258" s="14" t="s">
        <v>43</v>
      </c>
      <c r="C258" s="15">
        <v>45523</v>
      </c>
      <c r="D258" s="14" t="s">
        <v>22</v>
      </c>
      <c r="E258" s="14" t="s">
        <v>56</v>
      </c>
      <c r="F258" s="8">
        <v>1257</v>
      </c>
      <c r="G258" s="8">
        <v>19</v>
      </c>
      <c r="H258" s="8">
        <v>351</v>
      </c>
      <c r="I258" s="8">
        <v>12570</v>
      </c>
      <c r="J258" s="8">
        <v>11660</v>
      </c>
      <c r="K258" s="8">
        <v>194</v>
      </c>
      <c r="L258" s="14" t="s">
        <v>62</v>
      </c>
      <c r="M258" s="14" t="s">
        <v>25</v>
      </c>
    </row>
    <row r="259" spans="1:13" x14ac:dyDescent="0.3">
      <c r="A259" s="18" t="s">
        <v>465</v>
      </c>
      <c r="B259" s="18" t="s">
        <v>43</v>
      </c>
      <c r="C259" s="19">
        <v>45523</v>
      </c>
      <c r="D259" s="18" t="s">
        <v>22</v>
      </c>
      <c r="E259" s="18" t="s">
        <v>56</v>
      </c>
      <c r="F259" s="9">
        <v>1257</v>
      </c>
      <c r="G259" s="9">
        <v>19</v>
      </c>
      <c r="H259" s="9">
        <v>351</v>
      </c>
      <c r="I259" s="9">
        <v>12570</v>
      </c>
      <c r="J259" s="9">
        <v>11660</v>
      </c>
      <c r="K259" s="9">
        <v>194</v>
      </c>
      <c r="L259" s="18" t="s">
        <v>613</v>
      </c>
      <c r="M259" s="18" t="s">
        <v>25</v>
      </c>
    </row>
    <row r="260" spans="1:13" x14ac:dyDescent="0.3">
      <c r="A260" s="14" t="s">
        <v>465</v>
      </c>
      <c r="B260" s="14" t="s">
        <v>43</v>
      </c>
      <c r="C260" s="15">
        <v>45523</v>
      </c>
      <c r="D260" s="14" t="s">
        <v>22</v>
      </c>
      <c r="E260" s="14" t="s">
        <v>56</v>
      </c>
      <c r="F260" s="8">
        <v>1257</v>
      </c>
      <c r="G260" s="8">
        <v>19</v>
      </c>
      <c r="H260" s="8">
        <v>351</v>
      </c>
      <c r="I260" s="8">
        <v>12570</v>
      </c>
      <c r="J260" s="8">
        <v>11660</v>
      </c>
      <c r="K260" s="8">
        <v>194</v>
      </c>
      <c r="L260" s="14" t="s">
        <v>37</v>
      </c>
      <c r="M260" s="14" t="s">
        <v>25</v>
      </c>
    </row>
    <row r="261" spans="1:13" x14ac:dyDescent="0.3">
      <c r="A261" s="18" t="s">
        <v>467</v>
      </c>
      <c r="B261" s="18" t="s">
        <v>33</v>
      </c>
      <c r="C261" s="19">
        <v>45587</v>
      </c>
      <c r="D261" s="18" t="s">
        <v>35</v>
      </c>
      <c r="E261" s="18" t="s">
        <v>36</v>
      </c>
      <c r="F261" s="9">
        <v>3770</v>
      </c>
      <c r="G261" s="9">
        <v>917</v>
      </c>
      <c r="H261" s="9">
        <v>129</v>
      </c>
      <c r="I261" s="9">
        <v>71630</v>
      </c>
      <c r="J261" s="9">
        <v>71322</v>
      </c>
      <c r="K261" s="9">
        <v>76</v>
      </c>
      <c r="L261" s="18" t="s">
        <v>62</v>
      </c>
      <c r="M261" s="18" t="s">
        <v>19</v>
      </c>
    </row>
    <row r="262" spans="1:13" x14ac:dyDescent="0.3">
      <c r="A262" s="14" t="s">
        <v>468</v>
      </c>
      <c r="B262" s="14" t="s">
        <v>14</v>
      </c>
      <c r="C262" s="15">
        <v>45489</v>
      </c>
      <c r="D262" s="14" t="s">
        <v>22</v>
      </c>
      <c r="E262" s="14" t="s">
        <v>23</v>
      </c>
      <c r="F262" s="8">
        <v>4725</v>
      </c>
      <c r="G262" s="8">
        <v>400</v>
      </c>
      <c r="H262" s="8">
        <v>362</v>
      </c>
      <c r="I262" s="8">
        <v>75600</v>
      </c>
      <c r="J262" s="8">
        <v>74927</v>
      </c>
      <c r="K262" s="8">
        <v>43</v>
      </c>
      <c r="L262" s="14" t="s">
        <v>62</v>
      </c>
      <c r="M262" s="14" t="s">
        <v>38</v>
      </c>
    </row>
    <row r="263" spans="1:13" x14ac:dyDescent="0.3">
      <c r="A263" s="18" t="s">
        <v>470</v>
      </c>
      <c r="B263" s="18" t="s">
        <v>27</v>
      </c>
      <c r="C263" s="19">
        <v>45712</v>
      </c>
      <c r="D263" s="18" t="s">
        <v>22</v>
      </c>
      <c r="E263" s="18" t="s">
        <v>104</v>
      </c>
      <c r="F263" s="9">
        <v>4188</v>
      </c>
      <c r="G263" s="9">
        <v>942</v>
      </c>
      <c r="H263" s="9">
        <v>118</v>
      </c>
      <c r="I263" s="9">
        <v>20940</v>
      </c>
      <c r="J263" s="9">
        <v>20471</v>
      </c>
      <c r="K263" s="9">
        <v>102</v>
      </c>
      <c r="L263" s="18" t="s">
        <v>62</v>
      </c>
      <c r="M263" s="18"/>
    </row>
    <row r="264" spans="1:13" x14ac:dyDescent="0.3">
      <c r="A264" s="14" t="s">
        <v>471</v>
      </c>
      <c r="B264" s="14" t="s">
        <v>14</v>
      </c>
      <c r="C264" s="15">
        <v>45530</v>
      </c>
      <c r="D264" s="14" t="s">
        <v>45</v>
      </c>
      <c r="E264" s="14" t="s">
        <v>49</v>
      </c>
      <c r="F264" s="8">
        <v>929</v>
      </c>
      <c r="G264" s="8">
        <v>192</v>
      </c>
      <c r="H264" s="8">
        <v>322</v>
      </c>
      <c r="I264" s="8">
        <v>16722</v>
      </c>
      <c r="J264" s="8">
        <v>15996</v>
      </c>
      <c r="K264" s="8">
        <v>145</v>
      </c>
      <c r="L264" s="14" t="s">
        <v>37</v>
      </c>
      <c r="M264" s="14" t="s">
        <v>31</v>
      </c>
    </row>
    <row r="265" spans="1:13" x14ac:dyDescent="0.3">
      <c r="A265" s="18" t="s">
        <v>471</v>
      </c>
      <c r="B265" s="18" t="s">
        <v>14</v>
      </c>
      <c r="C265" s="19">
        <v>45530</v>
      </c>
      <c r="D265" s="18" t="s">
        <v>45</v>
      </c>
      <c r="E265" s="18" t="s">
        <v>49</v>
      </c>
      <c r="F265" s="9">
        <v>929</v>
      </c>
      <c r="G265" s="9">
        <v>192</v>
      </c>
      <c r="H265" s="9">
        <v>322</v>
      </c>
      <c r="I265" s="9">
        <v>16722</v>
      </c>
      <c r="J265" s="9">
        <v>15996</v>
      </c>
      <c r="K265" s="9">
        <v>145</v>
      </c>
      <c r="L265" s="18" t="s">
        <v>30</v>
      </c>
      <c r="M265" s="18" t="s">
        <v>31</v>
      </c>
    </row>
    <row r="266" spans="1:13" x14ac:dyDescent="0.3">
      <c r="A266" s="14" t="s">
        <v>471</v>
      </c>
      <c r="B266" s="14" t="s">
        <v>14</v>
      </c>
      <c r="C266" s="15">
        <v>45530</v>
      </c>
      <c r="D266" s="14" t="s">
        <v>45</v>
      </c>
      <c r="E266" s="14" t="s">
        <v>49</v>
      </c>
      <c r="F266" s="8">
        <v>929</v>
      </c>
      <c r="G266" s="8">
        <v>192</v>
      </c>
      <c r="H266" s="8">
        <v>322</v>
      </c>
      <c r="I266" s="8">
        <v>16722</v>
      </c>
      <c r="J266" s="8">
        <v>15996</v>
      </c>
      <c r="K266" s="8">
        <v>145</v>
      </c>
      <c r="L266" s="14" t="s">
        <v>613</v>
      </c>
      <c r="M266" s="14" t="s">
        <v>31</v>
      </c>
    </row>
    <row r="267" spans="1:13" x14ac:dyDescent="0.3">
      <c r="A267" s="18" t="s">
        <v>472</v>
      </c>
      <c r="B267" s="18" t="s">
        <v>43</v>
      </c>
      <c r="C267" s="19">
        <v>45675</v>
      </c>
      <c r="D267" s="18" t="s">
        <v>35</v>
      </c>
      <c r="E267" s="18" t="s">
        <v>71</v>
      </c>
      <c r="F267" s="9">
        <v>4321</v>
      </c>
      <c r="G267" s="9">
        <v>874</v>
      </c>
      <c r="H267" s="9">
        <v>172</v>
      </c>
      <c r="I267" s="9">
        <v>30247</v>
      </c>
      <c r="J267" s="9">
        <v>29254</v>
      </c>
      <c r="K267" s="9">
        <v>122</v>
      </c>
      <c r="L267" s="18" t="s">
        <v>30</v>
      </c>
      <c r="M267" s="18" t="s">
        <v>38</v>
      </c>
    </row>
    <row r="268" spans="1:13" x14ac:dyDescent="0.3">
      <c r="A268" s="14" t="s">
        <v>474</v>
      </c>
      <c r="B268" s="14" t="s">
        <v>43</v>
      </c>
      <c r="C268" s="15">
        <v>45480</v>
      </c>
      <c r="D268" s="14" t="s">
        <v>16</v>
      </c>
      <c r="E268" s="14" t="s">
        <v>65</v>
      </c>
      <c r="F268" s="8">
        <v>4767</v>
      </c>
      <c r="G268" s="8">
        <v>190</v>
      </c>
      <c r="H268" s="8">
        <v>340</v>
      </c>
      <c r="I268" s="8">
        <v>28602</v>
      </c>
      <c r="J268" s="8">
        <v>28044</v>
      </c>
      <c r="K268" s="8">
        <v>210</v>
      </c>
      <c r="L268" s="14" t="s">
        <v>37</v>
      </c>
      <c r="M268" s="14" t="s">
        <v>31</v>
      </c>
    </row>
    <row r="269" spans="1:13" x14ac:dyDescent="0.3">
      <c r="A269" s="18" t="s">
        <v>475</v>
      </c>
      <c r="B269" s="18" t="s">
        <v>14</v>
      </c>
      <c r="C269" s="19">
        <v>45722</v>
      </c>
      <c r="D269" s="18" t="s">
        <v>52</v>
      </c>
      <c r="E269" s="18" t="s">
        <v>132</v>
      </c>
      <c r="F269" s="9">
        <v>3592</v>
      </c>
      <c r="G269" s="9">
        <v>911</v>
      </c>
      <c r="H269" s="9">
        <v>375</v>
      </c>
      <c r="I269" s="9">
        <v>50288</v>
      </c>
      <c r="J269" s="9">
        <v>49490</v>
      </c>
      <c r="K269" s="9">
        <v>32</v>
      </c>
      <c r="L269" s="18" t="s">
        <v>62</v>
      </c>
      <c r="M269" s="18" t="s">
        <v>38</v>
      </c>
    </row>
    <row r="270" spans="1:13" x14ac:dyDescent="0.3">
      <c r="A270" s="14" t="s">
        <v>477</v>
      </c>
      <c r="B270" s="14" t="s">
        <v>27</v>
      </c>
      <c r="C270" s="15">
        <v>45590</v>
      </c>
      <c r="D270" s="14" t="s">
        <v>74</v>
      </c>
      <c r="E270" s="14" t="s">
        <v>219</v>
      </c>
      <c r="F270" s="8">
        <v>4661</v>
      </c>
      <c r="G270" s="8">
        <v>935</v>
      </c>
      <c r="H270" s="8">
        <v>433</v>
      </c>
      <c r="I270" s="8">
        <v>23305</v>
      </c>
      <c r="J270" s="8">
        <v>22583</v>
      </c>
      <c r="K270" s="8">
        <v>63</v>
      </c>
      <c r="L270" s="14" t="s">
        <v>62</v>
      </c>
      <c r="M270" s="14" t="s">
        <v>31</v>
      </c>
    </row>
    <row r="271" spans="1:13" x14ac:dyDescent="0.3">
      <c r="A271" s="18" t="s">
        <v>479</v>
      </c>
      <c r="B271" s="18" t="s">
        <v>43</v>
      </c>
      <c r="C271" s="19">
        <v>45669</v>
      </c>
      <c r="D271" s="18" t="s">
        <v>16</v>
      </c>
      <c r="E271" s="18" t="s">
        <v>65</v>
      </c>
      <c r="F271" s="9">
        <v>4134</v>
      </c>
      <c r="G271" s="9">
        <v>824</v>
      </c>
      <c r="H271" s="9">
        <v>99</v>
      </c>
      <c r="I271" s="9">
        <v>41340</v>
      </c>
      <c r="J271" s="9">
        <v>41050</v>
      </c>
      <c r="K271" s="9">
        <v>177</v>
      </c>
      <c r="L271" s="18" t="s">
        <v>37</v>
      </c>
      <c r="M271" s="18" t="s">
        <v>19</v>
      </c>
    </row>
    <row r="272" spans="1:13" x14ac:dyDescent="0.3">
      <c r="A272" s="14" t="s">
        <v>481</v>
      </c>
      <c r="B272" s="14" t="s">
        <v>43</v>
      </c>
      <c r="C272" s="15">
        <v>45576</v>
      </c>
      <c r="D272" s="14" t="s">
        <v>52</v>
      </c>
      <c r="E272" s="14" t="s">
        <v>59</v>
      </c>
      <c r="F272" s="8">
        <v>400</v>
      </c>
      <c r="G272" s="8">
        <v>680</v>
      </c>
      <c r="H272" s="8">
        <v>434</v>
      </c>
      <c r="I272" s="8">
        <v>6400</v>
      </c>
      <c r="J272" s="8">
        <v>5472</v>
      </c>
      <c r="K272" s="8">
        <v>160</v>
      </c>
      <c r="L272" s="14" t="s">
        <v>62</v>
      </c>
      <c r="M272" s="14" t="s">
        <v>25</v>
      </c>
    </row>
    <row r="273" spans="1:13" x14ac:dyDescent="0.3">
      <c r="A273" s="18" t="s">
        <v>483</v>
      </c>
      <c r="B273" s="18" t="s">
        <v>43</v>
      </c>
      <c r="C273" s="19">
        <v>45531</v>
      </c>
      <c r="D273" s="18" t="s">
        <v>16</v>
      </c>
      <c r="E273" s="18" t="s">
        <v>65</v>
      </c>
      <c r="F273" s="9">
        <v>3960</v>
      </c>
      <c r="G273" s="9">
        <v>266</v>
      </c>
      <c r="H273" s="9">
        <v>8</v>
      </c>
      <c r="I273" s="9">
        <v>35640</v>
      </c>
      <c r="J273" s="9">
        <v>34850</v>
      </c>
      <c r="K273" s="9">
        <v>208</v>
      </c>
      <c r="L273" s="18" t="s">
        <v>62</v>
      </c>
      <c r="M273" s="18"/>
    </row>
    <row r="274" spans="1:13" x14ac:dyDescent="0.3">
      <c r="A274" s="14" t="s">
        <v>483</v>
      </c>
      <c r="B274" s="14" t="s">
        <v>43</v>
      </c>
      <c r="C274" s="15">
        <v>45531</v>
      </c>
      <c r="D274" s="14" t="s">
        <v>16</v>
      </c>
      <c r="E274" s="14" t="s">
        <v>65</v>
      </c>
      <c r="F274" s="8">
        <v>3960</v>
      </c>
      <c r="G274" s="8">
        <v>266</v>
      </c>
      <c r="H274" s="8">
        <v>8</v>
      </c>
      <c r="I274" s="8">
        <v>35640</v>
      </c>
      <c r="J274" s="8">
        <v>34850</v>
      </c>
      <c r="K274" s="8">
        <v>208</v>
      </c>
      <c r="L274" s="14" t="s">
        <v>37</v>
      </c>
      <c r="M274" s="14"/>
    </row>
    <row r="275" spans="1:13" x14ac:dyDescent="0.3">
      <c r="A275" s="18" t="s">
        <v>483</v>
      </c>
      <c r="B275" s="18" t="s">
        <v>43</v>
      </c>
      <c r="C275" s="19">
        <v>45531</v>
      </c>
      <c r="D275" s="18" t="s">
        <v>16</v>
      </c>
      <c r="E275" s="18" t="s">
        <v>65</v>
      </c>
      <c r="F275" s="9">
        <v>3960</v>
      </c>
      <c r="G275" s="9">
        <v>266</v>
      </c>
      <c r="H275" s="9">
        <v>8</v>
      </c>
      <c r="I275" s="9">
        <v>35640</v>
      </c>
      <c r="J275" s="9">
        <v>34850</v>
      </c>
      <c r="K275" s="9">
        <v>208</v>
      </c>
      <c r="L275" s="18" t="s">
        <v>614</v>
      </c>
      <c r="M275" s="18"/>
    </row>
    <row r="276" spans="1:13" x14ac:dyDescent="0.3">
      <c r="A276" s="14" t="s">
        <v>486</v>
      </c>
      <c r="B276" s="14" t="s">
        <v>43</v>
      </c>
      <c r="C276" s="15">
        <v>45690</v>
      </c>
      <c r="D276" s="14" t="s">
        <v>35</v>
      </c>
      <c r="E276" s="14" t="s">
        <v>71</v>
      </c>
      <c r="F276" s="8">
        <v>886</v>
      </c>
      <c r="G276" s="8">
        <v>126</v>
      </c>
      <c r="H276" s="8">
        <v>153</v>
      </c>
      <c r="I276" s="8">
        <v>4430</v>
      </c>
      <c r="J276" s="8">
        <v>4037</v>
      </c>
      <c r="K276" s="8">
        <v>212</v>
      </c>
      <c r="L276" s="14" t="s">
        <v>37</v>
      </c>
      <c r="M276" s="14"/>
    </row>
    <row r="277" spans="1:13" x14ac:dyDescent="0.3">
      <c r="A277" s="18" t="s">
        <v>487</v>
      </c>
      <c r="B277" s="18" t="s">
        <v>14</v>
      </c>
      <c r="C277" s="19">
        <v>45491</v>
      </c>
      <c r="D277" s="18" t="s">
        <v>52</v>
      </c>
      <c r="E277" s="18" t="s">
        <v>132</v>
      </c>
      <c r="F277" s="9">
        <v>827</v>
      </c>
      <c r="G277" s="9">
        <v>77</v>
      </c>
      <c r="H277" s="9">
        <v>402</v>
      </c>
      <c r="I277" s="9">
        <v>14886</v>
      </c>
      <c r="J277" s="9">
        <v>14129</v>
      </c>
      <c r="K277" s="9">
        <v>254</v>
      </c>
      <c r="L277" s="18" t="s">
        <v>37</v>
      </c>
      <c r="M277" s="18" t="s">
        <v>25</v>
      </c>
    </row>
    <row r="278" spans="1:13" x14ac:dyDescent="0.3">
      <c r="A278" s="14" t="s">
        <v>488</v>
      </c>
      <c r="B278" s="14" t="s">
        <v>43</v>
      </c>
      <c r="C278" s="15">
        <v>45465</v>
      </c>
      <c r="D278" s="14" t="s">
        <v>16</v>
      </c>
      <c r="E278" s="14" t="s">
        <v>65</v>
      </c>
      <c r="F278" s="8">
        <v>3813</v>
      </c>
      <c r="G278" s="8">
        <v>935</v>
      </c>
      <c r="H278" s="8">
        <v>274</v>
      </c>
      <c r="I278" s="8">
        <v>68634</v>
      </c>
      <c r="J278" s="8">
        <v>68488</v>
      </c>
      <c r="K278" s="8">
        <v>251</v>
      </c>
      <c r="L278" s="14" t="s">
        <v>62</v>
      </c>
      <c r="M278" s="14"/>
    </row>
    <row r="279" spans="1:13" x14ac:dyDescent="0.3">
      <c r="A279" s="18" t="s">
        <v>489</v>
      </c>
      <c r="B279" s="18" t="s">
        <v>33</v>
      </c>
      <c r="C279" s="19">
        <v>45743</v>
      </c>
      <c r="D279" s="18" t="s">
        <v>45</v>
      </c>
      <c r="E279" s="18" t="s">
        <v>88</v>
      </c>
      <c r="F279" s="9">
        <v>1377</v>
      </c>
      <c r="G279" s="9">
        <v>796</v>
      </c>
      <c r="H279" s="9">
        <v>387</v>
      </c>
      <c r="I279" s="9">
        <v>22032</v>
      </c>
      <c r="J279" s="9">
        <v>21869</v>
      </c>
      <c r="K279" s="9">
        <v>189</v>
      </c>
      <c r="L279" s="18" t="s">
        <v>62</v>
      </c>
      <c r="M279" s="18"/>
    </row>
    <row r="280" spans="1:13" x14ac:dyDescent="0.3">
      <c r="A280" s="14" t="s">
        <v>491</v>
      </c>
      <c r="B280" s="14" t="s">
        <v>43</v>
      </c>
      <c r="C280" s="15">
        <v>45775</v>
      </c>
      <c r="D280" s="14" t="s">
        <v>45</v>
      </c>
      <c r="E280" s="14" t="s">
        <v>46</v>
      </c>
      <c r="F280" s="8">
        <v>2089</v>
      </c>
      <c r="G280" s="8">
        <v>476</v>
      </c>
      <c r="H280" s="8">
        <v>69</v>
      </c>
      <c r="I280" s="8">
        <v>16712</v>
      </c>
      <c r="J280" s="8">
        <v>16309</v>
      </c>
      <c r="K280" s="8">
        <v>64</v>
      </c>
      <c r="L280" s="14" t="s">
        <v>62</v>
      </c>
      <c r="M280" s="14" t="s">
        <v>31</v>
      </c>
    </row>
    <row r="281" spans="1:13" x14ac:dyDescent="0.3">
      <c r="A281" s="18" t="s">
        <v>492</v>
      </c>
      <c r="B281" s="18" t="s">
        <v>14</v>
      </c>
      <c r="C281" s="19">
        <v>45507</v>
      </c>
      <c r="D281" s="18" t="s">
        <v>16</v>
      </c>
      <c r="E281" s="18" t="s">
        <v>17</v>
      </c>
      <c r="F281" s="9">
        <v>3791</v>
      </c>
      <c r="G281" s="9">
        <v>593</v>
      </c>
      <c r="H281" s="9">
        <v>228</v>
      </c>
      <c r="I281" s="9">
        <v>53074</v>
      </c>
      <c r="J281" s="9">
        <v>52613</v>
      </c>
      <c r="K281" s="9">
        <v>205</v>
      </c>
      <c r="L281" s="18" t="s">
        <v>37</v>
      </c>
      <c r="M281" s="18"/>
    </row>
    <row r="282" spans="1:13" x14ac:dyDescent="0.3">
      <c r="A282" s="14" t="s">
        <v>494</v>
      </c>
      <c r="B282" s="14" t="s">
        <v>14</v>
      </c>
      <c r="C282" s="15">
        <v>45671</v>
      </c>
      <c r="D282" s="14" t="s">
        <v>52</v>
      </c>
      <c r="E282" s="14" t="s">
        <v>132</v>
      </c>
      <c r="F282" s="8">
        <v>2692</v>
      </c>
      <c r="G282" s="8">
        <v>115</v>
      </c>
      <c r="H282" s="8">
        <v>64</v>
      </c>
      <c r="I282" s="8">
        <v>21536</v>
      </c>
      <c r="J282" s="8">
        <v>21120</v>
      </c>
      <c r="K282" s="8">
        <v>224</v>
      </c>
      <c r="L282" s="14" t="s">
        <v>62</v>
      </c>
      <c r="M282" s="14" t="s">
        <v>25</v>
      </c>
    </row>
    <row r="283" spans="1:13" x14ac:dyDescent="0.3">
      <c r="A283" s="18" t="s">
        <v>496</v>
      </c>
      <c r="B283" s="18" t="s">
        <v>43</v>
      </c>
      <c r="C283" s="19">
        <v>45750</v>
      </c>
      <c r="D283" s="18" t="s">
        <v>35</v>
      </c>
      <c r="E283" s="18" t="s">
        <v>71</v>
      </c>
      <c r="F283" s="9">
        <v>3767</v>
      </c>
      <c r="G283" s="9">
        <v>514</v>
      </c>
      <c r="H283" s="9">
        <v>238</v>
      </c>
      <c r="I283" s="9">
        <v>37670</v>
      </c>
      <c r="J283" s="9">
        <v>36807</v>
      </c>
      <c r="K283" s="9">
        <v>226</v>
      </c>
      <c r="L283" s="18" t="s">
        <v>62</v>
      </c>
      <c r="M283" s="18" t="s">
        <v>38</v>
      </c>
    </row>
    <row r="284" spans="1:13" x14ac:dyDescent="0.3">
      <c r="A284" s="14" t="s">
        <v>497</v>
      </c>
      <c r="B284" s="14" t="s">
        <v>27</v>
      </c>
      <c r="C284" s="15">
        <v>45553</v>
      </c>
      <c r="D284" s="14" t="s">
        <v>45</v>
      </c>
      <c r="E284" s="14" t="s">
        <v>68</v>
      </c>
      <c r="F284" s="8">
        <v>2143</v>
      </c>
      <c r="G284" s="8">
        <v>12</v>
      </c>
      <c r="H284" s="8">
        <v>204</v>
      </c>
      <c r="I284" s="8">
        <v>40717</v>
      </c>
      <c r="J284" s="8">
        <v>40125</v>
      </c>
      <c r="K284" s="8">
        <v>248</v>
      </c>
      <c r="L284" s="14" t="s">
        <v>37</v>
      </c>
      <c r="M284" s="14" t="s">
        <v>25</v>
      </c>
    </row>
    <row r="285" spans="1:13" x14ac:dyDescent="0.3">
      <c r="A285" s="18" t="s">
        <v>498</v>
      </c>
      <c r="B285" s="18" t="s">
        <v>43</v>
      </c>
      <c r="C285" s="19">
        <v>45753</v>
      </c>
      <c r="D285" s="18" t="s">
        <v>52</v>
      </c>
      <c r="E285" s="18" t="s">
        <v>59</v>
      </c>
      <c r="F285" s="9">
        <v>3090</v>
      </c>
      <c r="G285" s="9">
        <v>697</v>
      </c>
      <c r="H285" s="9">
        <v>164</v>
      </c>
      <c r="I285" s="9">
        <v>49440</v>
      </c>
      <c r="J285" s="9">
        <v>48524</v>
      </c>
      <c r="K285" s="9">
        <v>25</v>
      </c>
      <c r="L285" s="18" t="s">
        <v>37</v>
      </c>
      <c r="M285" s="18" t="s">
        <v>25</v>
      </c>
    </row>
    <row r="286" spans="1:13" x14ac:dyDescent="0.3">
      <c r="A286" s="14" t="s">
        <v>498</v>
      </c>
      <c r="B286" s="14" t="s">
        <v>43</v>
      </c>
      <c r="C286" s="15">
        <v>45753</v>
      </c>
      <c r="D286" s="14" t="s">
        <v>52</v>
      </c>
      <c r="E286" s="14" t="s">
        <v>59</v>
      </c>
      <c r="F286" s="8">
        <v>3090</v>
      </c>
      <c r="G286" s="8">
        <v>697</v>
      </c>
      <c r="H286" s="8">
        <v>164</v>
      </c>
      <c r="I286" s="8">
        <v>49440</v>
      </c>
      <c r="J286" s="8">
        <v>48524</v>
      </c>
      <c r="K286" s="8">
        <v>25</v>
      </c>
      <c r="L286" s="14" t="s">
        <v>37</v>
      </c>
      <c r="M286" s="14" t="s">
        <v>25</v>
      </c>
    </row>
    <row r="287" spans="1:13" x14ac:dyDescent="0.3">
      <c r="A287" s="18" t="s">
        <v>498</v>
      </c>
      <c r="B287" s="18" t="s">
        <v>43</v>
      </c>
      <c r="C287" s="19">
        <v>45753</v>
      </c>
      <c r="D287" s="18" t="s">
        <v>52</v>
      </c>
      <c r="E287" s="18" t="s">
        <v>59</v>
      </c>
      <c r="F287" s="9">
        <v>3090</v>
      </c>
      <c r="G287" s="9">
        <v>697</v>
      </c>
      <c r="H287" s="9">
        <v>164</v>
      </c>
      <c r="I287" s="9">
        <v>49440</v>
      </c>
      <c r="J287" s="9">
        <v>48524</v>
      </c>
      <c r="K287" s="9">
        <v>25</v>
      </c>
      <c r="L287" s="18" t="s">
        <v>614</v>
      </c>
      <c r="M287" s="18" t="s">
        <v>25</v>
      </c>
    </row>
    <row r="288" spans="1:13" x14ac:dyDescent="0.3">
      <c r="A288" s="14" t="s">
        <v>500</v>
      </c>
      <c r="B288" s="14" t="s">
        <v>33</v>
      </c>
      <c r="C288" s="15">
        <v>45509</v>
      </c>
      <c r="D288" s="14" t="s">
        <v>35</v>
      </c>
      <c r="E288" s="14" t="s">
        <v>36</v>
      </c>
      <c r="F288" s="8">
        <v>3601</v>
      </c>
      <c r="G288" s="8">
        <v>695</v>
      </c>
      <c r="H288" s="8">
        <v>75</v>
      </c>
      <c r="I288" s="8">
        <v>21606</v>
      </c>
      <c r="J288" s="8">
        <v>21454</v>
      </c>
      <c r="K288" s="8">
        <v>172</v>
      </c>
      <c r="L288" s="14" t="s">
        <v>37</v>
      </c>
      <c r="M288" s="14" t="s">
        <v>25</v>
      </c>
    </row>
    <row r="289" spans="1:13" x14ac:dyDescent="0.3">
      <c r="A289" s="18" t="s">
        <v>502</v>
      </c>
      <c r="B289" s="18" t="s">
        <v>43</v>
      </c>
      <c r="C289" s="19">
        <v>45698</v>
      </c>
      <c r="D289" s="18" t="s">
        <v>22</v>
      </c>
      <c r="E289" s="18" t="s">
        <v>56</v>
      </c>
      <c r="F289" s="9">
        <v>562</v>
      </c>
      <c r="G289" s="9">
        <v>158</v>
      </c>
      <c r="H289" s="9">
        <v>149</v>
      </c>
      <c r="I289" s="9">
        <v>3372</v>
      </c>
      <c r="J289" s="9">
        <v>2940</v>
      </c>
      <c r="K289" s="9">
        <v>93</v>
      </c>
      <c r="L289" s="18" t="s">
        <v>30</v>
      </c>
      <c r="M289" s="18" t="s">
        <v>19</v>
      </c>
    </row>
    <row r="290" spans="1:13" x14ac:dyDescent="0.3">
      <c r="A290" s="14" t="s">
        <v>503</v>
      </c>
      <c r="B290" s="14" t="s">
        <v>33</v>
      </c>
      <c r="C290" s="15">
        <v>45700</v>
      </c>
      <c r="D290" s="14" t="s">
        <v>35</v>
      </c>
      <c r="E290" s="14" t="s">
        <v>36</v>
      </c>
      <c r="F290" s="8">
        <v>4332</v>
      </c>
      <c r="G290" s="8">
        <v>771</v>
      </c>
      <c r="H290" s="8">
        <v>219</v>
      </c>
      <c r="I290" s="8">
        <v>60648</v>
      </c>
      <c r="J290" s="8">
        <v>60397</v>
      </c>
      <c r="K290" s="8">
        <v>10</v>
      </c>
      <c r="L290" s="14" t="s">
        <v>30</v>
      </c>
      <c r="M290" s="14" t="s">
        <v>31</v>
      </c>
    </row>
    <row r="291" spans="1:13" x14ac:dyDescent="0.3">
      <c r="A291" s="18" t="s">
        <v>503</v>
      </c>
      <c r="B291" s="18" t="s">
        <v>33</v>
      </c>
      <c r="C291" s="19">
        <v>45700</v>
      </c>
      <c r="D291" s="18" t="s">
        <v>35</v>
      </c>
      <c r="E291" s="18" t="s">
        <v>36</v>
      </c>
      <c r="F291" s="9">
        <v>4332</v>
      </c>
      <c r="G291" s="9">
        <v>771</v>
      </c>
      <c r="H291" s="9">
        <v>219</v>
      </c>
      <c r="I291" s="9">
        <v>60648</v>
      </c>
      <c r="J291" s="9">
        <v>60397</v>
      </c>
      <c r="K291" s="9">
        <v>10</v>
      </c>
      <c r="L291" s="18" t="s">
        <v>37</v>
      </c>
      <c r="M291" s="18" t="s">
        <v>31</v>
      </c>
    </row>
    <row r="292" spans="1:13" x14ac:dyDescent="0.3">
      <c r="A292" s="14" t="s">
        <v>503</v>
      </c>
      <c r="B292" s="14" t="s">
        <v>33</v>
      </c>
      <c r="C292" s="15">
        <v>45700</v>
      </c>
      <c r="D292" s="14" t="s">
        <v>35</v>
      </c>
      <c r="E292" s="14" t="s">
        <v>36</v>
      </c>
      <c r="F292" s="8">
        <v>4332</v>
      </c>
      <c r="G292" s="8">
        <v>771</v>
      </c>
      <c r="H292" s="8">
        <v>219</v>
      </c>
      <c r="I292" s="8">
        <v>60648</v>
      </c>
      <c r="J292" s="8">
        <v>60397</v>
      </c>
      <c r="K292" s="8">
        <v>10</v>
      </c>
      <c r="L292" s="14" t="s">
        <v>614</v>
      </c>
      <c r="M292" s="14" t="s">
        <v>31</v>
      </c>
    </row>
    <row r="293" spans="1:13" x14ac:dyDescent="0.3">
      <c r="A293" s="18" t="s">
        <v>506</v>
      </c>
      <c r="B293" s="18" t="s">
        <v>33</v>
      </c>
      <c r="C293" s="19">
        <v>45592</v>
      </c>
      <c r="D293" s="18" t="s">
        <v>52</v>
      </c>
      <c r="E293" s="18" t="s">
        <v>215</v>
      </c>
      <c r="F293" s="9">
        <v>4853</v>
      </c>
      <c r="G293" s="9">
        <v>837</v>
      </c>
      <c r="H293" s="9">
        <v>340</v>
      </c>
      <c r="I293" s="9">
        <v>72795</v>
      </c>
      <c r="J293" s="9">
        <v>72237</v>
      </c>
      <c r="K293" s="9">
        <v>170</v>
      </c>
      <c r="L293" s="18" t="s">
        <v>37</v>
      </c>
      <c r="M293" s="18" t="s">
        <v>19</v>
      </c>
    </row>
    <row r="294" spans="1:13" x14ac:dyDescent="0.3">
      <c r="A294" s="14" t="s">
        <v>508</v>
      </c>
      <c r="B294" s="14" t="s">
        <v>27</v>
      </c>
      <c r="C294" s="15">
        <v>45675</v>
      </c>
      <c r="D294" s="14" t="s">
        <v>52</v>
      </c>
      <c r="E294" s="14" t="s">
        <v>53</v>
      </c>
      <c r="F294" s="8">
        <v>1206</v>
      </c>
      <c r="G294" s="8">
        <v>238</v>
      </c>
      <c r="H294" s="8">
        <v>36</v>
      </c>
      <c r="I294" s="8">
        <v>9648</v>
      </c>
      <c r="J294" s="8">
        <v>9417</v>
      </c>
      <c r="K294" s="8">
        <v>237</v>
      </c>
      <c r="L294" s="14" t="s">
        <v>30</v>
      </c>
      <c r="M294" s="14"/>
    </row>
    <row r="295" spans="1:13" x14ac:dyDescent="0.3">
      <c r="A295" s="18" t="s">
        <v>509</v>
      </c>
      <c r="B295" s="18" t="s">
        <v>33</v>
      </c>
      <c r="C295" s="19">
        <v>45524</v>
      </c>
      <c r="D295" s="18" t="s">
        <v>16</v>
      </c>
      <c r="E295" s="18" t="s">
        <v>82</v>
      </c>
      <c r="F295" s="9">
        <v>2603</v>
      </c>
      <c r="G295" s="9">
        <v>690</v>
      </c>
      <c r="H295" s="9">
        <v>205</v>
      </c>
      <c r="I295" s="9">
        <v>13015</v>
      </c>
      <c r="J295" s="9">
        <v>12130</v>
      </c>
      <c r="K295" s="9">
        <v>20</v>
      </c>
      <c r="L295" s="18" t="s">
        <v>62</v>
      </c>
      <c r="M295" s="18" t="s">
        <v>25</v>
      </c>
    </row>
    <row r="296" spans="1:13" x14ac:dyDescent="0.3">
      <c r="A296" s="14" t="s">
        <v>511</v>
      </c>
      <c r="B296" s="14" t="s">
        <v>14</v>
      </c>
      <c r="C296" s="15">
        <v>45687</v>
      </c>
      <c r="D296" s="14" t="s">
        <v>52</v>
      </c>
      <c r="E296" s="14" t="s">
        <v>132</v>
      </c>
      <c r="F296" s="8">
        <v>59</v>
      </c>
      <c r="G296" s="8">
        <v>163</v>
      </c>
      <c r="H296" s="8">
        <v>93</v>
      </c>
      <c r="I296" s="8">
        <v>590</v>
      </c>
      <c r="J296" s="8">
        <v>475</v>
      </c>
      <c r="K296" s="8">
        <v>293</v>
      </c>
      <c r="L296" s="14" t="s">
        <v>30</v>
      </c>
      <c r="M296" s="14" t="s">
        <v>25</v>
      </c>
    </row>
    <row r="297" spans="1:13" x14ac:dyDescent="0.3">
      <c r="A297" s="18" t="s">
        <v>513</v>
      </c>
      <c r="B297" s="18" t="s">
        <v>14</v>
      </c>
      <c r="C297" s="19">
        <v>45708</v>
      </c>
      <c r="D297" s="18" t="s">
        <v>45</v>
      </c>
      <c r="E297" s="18" t="s">
        <v>49</v>
      </c>
      <c r="F297" s="9">
        <v>1877</v>
      </c>
      <c r="G297" s="9">
        <v>745</v>
      </c>
      <c r="H297" s="9">
        <v>225</v>
      </c>
      <c r="I297" s="9">
        <v>11262</v>
      </c>
      <c r="J297" s="9">
        <v>10967</v>
      </c>
      <c r="K297" s="9">
        <v>41</v>
      </c>
      <c r="L297" s="18" t="s">
        <v>37</v>
      </c>
      <c r="M297" s="18" t="s">
        <v>38</v>
      </c>
    </row>
    <row r="298" spans="1:13" x14ac:dyDescent="0.3">
      <c r="A298" s="14" t="s">
        <v>515</v>
      </c>
      <c r="B298" s="14" t="s">
        <v>43</v>
      </c>
      <c r="C298" s="15">
        <v>45621</v>
      </c>
      <c r="D298" s="14" t="s">
        <v>35</v>
      </c>
      <c r="E298" s="14" t="s">
        <v>71</v>
      </c>
      <c r="F298" s="8">
        <v>4182</v>
      </c>
      <c r="G298" s="8">
        <v>640</v>
      </c>
      <c r="H298" s="8">
        <v>240</v>
      </c>
      <c r="I298" s="8">
        <v>50184</v>
      </c>
      <c r="J298" s="8">
        <v>49351</v>
      </c>
      <c r="K298" s="8">
        <v>10</v>
      </c>
      <c r="L298" s="14" t="s">
        <v>30</v>
      </c>
      <c r="M298" s="14" t="s">
        <v>31</v>
      </c>
    </row>
    <row r="299" spans="1:13" x14ac:dyDescent="0.3">
      <c r="A299" s="18" t="s">
        <v>516</v>
      </c>
      <c r="B299" s="18" t="s">
        <v>14</v>
      </c>
      <c r="C299" s="19">
        <v>45569</v>
      </c>
      <c r="D299" s="18" t="s">
        <v>16</v>
      </c>
      <c r="E299" s="18" t="s">
        <v>17</v>
      </c>
      <c r="F299" s="9">
        <v>4187</v>
      </c>
      <c r="G299" s="9">
        <v>66</v>
      </c>
      <c r="H299" s="9">
        <v>31</v>
      </c>
      <c r="I299" s="9">
        <v>66992</v>
      </c>
      <c r="J299" s="9">
        <v>66614</v>
      </c>
      <c r="K299" s="9">
        <v>62</v>
      </c>
      <c r="L299" s="18" t="s">
        <v>62</v>
      </c>
      <c r="M299" s="18"/>
    </row>
    <row r="300" spans="1:13" x14ac:dyDescent="0.3">
      <c r="A300" s="14" t="s">
        <v>517</v>
      </c>
      <c r="B300" s="14" t="s">
        <v>33</v>
      </c>
      <c r="C300" s="15">
        <v>45760</v>
      </c>
      <c r="D300" s="14" t="s">
        <v>16</v>
      </c>
      <c r="E300" s="14" t="s">
        <v>82</v>
      </c>
      <c r="F300" s="8">
        <v>4579</v>
      </c>
      <c r="G300" s="8">
        <v>125</v>
      </c>
      <c r="H300" s="8">
        <v>300</v>
      </c>
      <c r="I300" s="8">
        <v>59527</v>
      </c>
      <c r="J300" s="8">
        <v>59400</v>
      </c>
      <c r="K300" s="8">
        <v>269</v>
      </c>
      <c r="L300" s="14" t="s">
        <v>37</v>
      </c>
      <c r="M300" s="14" t="s">
        <v>19</v>
      </c>
    </row>
    <row r="301" spans="1:13" x14ac:dyDescent="0.3">
      <c r="A301" s="18" t="s">
        <v>519</v>
      </c>
      <c r="B301" s="18" t="s">
        <v>33</v>
      </c>
      <c r="C301" s="19">
        <v>45601</v>
      </c>
      <c r="D301" s="18" t="s">
        <v>74</v>
      </c>
      <c r="E301" s="18" t="s">
        <v>85</v>
      </c>
      <c r="F301" s="9">
        <v>4561</v>
      </c>
      <c r="G301" s="9">
        <v>51</v>
      </c>
      <c r="H301" s="9">
        <v>441</v>
      </c>
      <c r="I301" s="9">
        <v>22805</v>
      </c>
      <c r="J301" s="9">
        <v>21890</v>
      </c>
      <c r="K301" s="9">
        <v>45</v>
      </c>
      <c r="L301" s="18" t="s">
        <v>30</v>
      </c>
      <c r="M301" s="18" t="s">
        <v>25</v>
      </c>
    </row>
    <row r="302" spans="1:13" x14ac:dyDescent="0.3">
      <c r="A302" s="25" t="s">
        <v>521</v>
      </c>
      <c r="B302" s="25" t="s">
        <v>27</v>
      </c>
      <c r="C302" s="26">
        <v>45672</v>
      </c>
      <c r="D302" s="25" t="s">
        <v>16</v>
      </c>
      <c r="E302" s="25" t="s">
        <v>29</v>
      </c>
      <c r="F302" s="27">
        <v>3774</v>
      </c>
      <c r="G302" s="27">
        <v>239</v>
      </c>
      <c r="H302" s="27">
        <v>39</v>
      </c>
      <c r="I302" s="27">
        <v>60384</v>
      </c>
      <c r="J302" s="27">
        <v>59490</v>
      </c>
      <c r="K302" s="27">
        <v>241</v>
      </c>
      <c r="L302" s="25" t="s">
        <v>30</v>
      </c>
      <c r="M302" s="25" t="s">
        <v>31</v>
      </c>
    </row>
    <row r="303" spans="1:13" x14ac:dyDescent="0.3">
      <c r="A303" s="17" t="s">
        <v>522</v>
      </c>
      <c r="B303" s="18" t="s">
        <v>33</v>
      </c>
      <c r="C303" s="19">
        <v>45582</v>
      </c>
      <c r="D303" s="18" t="s">
        <v>74</v>
      </c>
      <c r="E303" s="18" t="s">
        <v>85</v>
      </c>
      <c r="F303" s="9">
        <v>3575</v>
      </c>
      <c r="G303" s="9">
        <v>749</v>
      </c>
      <c r="H303" s="9">
        <v>111</v>
      </c>
      <c r="I303" s="9">
        <v>21450</v>
      </c>
      <c r="J303" s="9">
        <v>20785</v>
      </c>
      <c r="K303" s="9">
        <v>195</v>
      </c>
      <c r="L303" s="18" t="s">
        <v>37</v>
      </c>
      <c r="M303" s="20" t="s">
        <v>25</v>
      </c>
    </row>
    <row r="304" spans="1:13" x14ac:dyDescent="0.3">
      <c r="A304" s="13" t="s">
        <v>524</v>
      </c>
      <c r="B304" s="14" t="s">
        <v>33</v>
      </c>
      <c r="C304" s="15">
        <v>45743</v>
      </c>
      <c r="D304" s="14" t="s">
        <v>22</v>
      </c>
      <c r="E304" s="14" t="s">
        <v>113</v>
      </c>
      <c r="F304" s="8">
        <v>4941</v>
      </c>
      <c r="G304" s="8">
        <v>414</v>
      </c>
      <c r="H304" s="8">
        <v>266</v>
      </c>
      <c r="I304" s="8">
        <v>39528</v>
      </c>
      <c r="J304" s="8">
        <v>39154</v>
      </c>
      <c r="K304" s="8">
        <v>217</v>
      </c>
      <c r="L304" s="14" t="s">
        <v>30</v>
      </c>
      <c r="M304" s="16" t="s">
        <v>31</v>
      </c>
    </row>
    <row r="305" spans="1:13" x14ac:dyDescent="0.3">
      <c r="A305" s="17" t="s">
        <v>525</v>
      </c>
      <c r="B305" s="18" t="s">
        <v>27</v>
      </c>
      <c r="C305" s="19">
        <v>45577</v>
      </c>
      <c r="D305" s="18" t="s">
        <v>35</v>
      </c>
      <c r="E305" s="18" t="s">
        <v>154</v>
      </c>
      <c r="F305" s="9">
        <v>3641</v>
      </c>
      <c r="G305" s="9">
        <v>226</v>
      </c>
      <c r="H305" s="9">
        <v>46</v>
      </c>
      <c r="I305" s="9">
        <v>40051</v>
      </c>
      <c r="J305" s="9">
        <v>39319</v>
      </c>
      <c r="K305" s="9">
        <v>296</v>
      </c>
      <c r="L305" s="18" t="s">
        <v>37</v>
      </c>
      <c r="M305" s="20" t="s">
        <v>38</v>
      </c>
    </row>
    <row r="306" spans="1:13" x14ac:dyDescent="0.3">
      <c r="A306" s="13" t="s">
        <v>527</v>
      </c>
      <c r="B306" s="14" t="s">
        <v>14</v>
      </c>
      <c r="C306" s="15">
        <v>45658</v>
      </c>
      <c r="D306" s="14" t="s">
        <v>45</v>
      </c>
      <c r="E306" s="14" t="s">
        <v>49</v>
      </c>
      <c r="F306" s="8">
        <v>3535</v>
      </c>
      <c r="G306" s="8">
        <v>494</v>
      </c>
      <c r="H306" s="8">
        <v>152</v>
      </c>
      <c r="I306" s="8">
        <v>53025</v>
      </c>
      <c r="J306" s="8">
        <v>52791</v>
      </c>
      <c r="K306" s="8">
        <v>44</v>
      </c>
      <c r="L306" s="14" t="s">
        <v>30</v>
      </c>
      <c r="M306" s="16" t="s">
        <v>38</v>
      </c>
    </row>
    <row r="307" spans="1:13" x14ac:dyDescent="0.3">
      <c r="A307" s="17" t="s">
        <v>528</v>
      </c>
      <c r="B307" s="18" t="s">
        <v>43</v>
      </c>
      <c r="C307" s="19">
        <v>45509</v>
      </c>
      <c r="D307" s="18" t="s">
        <v>16</v>
      </c>
      <c r="E307" s="18" t="s">
        <v>65</v>
      </c>
      <c r="F307" s="9">
        <v>1741</v>
      </c>
      <c r="G307" s="9">
        <v>831</v>
      </c>
      <c r="H307" s="9">
        <v>345</v>
      </c>
      <c r="I307" s="9">
        <v>17410</v>
      </c>
      <c r="J307" s="9">
        <v>16844</v>
      </c>
      <c r="K307" s="9">
        <v>58</v>
      </c>
      <c r="L307" s="18" t="s">
        <v>37</v>
      </c>
      <c r="M307" s="20" t="s">
        <v>31</v>
      </c>
    </row>
    <row r="308" spans="1:13" x14ac:dyDescent="0.3">
      <c r="A308" s="13" t="s">
        <v>529</v>
      </c>
      <c r="B308" s="14" t="s">
        <v>14</v>
      </c>
      <c r="C308" s="15">
        <v>45450</v>
      </c>
      <c r="D308" s="14" t="s">
        <v>45</v>
      </c>
      <c r="E308" s="14" t="s">
        <v>49</v>
      </c>
      <c r="F308" s="8">
        <v>1556</v>
      </c>
      <c r="G308" s="8">
        <v>195</v>
      </c>
      <c r="H308" s="8">
        <v>131</v>
      </c>
      <c r="I308" s="8">
        <v>9336</v>
      </c>
      <c r="J308" s="8">
        <v>8875</v>
      </c>
      <c r="K308" s="8">
        <v>137</v>
      </c>
      <c r="L308" s="14" t="s">
        <v>30</v>
      </c>
      <c r="M308" s="16" t="s">
        <v>25</v>
      </c>
    </row>
    <row r="309" spans="1:13" x14ac:dyDescent="0.3">
      <c r="A309" s="17" t="s">
        <v>531</v>
      </c>
      <c r="B309" s="18" t="s">
        <v>43</v>
      </c>
      <c r="C309" s="19">
        <v>45753</v>
      </c>
      <c r="D309" s="18" t="s">
        <v>52</v>
      </c>
      <c r="E309" s="18" t="s">
        <v>59</v>
      </c>
      <c r="F309" s="9">
        <v>4236</v>
      </c>
      <c r="G309" s="9">
        <v>711</v>
      </c>
      <c r="H309" s="9">
        <v>298</v>
      </c>
      <c r="I309" s="9">
        <v>21180</v>
      </c>
      <c r="J309" s="9">
        <v>20516</v>
      </c>
      <c r="K309" s="9">
        <v>238</v>
      </c>
      <c r="L309" s="18" t="s">
        <v>62</v>
      </c>
      <c r="M309" s="20" t="s">
        <v>19</v>
      </c>
    </row>
    <row r="310" spans="1:13" x14ac:dyDescent="0.3">
      <c r="A310" s="13" t="s">
        <v>532</v>
      </c>
      <c r="B310" s="14" t="s">
        <v>14</v>
      </c>
      <c r="C310" s="15">
        <v>45622</v>
      </c>
      <c r="D310" s="14" t="s">
        <v>22</v>
      </c>
      <c r="E310" s="14" t="s">
        <v>23</v>
      </c>
      <c r="F310" s="8">
        <v>4516</v>
      </c>
      <c r="G310" s="8">
        <v>836</v>
      </c>
      <c r="H310" s="8">
        <v>169</v>
      </c>
      <c r="I310" s="8">
        <v>49676</v>
      </c>
      <c r="J310" s="8">
        <v>49257</v>
      </c>
      <c r="K310" s="8">
        <v>282</v>
      </c>
      <c r="L310" s="14" t="s">
        <v>37</v>
      </c>
      <c r="M310" s="16" t="s">
        <v>38</v>
      </c>
    </row>
    <row r="311" spans="1:13" x14ac:dyDescent="0.3">
      <c r="A311" s="17" t="s">
        <v>534</v>
      </c>
      <c r="B311" s="18" t="s">
        <v>27</v>
      </c>
      <c r="C311" s="19">
        <v>45537</v>
      </c>
      <c r="D311" s="18" t="s">
        <v>52</v>
      </c>
      <c r="E311" s="18" t="s">
        <v>53</v>
      </c>
      <c r="F311" s="9">
        <v>4905</v>
      </c>
      <c r="G311" s="9">
        <v>845</v>
      </c>
      <c r="H311" s="9">
        <v>129</v>
      </c>
      <c r="I311" s="9">
        <v>98100</v>
      </c>
      <c r="J311" s="9">
        <v>97772</v>
      </c>
      <c r="K311" s="9">
        <v>279</v>
      </c>
      <c r="L311" s="18" t="s">
        <v>30</v>
      </c>
      <c r="M311" s="20" t="s">
        <v>25</v>
      </c>
    </row>
    <row r="312" spans="1:13" x14ac:dyDescent="0.3">
      <c r="A312" s="13" t="s">
        <v>535</v>
      </c>
      <c r="B312" s="14" t="s">
        <v>27</v>
      </c>
      <c r="C312" s="15">
        <v>45586</v>
      </c>
      <c r="D312" s="14" t="s">
        <v>74</v>
      </c>
      <c r="E312" s="14" t="s">
        <v>219</v>
      </c>
      <c r="F312" s="8">
        <v>4275</v>
      </c>
      <c r="G312" s="8">
        <v>680</v>
      </c>
      <c r="H312" s="8">
        <v>385</v>
      </c>
      <c r="I312" s="8">
        <v>64125</v>
      </c>
      <c r="J312" s="8">
        <v>63650</v>
      </c>
      <c r="K312" s="8">
        <v>104</v>
      </c>
      <c r="L312" s="14" t="s">
        <v>37</v>
      </c>
      <c r="M312" s="16" t="s">
        <v>38</v>
      </c>
    </row>
    <row r="313" spans="1:13" x14ac:dyDescent="0.3">
      <c r="A313" s="17" t="s">
        <v>535</v>
      </c>
      <c r="B313" s="18" t="s">
        <v>27</v>
      </c>
      <c r="C313" s="19">
        <v>45586</v>
      </c>
      <c r="D313" s="18" t="s">
        <v>74</v>
      </c>
      <c r="E313" s="18" t="s">
        <v>219</v>
      </c>
      <c r="F313" s="9">
        <v>4275</v>
      </c>
      <c r="G313" s="9">
        <v>680</v>
      </c>
      <c r="H313" s="9">
        <v>385</v>
      </c>
      <c r="I313" s="9">
        <v>64125</v>
      </c>
      <c r="J313" s="9">
        <v>63650</v>
      </c>
      <c r="K313" s="9">
        <v>104</v>
      </c>
      <c r="L313" s="18" t="s">
        <v>30</v>
      </c>
      <c r="M313" s="20" t="s">
        <v>38</v>
      </c>
    </row>
    <row r="314" spans="1:13" x14ac:dyDescent="0.3">
      <c r="A314" s="13" t="s">
        <v>535</v>
      </c>
      <c r="B314" s="14" t="s">
        <v>27</v>
      </c>
      <c r="C314" s="15">
        <v>45586</v>
      </c>
      <c r="D314" s="14" t="s">
        <v>74</v>
      </c>
      <c r="E314" s="14" t="s">
        <v>219</v>
      </c>
      <c r="F314" s="8">
        <v>4275</v>
      </c>
      <c r="G314" s="8">
        <v>680</v>
      </c>
      <c r="H314" s="8">
        <v>385</v>
      </c>
      <c r="I314" s="8">
        <v>64125</v>
      </c>
      <c r="J314" s="8">
        <v>63650</v>
      </c>
      <c r="K314" s="8">
        <v>104</v>
      </c>
      <c r="L314" s="14" t="s">
        <v>613</v>
      </c>
      <c r="M314" s="16" t="s">
        <v>38</v>
      </c>
    </row>
    <row r="315" spans="1:13" x14ac:dyDescent="0.3">
      <c r="A315" s="17" t="s">
        <v>536</v>
      </c>
      <c r="B315" s="18" t="s">
        <v>27</v>
      </c>
      <c r="C315" s="19">
        <v>45738</v>
      </c>
      <c r="D315" s="18" t="s">
        <v>52</v>
      </c>
      <c r="E315" s="18" t="s">
        <v>53</v>
      </c>
      <c r="F315" s="9">
        <v>3166</v>
      </c>
      <c r="G315" s="9">
        <v>90</v>
      </c>
      <c r="H315" s="9">
        <v>341</v>
      </c>
      <c r="I315" s="9">
        <v>56988</v>
      </c>
      <c r="J315" s="9">
        <v>56125</v>
      </c>
      <c r="K315" s="9">
        <v>135</v>
      </c>
      <c r="L315" s="18" t="s">
        <v>37</v>
      </c>
      <c r="M315" s="20" t="s">
        <v>25</v>
      </c>
    </row>
    <row r="316" spans="1:13" x14ac:dyDescent="0.3">
      <c r="A316" s="13" t="s">
        <v>538</v>
      </c>
      <c r="B316" s="14" t="s">
        <v>33</v>
      </c>
      <c r="C316" s="15">
        <v>45568</v>
      </c>
      <c r="D316" s="14" t="s">
        <v>74</v>
      </c>
      <c r="E316" s="14" t="s">
        <v>85</v>
      </c>
      <c r="F316" s="8">
        <v>1488</v>
      </c>
      <c r="G316" s="8">
        <v>417</v>
      </c>
      <c r="H316" s="8">
        <v>168</v>
      </c>
      <c r="I316" s="8">
        <v>19344</v>
      </c>
      <c r="J316" s="8">
        <v>18395</v>
      </c>
      <c r="K316" s="8">
        <v>30</v>
      </c>
      <c r="L316" s="14" t="s">
        <v>62</v>
      </c>
      <c r="M316" s="16" t="s">
        <v>31</v>
      </c>
    </row>
    <row r="317" spans="1:13" x14ac:dyDescent="0.3">
      <c r="A317" s="17" t="s">
        <v>540</v>
      </c>
      <c r="B317" s="18" t="s">
        <v>14</v>
      </c>
      <c r="C317" s="19">
        <v>45786</v>
      </c>
      <c r="D317" s="18" t="s">
        <v>16</v>
      </c>
      <c r="E317" s="18" t="s">
        <v>17</v>
      </c>
      <c r="F317" s="9">
        <v>3367</v>
      </c>
      <c r="G317" s="9">
        <v>302</v>
      </c>
      <c r="H317" s="9">
        <v>57</v>
      </c>
      <c r="I317" s="9">
        <v>63973</v>
      </c>
      <c r="J317" s="9">
        <v>63789</v>
      </c>
      <c r="K317" s="9">
        <v>157</v>
      </c>
      <c r="L317" s="18" t="s">
        <v>62</v>
      </c>
      <c r="M317" s="20" t="s">
        <v>25</v>
      </c>
    </row>
    <row r="318" spans="1:13" x14ac:dyDescent="0.3">
      <c r="A318" s="13" t="s">
        <v>542</v>
      </c>
      <c r="B318" s="14" t="s">
        <v>14</v>
      </c>
      <c r="C318" s="15">
        <v>45552</v>
      </c>
      <c r="D318" s="14" t="s">
        <v>22</v>
      </c>
      <c r="E318" s="14" t="s">
        <v>23</v>
      </c>
      <c r="F318" s="8">
        <v>571</v>
      </c>
      <c r="G318" s="8">
        <v>190</v>
      </c>
      <c r="H318" s="8">
        <v>352</v>
      </c>
      <c r="I318" s="8">
        <v>9707</v>
      </c>
      <c r="J318" s="8">
        <v>9418</v>
      </c>
      <c r="K318" s="8">
        <v>231</v>
      </c>
      <c r="L318" s="14" t="s">
        <v>30</v>
      </c>
      <c r="M318" s="16" t="s">
        <v>38</v>
      </c>
    </row>
    <row r="319" spans="1:13" x14ac:dyDescent="0.3">
      <c r="A319" s="17" t="s">
        <v>543</v>
      </c>
      <c r="B319" s="18" t="s">
        <v>27</v>
      </c>
      <c r="C319" s="19">
        <v>45491</v>
      </c>
      <c r="D319" s="18" t="s">
        <v>22</v>
      </c>
      <c r="E319" s="18" t="s">
        <v>104</v>
      </c>
      <c r="F319" s="9">
        <v>4021</v>
      </c>
      <c r="G319" s="9">
        <v>794</v>
      </c>
      <c r="H319" s="9">
        <v>77</v>
      </c>
      <c r="I319" s="9">
        <v>36189</v>
      </c>
      <c r="J319" s="9">
        <v>35505</v>
      </c>
      <c r="K319" s="9">
        <v>174</v>
      </c>
      <c r="L319" s="18" t="s">
        <v>37</v>
      </c>
      <c r="M319" s="20"/>
    </row>
    <row r="320" spans="1:13" x14ac:dyDescent="0.3">
      <c r="A320" s="13" t="s">
        <v>544</v>
      </c>
      <c r="B320" s="14" t="s">
        <v>27</v>
      </c>
      <c r="C320" s="15">
        <v>45560</v>
      </c>
      <c r="D320" s="14" t="s">
        <v>74</v>
      </c>
      <c r="E320" s="14" t="s">
        <v>219</v>
      </c>
      <c r="F320" s="8">
        <v>3389</v>
      </c>
      <c r="G320" s="8">
        <v>344</v>
      </c>
      <c r="H320" s="8">
        <v>229</v>
      </c>
      <c r="I320" s="8">
        <v>20334</v>
      </c>
      <c r="J320" s="8">
        <v>19443</v>
      </c>
      <c r="K320" s="8">
        <v>228</v>
      </c>
      <c r="L320" s="14" t="s">
        <v>62</v>
      </c>
      <c r="M320" s="16" t="s">
        <v>31</v>
      </c>
    </row>
    <row r="321" spans="1:13" x14ac:dyDescent="0.3">
      <c r="A321" s="17" t="s">
        <v>546</v>
      </c>
      <c r="B321" s="18" t="s">
        <v>33</v>
      </c>
      <c r="C321" s="19">
        <v>45519</v>
      </c>
      <c r="D321" s="18" t="s">
        <v>16</v>
      </c>
      <c r="E321" s="18" t="s">
        <v>82</v>
      </c>
      <c r="F321" s="9">
        <v>1164</v>
      </c>
      <c r="G321" s="9">
        <v>616</v>
      </c>
      <c r="H321" s="9">
        <v>324</v>
      </c>
      <c r="I321" s="9">
        <v>6984</v>
      </c>
      <c r="J321" s="9">
        <v>6636</v>
      </c>
      <c r="K321" s="9">
        <v>82</v>
      </c>
      <c r="L321" s="18" t="s">
        <v>37</v>
      </c>
      <c r="M321" s="20" t="s">
        <v>19</v>
      </c>
    </row>
    <row r="322" spans="1:13" x14ac:dyDescent="0.3">
      <c r="A322" s="13" t="s">
        <v>547</v>
      </c>
      <c r="B322" s="14" t="s">
        <v>27</v>
      </c>
      <c r="C322" s="15">
        <v>45764</v>
      </c>
      <c r="D322" s="14" t="s">
        <v>45</v>
      </c>
      <c r="E322" s="14" t="s">
        <v>68</v>
      </c>
      <c r="F322" s="8">
        <v>4780</v>
      </c>
      <c r="G322" s="8">
        <v>691</v>
      </c>
      <c r="H322" s="8">
        <v>380</v>
      </c>
      <c r="I322" s="8">
        <v>86040</v>
      </c>
      <c r="J322" s="8">
        <v>85743</v>
      </c>
      <c r="K322" s="8">
        <v>262</v>
      </c>
      <c r="L322" s="14" t="s">
        <v>62</v>
      </c>
      <c r="M322" s="16" t="s">
        <v>31</v>
      </c>
    </row>
    <row r="323" spans="1:13" x14ac:dyDescent="0.3">
      <c r="A323" s="17" t="s">
        <v>549</v>
      </c>
      <c r="B323" s="18" t="s">
        <v>43</v>
      </c>
      <c r="C323" s="19">
        <v>45624</v>
      </c>
      <c r="D323" s="18" t="s">
        <v>45</v>
      </c>
      <c r="E323" s="18" t="s">
        <v>46</v>
      </c>
      <c r="F323" s="9">
        <v>2751</v>
      </c>
      <c r="G323" s="9">
        <v>33</v>
      </c>
      <c r="H323" s="9">
        <v>430</v>
      </c>
      <c r="I323" s="9">
        <v>44016</v>
      </c>
      <c r="J323" s="9">
        <v>43415</v>
      </c>
      <c r="K323" s="9">
        <v>129</v>
      </c>
      <c r="L323" s="18" t="s">
        <v>62</v>
      </c>
      <c r="M323" s="20"/>
    </row>
    <row r="324" spans="1:13" x14ac:dyDescent="0.3">
      <c r="A324" s="13" t="s">
        <v>550</v>
      </c>
      <c r="B324" s="14" t="s">
        <v>33</v>
      </c>
      <c r="C324" s="15">
        <v>45646</v>
      </c>
      <c r="D324" s="14" t="s">
        <v>45</v>
      </c>
      <c r="E324" s="14" t="s">
        <v>88</v>
      </c>
      <c r="F324" s="8">
        <v>2107</v>
      </c>
      <c r="G324" s="8">
        <v>550</v>
      </c>
      <c r="H324" s="8">
        <v>349</v>
      </c>
      <c r="I324" s="8">
        <v>35819</v>
      </c>
      <c r="J324" s="8">
        <v>35340</v>
      </c>
      <c r="K324" s="8">
        <v>191</v>
      </c>
      <c r="L324" s="14" t="s">
        <v>37</v>
      </c>
      <c r="M324" s="16" t="s">
        <v>38</v>
      </c>
    </row>
    <row r="325" spans="1:13" x14ac:dyDescent="0.3">
      <c r="A325" s="17" t="s">
        <v>552</v>
      </c>
      <c r="B325" s="18" t="s">
        <v>43</v>
      </c>
      <c r="C325" s="19">
        <v>45602</v>
      </c>
      <c r="D325" s="18" t="s">
        <v>74</v>
      </c>
      <c r="E325" s="18" t="s">
        <v>75</v>
      </c>
      <c r="F325" s="9">
        <v>4663</v>
      </c>
      <c r="G325" s="9">
        <v>145</v>
      </c>
      <c r="H325" s="9">
        <v>225</v>
      </c>
      <c r="I325" s="9">
        <v>69945</v>
      </c>
      <c r="J325" s="9">
        <v>69596</v>
      </c>
      <c r="K325" s="9">
        <v>35</v>
      </c>
      <c r="L325" s="18" t="s">
        <v>37</v>
      </c>
      <c r="M325" s="20" t="s">
        <v>38</v>
      </c>
    </row>
    <row r="326" spans="1:13" x14ac:dyDescent="0.3">
      <c r="A326" s="13" t="s">
        <v>553</v>
      </c>
      <c r="B326" s="14" t="s">
        <v>43</v>
      </c>
      <c r="C326" s="15">
        <v>45613</v>
      </c>
      <c r="D326" s="14" t="s">
        <v>22</v>
      </c>
      <c r="E326" s="14" t="s">
        <v>56</v>
      </c>
      <c r="F326" s="8">
        <v>880</v>
      </c>
      <c r="G326" s="8">
        <v>297</v>
      </c>
      <c r="H326" s="8">
        <v>345</v>
      </c>
      <c r="I326" s="8">
        <v>12320</v>
      </c>
      <c r="J326" s="8">
        <v>11978</v>
      </c>
      <c r="K326" s="8">
        <v>238</v>
      </c>
      <c r="L326" s="14" t="s">
        <v>30</v>
      </c>
      <c r="M326" s="16"/>
    </row>
    <row r="327" spans="1:13" x14ac:dyDescent="0.3">
      <c r="A327" s="17" t="s">
        <v>553</v>
      </c>
      <c r="B327" s="18" t="s">
        <v>43</v>
      </c>
      <c r="C327" s="19">
        <v>45613</v>
      </c>
      <c r="D327" s="18" t="s">
        <v>22</v>
      </c>
      <c r="E327" s="18" t="s">
        <v>56</v>
      </c>
      <c r="F327" s="9">
        <v>880</v>
      </c>
      <c r="G327" s="9">
        <v>297</v>
      </c>
      <c r="H327" s="9">
        <v>345</v>
      </c>
      <c r="I327" s="9">
        <v>12320</v>
      </c>
      <c r="J327" s="9">
        <v>11978</v>
      </c>
      <c r="K327" s="9">
        <v>238</v>
      </c>
      <c r="L327" s="18" t="s">
        <v>613</v>
      </c>
      <c r="M327" s="20"/>
    </row>
    <row r="328" spans="1:13" x14ac:dyDescent="0.3">
      <c r="A328" s="13" t="s">
        <v>555</v>
      </c>
      <c r="B328" s="14" t="s">
        <v>43</v>
      </c>
      <c r="C328" s="15">
        <v>45791</v>
      </c>
      <c r="D328" s="14" t="s">
        <v>22</v>
      </c>
      <c r="E328" s="14" t="s">
        <v>56</v>
      </c>
      <c r="F328" s="8">
        <v>2634</v>
      </c>
      <c r="G328" s="8">
        <v>726</v>
      </c>
      <c r="H328" s="8">
        <v>241</v>
      </c>
      <c r="I328" s="8">
        <v>28974</v>
      </c>
      <c r="J328" s="8">
        <v>28102</v>
      </c>
      <c r="K328" s="8">
        <v>277</v>
      </c>
      <c r="L328" s="14" t="s">
        <v>37</v>
      </c>
      <c r="M328" s="16" t="s">
        <v>19</v>
      </c>
    </row>
    <row r="329" spans="1:13" x14ac:dyDescent="0.3">
      <c r="A329" s="17" t="s">
        <v>557</v>
      </c>
      <c r="B329" s="18" t="s">
        <v>43</v>
      </c>
      <c r="C329" s="19">
        <v>45462</v>
      </c>
      <c r="D329" s="18" t="s">
        <v>45</v>
      </c>
      <c r="E329" s="18" t="s">
        <v>46</v>
      </c>
      <c r="F329" s="9">
        <v>4731</v>
      </c>
      <c r="G329" s="9">
        <v>173</v>
      </c>
      <c r="H329" s="9">
        <v>276</v>
      </c>
      <c r="I329" s="9">
        <v>28386</v>
      </c>
      <c r="J329" s="9">
        <v>28185</v>
      </c>
      <c r="K329" s="9">
        <v>89</v>
      </c>
      <c r="L329" s="18" t="s">
        <v>37</v>
      </c>
      <c r="M329" s="20" t="s">
        <v>31</v>
      </c>
    </row>
    <row r="330" spans="1:13" x14ac:dyDescent="0.3">
      <c r="A330" s="13" t="s">
        <v>559</v>
      </c>
      <c r="B330" s="14" t="s">
        <v>14</v>
      </c>
      <c r="C330" s="15">
        <v>45783</v>
      </c>
      <c r="D330" s="14" t="s">
        <v>52</v>
      </c>
      <c r="E330" s="14" t="s">
        <v>132</v>
      </c>
      <c r="F330" s="8">
        <v>1952</v>
      </c>
      <c r="G330" s="8">
        <v>344</v>
      </c>
      <c r="H330" s="8">
        <v>287</v>
      </c>
      <c r="I330" s="8">
        <v>15616</v>
      </c>
      <c r="J330" s="8">
        <v>15403</v>
      </c>
      <c r="K330" s="8">
        <v>235</v>
      </c>
      <c r="L330" s="14" t="s">
        <v>62</v>
      </c>
      <c r="M330" s="16" t="s">
        <v>25</v>
      </c>
    </row>
    <row r="331" spans="1:13" x14ac:dyDescent="0.3">
      <c r="A331" s="17" t="s">
        <v>559</v>
      </c>
      <c r="B331" s="18" t="s">
        <v>14</v>
      </c>
      <c r="C331" s="19">
        <v>45783</v>
      </c>
      <c r="D331" s="18" t="s">
        <v>52</v>
      </c>
      <c r="E331" s="18" t="s">
        <v>132</v>
      </c>
      <c r="F331" s="9">
        <v>1952</v>
      </c>
      <c r="G331" s="9">
        <v>344</v>
      </c>
      <c r="H331" s="9">
        <v>287</v>
      </c>
      <c r="I331" s="9">
        <v>15616</v>
      </c>
      <c r="J331" s="9">
        <v>15403</v>
      </c>
      <c r="K331" s="9">
        <v>235</v>
      </c>
      <c r="L331" s="18" t="s">
        <v>30</v>
      </c>
      <c r="M331" s="20" t="s">
        <v>25</v>
      </c>
    </row>
    <row r="332" spans="1:13" x14ac:dyDescent="0.3">
      <c r="A332" s="13" t="s">
        <v>559</v>
      </c>
      <c r="B332" s="14" t="s">
        <v>14</v>
      </c>
      <c r="C332" s="15">
        <v>45783</v>
      </c>
      <c r="D332" s="14" t="s">
        <v>52</v>
      </c>
      <c r="E332" s="14" t="s">
        <v>132</v>
      </c>
      <c r="F332" s="8">
        <v>1952</v>
      </c>
      <c r="G332" s="8">
        <v>344</v>
      </c>
      <c r="H332" s="8">
        <v>287</v>
      </c>
      <c r="I332" s="8">
        <v>15616</v>
      </c>
      <c r="J332" s="8">
        <v>15403</v>
      </c>
      <c r="K332" s="8">
        <v>235</v>
      </c>
      <c r="L332" s="14" t="s">
        <v>613</v>
      </c>
      <c r="M332" s="16" t="s">
        <v>25</v>
      </c>
    </row>
    <row r="333" spans="1:13" x14ac:dyDescent="0.3">
      <c r="A333" s="17" t="s">
        <v>560</v>
      </c>
      <c r="B333" s="18" t="s">
        <v>14</v>
      </c>
      <c r="C333" s="19">
        <v>45699</v>
      </c>
      <c r="D333" s="18" t="s">
        <v>74</v>
      </c>
      <c r="E333" s="18" t="s">
        <v>145</v>
      </c>
      <c r="F333" s="9">
        <v>3440</v>
      </c>
      <c r="G333" s="9">
        <v>13</v>
      </c>
      <c r="H333" s="9">
        <v>20</v>
      </c>
      <c r="I333" s="9">
        <v>58480</v>
      </c>
      <c r="J333" s="9">
        <v>58146</v>
      </c>
      <c r="K333" s="9">
        <v>210</v>
      </c>
      <c r="L333" s="18" t="s">
        <v>30</v>
      </c>
      <c r="M333" s="20" t="s">
        <v>38</v>
      </c>
    </row>
    <row r="334" spans="1:13" x14ac:dyDescent="0.3">
      <c r="A334" s="13" t="s">
        <v>560</v>
      </c>
      <c r="B334" s="14" t="s">
        <v>14</v>
      </c>
      <c r="C334" s="15">
        <v>45699</v>
      </c>
      <c r="D334" s="14" t="s">
        <v>74</v>
      </c>
      <c r="E334" s="14" t="s">
        <v>145</v>
      </c>
      <c r="F334" s="8">
        <v>3440</v>
      </c>
      <c r="G334" s="8">
        <v>13</v>
      </c>
      <c r="H334" s="8">
        <v>20</v>
      </c>
      <c r="I334" s="8">
        <v>58480</v>
      </c>
      <c r="J334" s="8">
        <v>58146</v>
      </c>
      <c r="K334" s="8">
        <v>210</v>
      </c>
      <c r="L334" s="14" t="s">
        <v>607</v>
      </c>
      <c r="M334" s="16" t="s">
        <v>38</v>
      </c>
    </row>
    <row r="335" spans="1:13" x14ac:dyDescent="0.3">
      <c r="A335" s="17" t="s">
        <v>562</v>
      </c>
      <c r="B335" s="18" t="s">
        <v>14</v>
      </c>
      <c r="C335" s="19">
        <v>45650</v>
      </c>
      <c r="D335" s="18" t="s">
        <v>22</v>
      </c>
      <c r="E335" s="18" t="s">
        <v>23</v>
      </c>
      <c r="F335" s="9">
        <v>2166</v>
      </c>
      <c r="G335" s="9">
        <v>354</v>
      </c>
      <c r="H335" s="9">
        <v>117</v>
      </c>
      <c r="I335" s="9">
        <v>10830</v>
      </c>
      <c r="J335" s="9">
        <v>10245</v>
      </c>
      <c r="K335" s="9">
        <v>24</v>
      </c>
      <c r="L335" s="18" t="s">
        <v>37</v>
      </c>
      <c r="M335" s="20" t="s">
        <v>38</v>
      </c>
    </row>
    <row r="336" spans="1:13" x14ac:dyDescent="0.3">
      <c r="A336" s="13" t="s">
        <v>564</v>
      </c>
      <c r="B336" s="14" t="s">
        <v>43</v>
      </c>
      <c r="C336" s="15">
        <v>45589</v>
      </c>
      <c r="D336" s="14" t="s">
        <v>52</v>
      </c>
      <c r="E336" s="14" t="s">
        <v>59</v>
      </c>
      <c r="F336" s="8">
        <v>4303</v>
      </c>
      <c r="G336" s="8">
        <v>451</v>
      </c>
      <c r="H336" s="8">
        <v>286</v>
      </c>
      <c r="I336" s="8">
        <v>86060</v>
      </c>
      <c r="J336" s="8">
        <v>85823</v>
      </c>
      <c r="K336" s="8">
        <v>14</v>
      </c>
      <c r="L336" s="14" t="s">
        <v>30</v>
      </c>
      <c r="M336" s="16" t="s">
        <v>31</v>
      </c>
    </row>
    <row r="337" spans="1:13" x14ac:dyDescent="0.3">
      <c r="A337" s="17" t="s">
        <v>565</v>
      </c>
      <c r="B337" s="18" t="s">
        <v>43</v>
      </c>
      <c r="C337" s="19">
        <v>45530</v>
      </c>
      <c r="D337" s="18" t="s">
        <v>52</v>
      </c>
      <c r="E337" s="18" t="s">
        <v>59</v>
      </c>
      <c r="F337" s="9">
        <v>2581</v>
      </c>
      <c r="G337" s="9">
        <v>517</v>
      </c>
      <c r="H337" s="9">
        <v>117</v>
      </c>
      <c r="I337" s="9">
        <v>23229</v>
      </c>
      <c r="J337" s="9">
        <v>22331</v>
      </c>
      <c r="K337" s="9">
        <v>70</v>
      </c>
      <c r="L337" s="18" t="s">
        <v>62</v>
      </c>
      <c r="M337" s="20" t="s">
        <v>31</v>
      </c>
    </row>
    <row r="338" spans="1:13" x14ac:dyDescent="0.3">
      <c r="A338" s="13" t="s">
        <v>566</v>
      </c>
      <c r="B338" s="14" t="s">
        <v>14</v>
      </c>
      <c r="C338" s="15">
        <v>45535</v>
      </c>
      <c r="D338" s="14" t="s">
        <v>45</v>
      </c>
      <c r="E338" s="14" t="s">
        <v>49</v>
      </c>
      <c r="F338" s="8">
        <v>4494</v>
      </c>
      <c r="G338" s="8">
        <v>717</v>
      </c>
      <c r="H338" s="8">
        <v>45</v>
      </c>
      <c r="I338" s="8">
        <v>62916</v>
      </c>
      <c r="J338" s="8">
        <v>62688</v>
      </c>
      <c r="K338" s="8">
        <v>191</v>
      </c>
      <c r="L338" s="14" t="s">
        <v>30</v>
      </c>
      <c r="M338" s="16" t="s">
        <v>19</v>
      </c>
    </row>
    <row r="339" spans="1:13" x14ac:dyDescent="0.3">
      <c r="A339" s="17" t="s">
        <v>566</v>
      </c>
      <c r="B339" s="18" t="s">
        <v>14</v>
      </c>
      <c r="C339" s="19">
        <v>45535</v>
      </c>
      <c r="D339" s="18" t="s">
        <v>45</v>
      </c>
      <c r="E339" s="18" t="s">
        <v>49</v>
      </c>
      <c r="F339" s="9">
        <v>4494</v>
      </c>
      <c r="G339" s="9">
        <v>717</v>
      </c>
      <c r="H339" s="9">
        <v>45</v>
      </c>
      <c r="I339" s="9">
        <v>62916</v>
      </c>
      <c r="J339" s="9">
        <v>62688</v>
      </c>
      <c r="K339" s="9">
        <v>191</v>
      </c>
      <c r="L339" s="18" t="s">
        <v>37</v>
      </c>
      <c r="M339" s="20" t="s">
        <v>19</v>
      </c>
    </row>
    <row r="340" spans="1:13" x14ac:dyDescent="0.3">
      <c r="A340" s="13" t="s">
        <v>566</v>
      </c>
      <c r="B340" s="14" t="s">
        <v>14</v>
      </c>
      <c r="C340" s="15">
        <v>45535</v>
      </c>
      <c r="D340" s="14" t="s">
        <v>45</v>
      </c>
      <c r="E340" s="14" t="s">
        <v>49</v>
      </c>
      <c r="F340" s="8">
        <v>4494</v>
      </c>
      <c r="G340" s="8">
        <v>717</v>
      </c>
      <c r="H340" s="8">
        <v>45</v>
      </c>
      <c r="I340" s="8">
        <v>62916</v>
      </c>
      <c r="J340" s="8">
        <v>62688</v>
      </c>
      <c r="K340" s="8">
        <v>191</v>
      </c>
      <c r="L340" s="14" t="s">
        <v>614</v>
      </c>
      <c r="M340" s="16" t="s">
        <v>19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D308-DDD7-46F3-8E38-A5091E12F122}">
  <dimension ref="A5:P14"/>
  <sheetViews>
    <sheetView topLeftCell="C1" workbookViewId="0">
      <selection activeCell="D9" sqref="D9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109375" bestFit="1" customWidth="1"/>
    <col min="4" max="4" width="16.6640625" bestFit="1" customWidth="1"/>
    <col min="5" max="5" width="11.5546875" bestFit="1" customWidth="1"/>
    <col min="6" max="6" width="13.109375" bestFit="1" customWidth="1"/>
    <col min="7" max="7" width="16.6640625" bestFit="1" customWidth="1"/>
    <col min="8" max="8" width="11.5546875" bestFit="1" customWidth="1"/>
    <col min="9" max="9" width="13.109375" bestFit="1" customWidth="1"/>
    <col min="10" max="10" width="16.6640625" bestFit="1" customWidth="1"/>
    <col min="11" max="11" width="11.5546875" bestFit="1" customWidth="1"/>
    <col min="12" max="12" width="13.109375" bestFit="1" customWidth="1"/>
    <col min="13" max="13" width="16.6640625" bestFit="1" customWidth="1"/>
    <col min="14" max="14" width="16.33203125" bestFit="1" customWidth="1"/>
    <col min="15" max="15" width="17.88671875" bestFit="1" customWidth="1"/>
    <col min="16" max="16" width="21.5546875" bestFit="1" customWidth="1"/>
  </cols>
  <sheetData>
    <row r="5" spans="1:16" x14ac:dyDescent="0.3">
      <c r="B5" s="11" t="s">
        <v>621</v>
      </c>
    </row>
    <row r="6" spans="1:16" x14ac:dyDescent="0.3">
      <c r="B6" t="s">
        <v>43</v>
      </c>
      <c r="E6" t="s">
        <v>33</v>
      </c>
      <c r="H6" t="s">
        <v>14</v>
      </c>
      <c r="K6" t="s">
        <v>27</v>
      </c>
      <c r="N6" t="s">
        <v>622</v>
      </c>
      <c r="O6" t="s">
        <v>623</v>
      </c>
      <c r="P6" t="s">
        <v>624</v>
      </c>
    </row>
    <row r="7" spans="1:16" x14ac:dyDescent="0.3">
      <c r="A7" s="11" t="s">
        <v>619</v>
      </c>
      <c r="B7" t="s">
        <v>616</v>
      </c>
      <c r="C7" t="s">
        <v>617</v>
      </c>
      <c r="D7" t="s">
        <v>618</v>
      </c>
      <c r="E7" t="s">
        <v>616</v>
      </c>
      <c r="F7" t="s">
        <v>617</v>
      </c>
      <c r="G7" t="s">
        <v>618</v>
      </c>
      <c r="H7" t="s">
        <v>616</v>
      </c>
      <c r="I7" t="s">
        <v>617</v>
      </c>
      <c r="J7" t="s">
        <v>618</v>
      </c>
      <c r="K7" t="s">
        <v>616</v>
      </c>
      <c r="L7" t="s">
        <v>617</v>
      </c>
      <c r="M7" t="s">
        <v>618</v>
      </c>
    </row>
    <row r="8" spans="1:16" x14ac:dyDescent="0.3">
      <c r="A8" s="12" t="s">
        <v>45</v>
      </c>
      <c r="B8" s="4">
        <v>44476</v>
      </c>
      <c r="C8" s="4">
        <v>7400</v>
      </c>
      <c r="D8" s="4">
        <v>4589</v>
      </c>
      <c r="E8" s="4">
        <v>45776</v>
      </c>
      <c r="F8" s="4">
        <v>7903</v>
      </c>
      <c r="G8" s="4">
        <v>4382</v>
      </c>
      <c r="H8" s="4">
        <v>63769</v>
      </c>
      <c r="I8" s="4">
        <v>7949</v>
      </c>
      <c r="J8" s="4">
        <v>4622</v>
      </c>
      <c r="K8" s="4">
        <v>25730</v>
      </c>
      <c r="L8" s="4">
        <v>6944</v>
      </c>
      <c r="M8" s="4">
        <v>2465</v>
      </c>
      <c r="N8" s="4">
        <v>179751</v>
      </c>
      <c r="O8" s="4">
        <v>30196</v>
      </c>
      <c r="P8" s="4">
        <v>16058</v>
      </c>
    </row>
    <row r="9" spans="1:16" x14ac:dyDescent="0.3">
      <c r="A9" s="12" t="s">
        <v>52</v>
      </c>
      <c r="B9" s="4">
        <v>76983</v>
      </c>
      <c r="C9" s="4">
        <v>13679</v>
      </c>
      <c r="D9" s="4">
        <v>7144</v>
      </c>
      <c r="E9" s="4">
        <v>40391</v>
      </c>
      <c r="F9" s="4">
        <v>5989</v>
      </c>
      <c r="G9" s="4">
        <v>3646</v>
      </c>
      <c r="H9" s="4">
        <v>50158</v>
      </c>
      <c r="I9" s="4">
        <v>7895</v>
      </c>
      <c r="J9" s="4">
        <v>5743</v>
      </c>
      <c r="K9" s="4">
        <v>23903</v>
      </c>
      <c r="L9" s="4">
        <v>4310</v>
      </c>
      <c r="M9" s="4">
        <v>2077</v>
      </c>
      <c r="N9" s="4">
        <v>191435</v>
      </c>
      <c r="O9" s="4">
        <v>31873</v>
      </c>
      <c r="P9" s="4">
        <v>18610</v>
      </c>
    </row>
    <row r="10" spans="1:16" x14ac:dyDescent="0.3">
      <c r="A10" s="12" t="s">
        <v>16</v>
      </c>
      <c r="B10" s="4">
        <v>46102</v>
      </c>
      <c r="C10" s="4">
        <v>7149</v>
      </c>
      <c r="D10" s="4">
        <v>3732</v>
      </c>
      <c r="E10" s="4">
        <v>32148</v>
      </c>
      <c r="F10" s="4">
        <v>8110</v>
      </c>
      <c r="G10" s="4">
        <v>3386</v>
      </c>
      <c r="H10" s="4">
        <v>28490</v>
      </c>
      <c r="I10" s="4">
        <v>4734</v>
      </c>
      <c r="J10" s="4">
        <v>2257</v>
      </c>
      <c r="K10" s="4">
        <v>39022</v>
      </c>
      <c r="L10" s="4">
        <v>6036</v>
      </c>
      <c r="M10" s="4">
        <v>3234</v>
      </c>
      <c r="N10" s="4">
        <v>145762</v>
      </c>
      <c r="O10" s="4">
        <v>26029</v>
      </c>
      <c r="P10" s="4">
        <v>12609</v>
      </c>
    </row>
    <row r="11" spans="1:16" x14ac:dyDescent="0.3">
      <c r="A11" s="12" t="s">
        <v>35</v>
      </c>
      <c r="B11" s="4">
        <v>29405</v>
      </c>
      <c r="C11" s="4">
        <v>4950</v>
      </c>
      <c r="D11" s="4">
        <v>3223</v>
      </c>
      <c r="E11" s="4">
        <v>51313</v>
      </c>
      <c r="F11" s="4">
        <v>11591</v>
      </c>
      <c r="G11" s="4">
        <v>4284</v>
      </c>
      <c r="H11" s="4">
        <v>20466</v>
      </c>
      <c r="I11" s="4">
        <v>5090</v>
      </c>
      <c r="J11" s="4">
        <v>3026</v>
      </c>
      <c r="K11" s="4">
        <v>31968</v>
      </c>
      <c r="L11" s="4">
        <v>3866</v>
      </c>
      <c r="M11" s="4">
        <v>2012</v>
      </c>
      <c r="N11" s="4">
        <v>133152</v>
      </c>
      <c r="O11" s="4">
        <v>25497</v>
      </c>
      <c r="P11" s="4">
        <v>12545</v>
      </c>
    </row>
    <row r="12" spans="1:16" x14ac:dyDescent="0.3">
      <c r="A12" s="12" t="s">
        <v>22</v>
      </c>
      <c r="B12" s="4">
        <v>35357</v>
      </c>
      <c r="C12" s="4">
        <v>5127</v>
      </c>
      <c r="D12" s="4">
        <v>4424</v>
      </c>
      <c r="E12" s="4">
        <v>25567</v>
      </c>
      <c r="F12" s="4">
        <v>5112</v>
      </c>
      <c r="G12" s="4">
        <v>1946</v>
      </c>
      <c r="H12" s="4">
        <v>35953</v>
      </c>
      <c r="I12" s="4">
        <v>5250</v>
      </c>
      <c r="J12" s="4">
        <v>4403</v>
      </c>
      <c r="K12" s="4">
        <v>35429</v>
      </c>
      <c r="L12" s="4">
        <v>5204</v>
      </c>
      <c r="M12" s="4">
        <v>1293</v>
      </c>
      <c r="N12" s="4">
        <v>132306</v>
      </c>
      <c r="O12" s="4">
        <v>20693</v>
      </c>
      <c r="P12" s="4">
        <v>12066</v>
      </c>
    </row>
    <row r="13" spans="1:16" x14ac:dyDescent="0.3">
      <c r="A13" s="12" t="s">
        <v>74</v>
      </c>
      <c r="B13" s="4">
        <v>30553</v>
      </c>
      <c r="C13" s="4">
        <v>3718</v>
      </c>
      <c r="D13" s="4">
        <v>2579</v>
      </c>
      <c r="E13" s="4">
        <v>27578</v>
      </c>
      <c r="F13" s="4">
        <v>7858</v>
      </c>
      <c r="G13" s="4">
        <v>2254</v>
      </c>
      <c r="H13" s="4">
        <v>40013</v>
      </c>
      <c r="I13" s="4">
        <v>7240</v>
      </c>
      <c r="J13" s="4">
        <v>3884</v>
      </c>
      <c r="K13" s="4">
        <v>39835</v>
      </c>
      <c r="L13" s="4">
        <v>6946</v>
      </c>
      <c r="M13" s="4">
        <v>3359</v>
      </c>
      <c r="N13" s="4">
        <v>137979</v>
      </c>
      <c r="O13" s="4">
        <v>25762</v>
      </c>
      <c r="P13" s="4">
        <v>12076</v>
      </c>
    </row>
    <row r="14" spans="1:16" x14ac:dyDescent="0.3">
      <c r="A14" s="12" t="s">
        <v>620</v>
      </c>
      <c r="B14" s="4">
        <v>262876</v>
      </c>
      <c r="C14" s="4">
        <v>42023</v>
      </c>
      <c r="D14" s="4">
        <v>25691</v>
      </c>
      <c r="E14" s="4">
        <v>222773</v>
      </c>
      <c r="F14" s="4">
        <v>46563</v>
      </c>
      <c r="G14" s="4">
        <v>19898</v>
      </c>
      <c r="H14" s="4">
        <v>238849</v>
      </c>
      <c r="I14" s="4">
        <v>38158</v>
      </c>
      <c r="J14" s="4">
        <v>23935</v>
      </c>
      <c r="K14" s="4">
        <v>195887</v>
      </c>
      <c r="L14" s="4">
        <v>33306</v>
      </c>
      <c r="M14" s="4">
        <v>14440</v>
      </c>
      <c r="N14" s="4">
        <v>920385</v>
      </c>
      <c r="O14" s="4">
        <v>160050</v>
      </c>
      <c r="P14" s="4">
        <v>83964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4D90-C3DB-4D97-9F82-A7B2633042B2}">
  <dimension ref="A1:N301"/>
  <sheetViews>
    <sheetView topLeftCell="H1" workbookViewId="0">
      <selection activeCell="I33" sqref="I33"/>
    </sheetView>
  </sheetViews>
  <sheetFormatPr defaultColWidth="21.664062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0" t="s">
        <v>615</v>
      </c>
    </row>
    <row r="2" spans="1:1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  <c r="N2">
        <f>(F2+G2+H2)/I2</f>
        <v>9.0759753593429152E-2</v>
      </c>
    </row>
    <row r="3" spans="1:14" x14ac:dyDescent="0.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  <c r="N3">
        <f t="shared" ref="N3:N66" si="0">(F3+G3+H3)/I3</f>
        <v>7.6097681302417369E-2</v>
      </c>
    </row>
    <row r="4" spans="1:14" x14ac:dyDescent="0.3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  <c r="N4">
        <f t="shared" si="0"/>
        <v>5.5531494209584788E-2</v>
      </c>
    </row>
    <row r="5" spans="1:14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  <c r="N5">
        <f t="shared" si="0"/>
        <v>0.15105033277870217</v>
      </c>
    </row>
    <row r="6" spans="1:14" x14ac:dyDescent="0.3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  <c r="N6">
        <f t="shared" si="0"/>
        <v>6.5617093055946027E-2</v>
      </c>
    </row>
    <row r="7" spans="1:1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  <c r="N7">
        <f t="shared" si="0"/>
        <v>0.17954159592529711</v>
      </c>
    </row>
    <row r="8" spans="1:14" x14ac:dyDescent="0.3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  <c r="N8">
        <f t="shared" si="0"/>
        <v>7.0272020725388601E-2</v>
      </c>
    </row>
    <row r="9" spans="1:14" x14ac:dyDescent="0.3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  <c r="N9">
        <f t="shared" si="0"/>
        <v>0.10340359564080613</v>
      </c>
    </row>
    <row r="10" spans="1:14" x14ac:dyDescent="0.3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  <c r="N10">
        <f t="shared" si="0"/>
        <v>8.8019732205778717E-2</v>
      </c>
    </row>
    <row r="11" spans="1:14" x14ac:dyDescent="0.3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  <c r="N11">
        <f t="shared" si="0"/>
        <v>7.198635172059864E-2</v>
      </c>
    </row>
    <row r="12" spans="1:14" x14ac:dyDescent="0.3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  <c r="N12">
        <f t="shared" si="0"/>
        <v>0.11571269132653061</v>
      </c>
    </row>
    <row r="13" spans="1:14" x14ac:dyDescent="0.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  <c r="N13">
        <f t="shared" si="0"/>
        <v>0.12885405960945528</v>
      </c>
    </row>
    <row r="14" spans="1:14" x14ac:dyDescent="0.3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  <c r="N14">
        <f t="shared" si="0"/>
        <v>7.5868578363072495E-2</v>
      </c>
    </row>
    <row r="15" spans="1:14" x14ac:dyDescent="0.3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  <c r="N15">
        <f t="shared" si="0"/>
        <v>0.14521452145214522</v>
      </c>
    </row>
    <row r="16" spans="1:14" x14ac:dyDescent="0.3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  <c r="N16">
        <f t="shared" si="0"/>
        <v>5.941358024691358E-2</v>
      </c>
    </row>
    <row r="17" spans="1:14" x14ac:dyDescent="0.3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  <c r="N17">
        <f t="shared" si="0"/>
        <v>7.5843713789107758E-2</v>
      </c>
    </row>
    <row r="18" spans="1:14" x14ac:dyDescent="0.3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  <c r="N18">
        <f t="shared" si="0"/>
        <v>9.4235532537716729E-2</v>
      </c>
    </row>
    <row r="19" spans="1:14" x14ac:dyDescent="0.3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  <c r="N19">
        <f t="shared" si="0"/>
        <v>0.10297222222222223</v>
      </c>
    </row>
    <row r="20" spans="1:14" x14ac:dyDescent="0.3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  <c r="N20">
        <f t="shared" si="0"/>
        <v>0.10034235916588857</v>
      </c>
    </row>
    <row r="21" spans="1:14" x14ac:dyDescent="0.3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  <c r="N21">
        <f t="shared" si="0"/>
        <v>6.3809622724794221E-2</v>
      </c>
    </row>
    <row r="22" spans="1:14" x14ac:dyDescent="0.3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  <c r="N22">
        <f t="shared" si="0"/>
        <v>7.7249552156538517E-2</v>
      </c>
    </row>
    <row r="23" spans="1:14" x14ac:dyDescent="0.3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  <c r="N23">
        <f t="shared" si="0"/>
        <v>8.0294585987261149E-2</v>
      </c>
    </row>
    <row r="24" spans="1:14" x14ac:dyDescent="0.3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  <c r="N24">
        <f t="shared" si="0"/>
        <v>7.6867995018679955E-2</v>
      </c>
    </row>
    <row r="25" spans="1:14" x14ac:dyDescent="0.3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  <c r="N25">
        <f t="shared" si="0"/>
        <v>7.2070332803659209E-2</v>
      </c>
    </row>
    <row r="26" spans="1:14" x14ac:dyDescent="0.3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  <c r="N26">
        <f t="shared" si="0"/>
        <v>5.9496567505720827E-2</v>
      </c>
    </row>
    <row r="27" spans="1:14" x14ac:dyDescent="0.3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  <c r="N27">
        <f t="shared" si="0"/>
        <v>8.9730807577268201E-2</v>
      </c>
    </row>
    <row r="28" spans="1:14" x14ac:dyDescent="0.3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  <c r="N28">
        <f t="shared" si="0"/>
        <v>7.1501685934489398E-2</v>
      </c>
    </row>
    <row r="29" spans="1:14" x14ac:dyDescent="0.3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  <c r="N29">
        <f t="shared" si="0"/>
        <v>0.17057291666666666</v>
      </c>
    </row>
    <row r="30" spans="1:14" x14ac:dyDescent="0.3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  <c r="N30">
        <f t="shared" si="0"/>
        <v>0.21208106001558846</v>
      </c>
    </row>
    <row r="31" spans="1:14" x14ac:dyDescent="0.3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  <c r="N31">
        <f t="shared" si="0"/>
        <v>5.7655717106444085E-2</v>
      </c>
    </row>
    <row r="32" spans="1:14" x14ac:dyDescent="0.3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  <c r="N32">
        <f t="shared" si="0"/>
        <v>0.28245270711024134</v>
      </c>
    </row>
    <row r="33" spans="1:14" x14ac:dyDescent="0.3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  <c r="N33">
        <f t="shared" si="0"/>
        <v>0.19088381621305239</v>
      </c>
    </row>
    <row r="34" spans="1:14" x14ac:dyDescent="0.3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  <c r="N34">
        <f t="shared" si="0"/>
        <v>0.12781331438047855</v>
      </c>
    </row>
    <row r="35" spans="1:14" x14ac:dyDescent="0.3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  <c r="N35">
        <f t="shared" si="0"/>
        <v>7.055421038471886E-2</v>
      </c>
    </row>
    <row r="36" spans="1:14" x14ac:dyDescent="0.3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  <c r="N36">
        <f t="shared" si="0"/>
        <v>0.11861662987490802</v>
      </c>
    </row>
    <row r="37" spans="1:14" x14ac:dyDescent="0.3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  <c r="N37">
        <f t="shared" si="0"/>
        <v>7.6523535487678915E-2</v>
      </c>
    </row>
    <row r="38" spans="1:14" x14ac:dyDescent="0.3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  <c r="N38">
        <f t="shared" si="0"/>
        <v>0.17770337301587302</v>
      </c>
    </row>
    <row r="39" spans="1:14" x14ac:dyDescent="0.3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  <c r="N39">
        <f t="shared" si="0"/>
        <v>0.12577012959422137</v>
      </c>
    </row>
    <row r="40" spans="1:14" x14ac:dyDescent="0.3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  <c r="N40">
        <f t="shared" si="0"/>
        <v>7.2126493695121141E-2</v>
      </c>
    </row>
    <row r="41" spans="1:14" x14ac:dyDescent="0.3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  <c r="N41">
        <f t="shared" si="0"/>
        <v>0.13989473684210527</v>
      </c>
    </row>
    <row r="42" spans="1:14" x14ac:dyDescent="0.3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  <c r="N42">
        <f t="shared" si="0"/>
        <v>0.18433235867446393</v>
      </c>
    </row>
    <row r="43" spans="1:14" x14ac:dyDescent="0.3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  <c r="N43">
        <f t="shared" si="0"/>
        <v>0.21840570317563188</v>
      </c>
    </row>
    <row r="44" spans="1:14" x14ac:dyDescent="0.3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  <c r="N44">
        <f t="shared" si="0"/>
        <v>0.21826126954921804</v>
      </c>
    </row>
    <row r="45" spans="1:14" x14ac:dyDescent="0.3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  <c r="N45">
        <f t="shared" si="0"/>
        <v>9.8558100084817649E-2</v>
      </c>
    </row>
    <row r="46" spans="1:14" x14ac:dyDescent="0.3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  <c r="N46">
        <f t="shared" si="0"/>
        <v>7.5229902106199939E-2</v>
      </c>
    </row>
    <row r="47" spans="1:14" x14ac:dyDescent="0.3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  <c r="N47">
        <f t="shared" si="0"/>
        <v>0.16888537906137185</v>
      </c>
    </row>
    <row r="48" spans="1:14" x14ac:dyDescent="0.3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  <c r="N48">
        <f t="shared" si="0"/>
        <v>0.16683616863905326</v>
      </c>
    </row>
    <row r="49" spans="1:14" x14ac:dyDescent="0.3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  <c r="N49">
        <f t="shared" si="0"/>
        <v>7.349527665317139E-2</v>
      </c>
    </row>
    <row r="50" spans="1:14" x14ac:dyDescent="0.3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  <c r="N50">
        <f t="shared" si="0"/>
        <v>0.10617801791554102</v>
      </c>
    </row>
    <row r="51" spans="1:14" x14ac:dyDescent="0.3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  <c r="N51">
        <f t="shared" si="0"/>
        <v>0.13498547567175018</v>
      </c>
    </row>
    <row r="52" spans="1:14" x14ac:dyDescent="0.3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  <c r="N52">
        <f t="shared" si="0"/>
        <v>7.8689839572192513E-2</v>
      </c>
    </row>
    <row r="53" spans="1:14" x14ac:dyDescent="0.3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  <c r="N53">
        <f t="shared" si="0"/>
        <v>0.1569549774407219</v>
      </c>
    </row>
    <row r="54" spans="1:14" x14ac:dyDescent="0.3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  <c r="N54">
        <f t="shared" si="0"/>
        <v>0.36965174129353234</v>
      </c>
    </row>
    <row r="55" spans="1:14" x14ac:dyDescent="0.3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  <c r="N55">
        <f t="shared" si="0"/>
        <v>0.16510298716704411</v>
      </c>
    </row>
    <row r="56" spans="1:14" x14ac:dyDescent="0.3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  <c r="N56">
        <f t="shared" si="0"/>
        <v>9.1897770527460579E-2</v>
      </c>
    </row>
    <row r="57" spans="1:14" x14ac:dyDescent="0.3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  <c r="N57">
        <f t="shared" si="0"/>
        <v>0.12936184657162253</v>
      </c>
    </row>
    <row r="58" spans="1:14" x14ac:dyDescent="0.3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  <c r="N58">
        <f t="shared" si="0"/>
        <v>8.0862831858407078E-2</v>
      </c>
    </row>
    <row r="59" spans="1:14" x14ac:dyDescent="0.3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  <c r="N59">
        <f t="shared" si="0"/>
        <v>0.86601941747572819</v>
      </c>
    </row>
    <row r="60" spans="1:14" x14ac:dyDescent="0.3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  <c r="N60">
        <f t="shared" si="0"/>
        <v>9.2726081258191345E-2</v>
      </c>
    </row>
    <row r="61" spans="1:14" x14ac:dyDescent="0.3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  <c r="N61">
        <f t="shared" si="0"/>
        <v>0.1650782845473111</v>
      </c>
    </row>
    <row r="62" spans="1:14" x14ac:dyDescent="0.3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  <c r="N62">
        <f t="shared" si="0"/>
        <v>0.14276618001546368</v>
      </c>
    </row>
    <row r="63" spans="1:14" x14ac:dyDescent="0.3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  <c r="N63">
        <f t="shared" si="0"/>
        <v>0.53773584905660377</v>
      </c>
    </row>
    <row r="64" spans="1:14" x14ac:dyDescent="0.3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  <c r="N64">
        <f t="shared" si="0"/>
        <v>5.2551586421122697E-2</v>
      </c>
    </row>
    <row r="65" spans="1:14" x14ac:dyDescent="0.3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  <c r="N65">
        <f t="shared" si="0"/>
        <v>8.2047718322909427E-2</v>
      </c>
    </row>
    <row r="66" spans="1:14" x14ac:dyDescent="0.3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  <c r="N66">
        <f t="shared" si="0"/>
        <v>0.11990720603160794</v>
      </c>
    </row>
    <row r="67" spans="1:14" x14ac:dyDescent="0.3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  <c r="N67">
        <f t="shared" ref="N67:N130" si="1">(F67+G67+H67)/I67</f>
        <v>0.29199735449735448</v>
      </c>
    </row>
    <row r="68" spans="1:14" x14ac:dyDescent="0.3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  <c r="N68">
        <f t="shared" si="1"/>
        <v>6.3749764195434822E-2</v>
      </c>
    </row>
    <row r="69" spans="1:14" x14ac:dyDescent="0.3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  <c r="N69">
        <f t="shared" si="1"/>
        <v>0.19310344827586207</v>
      </c>
    </row>
    <row r="70" spans="1:14" x14ac:dyDescent="0.3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  <c r="N70">
        <f t="shared" si="1"/>
        <v>9.3421052631578946E-2</v>
      </c>
    </row>
    <row r="71" spans="1:14" x14ac:dyDescent="0.3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  <c r="N71">
        <f t="shared" si="1"/>
        <v>0.38274706867671693</v>
      </c>
    </row>
    <row r="72" spans="1:14" x14ac:dyDescent="0.3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  <c r="N72">
        <f t="shared" si="1"/>
        <v>0.1199202926956749</v>
      </c>
    </row>
    <row r="73" spans="1:14" x14ac:dyDescent="0.3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  <c r="N73">
        <f t="shared" si="1"/>
        <v>8.837126600284495E-2</v>
      </c>
    </row>
    <row r="74" spans="1:14" x14ac:dyDescent="0.3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  <c r="N74">
        <f t="shared" si="1"/>
        <v>6.4265122330790625E-2</v>
      </c>
    </row>
    <row r="75" spans="1:14" x14ac:dyDescent="0.3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  <c r="N75">
        <f t="shared" si="1"/>
        <v>0.13351302785265048</v>
      </c>
    </row>
    <row r="76" spans="1:14" x14ac:dyDescent="0.3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  <c r="N76">
        <f t="shared" si="1"/>
        <v>0.12131237937689551</v>
      </c>
    </row>
    <row r="77" spans="1:14" x14ac:dyDescent="0.3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  <c r="N77">
        <f t="shared" si="1"/>
        <v>8.1177520071364848E-2</v>
      </c>
    </row>
    <row r="78" spans="1:14" x14ac:dyDescent="0.3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  <c r="N78">
        <f t="shared" si="1"/>
        <v>0.20416333066453163</v>
      </c>
    </row>
    <row r="79" spans="1:14" x14ac:dyDescent="0.3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  <c r="N79">
        <f t="shared" si="1"/>
        <v>8.2075471698113203E-2</v>
      </c>
    </row>
    <row r="80" spans="1:14" x14ac:dyDescent="0.3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  <c r="N80">
        <f t="shared" si="1"/>
        <v>8.860696018453515E-2</v>
      </c>
    </row>
    <row r="81" spans="1:14" x14ac:dyDescent="0.3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  <c r="N81">
        <f t="shared" si="1"/>
        <v>7.7533348349475686E-2</v>
      </c>
    </row>
    <row r="82" spans="1:14" x14ac:dyDescent="0.3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  <c r="N82">
        <f t="shared" si="1"/>
        <v>9.4413295955146179E-2</v>
      </c>
    </row>
    <row r="83" spans="1:14" x14ac:dyDescent="0.3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  <c r="N83">
        <f t="shared" si="1"/>
        <v>8.558620689655172E-2</v>
      </c>
    </row>
    <row r="84" spans="1:14" x14ac:dyDescent="0.3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  <c r="N84">
        <f t="shared" si="1"/>
        <v>0.16118220597196831</v>
      </c>
    </row>
    <row r="85" spans="1:14" x14ac:dyDescent="0.3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  <c r="N85">
        <f t="shared" si="1"/>
        <v>8.6737756939878216E-2</v>
      </c>
    </row>
    <row r="86" spans="1:14" x14ac:dyDescent="0.3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  <c r="N86">
        <f t="shared" si="1"/>
        <v>0.19156491900087783</v>
      </c>
    </row>
    <row r="87" spans="1:14" x14ac:dyDescent="0.3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  <c r="N87">
        <f t="shared" si="1"/>
        <v>6.5515821264328367E-2</v>
      </c>
    </row>
    <row r="88" spans="1:14" x14ac:dyDescent="0.3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  <c r="N88">
        <f t="shared" si="1"/>
        <v>0.20868152274837512</v>
      </c>
    </row>
    <row r="89" spans="1:14" x14ac:dyDescent="0.3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  <c r="N89">
        <f t="shared" si="1"/>
        <v>0.13576158940397351</v>
      </c>
    </row>
    <row r="90" spans="1:14" x14ac:dyDescent="0.3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  <c r="N90">
        <f t="shared" si="1"/>
        <v>0.16873144921925409</v>
      </c>
    </row>
    <row r="91" spans="1:14" x14ac:dyDescent="0.3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  <c r="N91">
        <f t="shared" si="1"/>
        <v>7.0822181933293038E-2</v>
      </c>
    </row>
    <row r="92" spans="1:14" x14ac:dyDescent="0.3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  <c r="N92">
        <f t="shared" si="1"/>
        <v>7.984956452889945E-2</v>
      </c>
    </row>
    <row r="93" spans="1:14" x14ac:dyDescent="0.3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  <c r="N93">
        <f t="shared" si="1"/>
        <v>0.13599052880820836</v>
      </c>
    </row>
    <row r="94" spans="1:14" x14ac:dyDescent="0.3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  <c r="N94">
        <f t="shared" si="1"/>
        <v>0.28045655718611695</v>
      </c>
    </row>
    <row r="95" spans="1:14" x14ac:dyDescent="0.3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  <c r="N95">
        <f t="shared" si="1"/>
        <v>0.16843866371633656</v>
      </c>
    </row>
    <row r="96" spans="1:14" x14ac:dyDescent="0.3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  <c r="N96">
        <f t="shared" si="1"/>
        <v>6.8108806480899509E-2</v>
      </c>
    </row>
    <row r="97" spans="1:14" x14ac:dyDescent="0.3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  <c r="N97">
        <f t="shared" si="1"/>
        <v>0.10339256865912763</v>
      </c>
    </row>
    <row r="98" spans="1:14" x14ac:dyDescent="0.3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  <c r="N98">
        <f t="shared" si="1"/>
        <v>8.7668609086629767E-2</v>
      </c>
    </row>
    <row r="99" spans="1:14" x14ac:dyDescent="0.3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  <c r="N99">
        <f t="shared" si="1"/>
        <v>0.11238095238095239</v>
      </c>
    </row>
    <row r="100" spans="1:14" x14ac:dyDescent="0.3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  <c r="N100">
        <f t="shared" si="1"/>
        <v>7.2000119875329657E-2</v>
      </c>
    </row>
    <row r="101" spans="1:14" x14ac:dyDescent="0.3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  <c r="N101">
        <f t="shared" si="1"/>
        <v>9.2298980747451867E-2</v>
      </c>
    </row>
    <row r="102" spans="1:14" x14ac:dyDescent="0.3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  <c r="N102">
        <f t="shared" si="1"/>
        <v>7.3707865168539333E-2</v>
      </c>
    </row>
    <row r="103" spans="1:14" x14ac:dyDescent="0.3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  <c r="N103">
        <f t="shared" si="1"/>
        <v>0.35666666666666669</v>
      </c>
    </row>
    <row r="104" spans="1:14" x14ac:dyDescent="0.3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  <c r="N104">
        <f t="shared" si="1"/>
        <v>9.9632815002833983E-2</v>
      </c>
    </row>
    <row r="105" spans="1:14" x14ac:dyDescent="0.3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  <c r="N105">
        <f t="shared" si="1"/>
        <v>0.13707250341997265</v>
      </c>
    </row>
    <row r="106" spans="1:14" x14ac:dyDescent="0.3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  <c r="N106">
        <f t="shared" si="1"/>
        <v>0.12896028558679162</v>
      </c>
    </row>
    <row r="107" spans="1:14" x14ac:dyDescent="0.3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  <c r="N107">
        <f t="shared" si="1"/>
        <v>8.5718409468138843E-2</v>
      </c>
    </row>
    <row r="108" spans="1:14" x14ac:dyDescent="0.3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  <c r="N108">
        <f t="shared" si="1"/>
        <v>6.2467323109097243E-2</v>
      </c>
    </row>
    <row r="109" spans="1:14" x14ac:dyDescent="0.3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  <c r="N109">
        <f t="shared" si="1"/>
        <v>0.10005698005698006</v>
      </c>
    </row>
    <row r="110" spans="1:14" x14ac:dyDescent="0.3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  <c r="N110">
        <f t="shared" si="1"/>
        <v>0.16744313510550835</v>
      </c>
    </row>
    <row r="111" spans="1:14" x14ac:dyDescent="0.3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  <c r="N111">
        <f t="shared" si="1"/>
        <v>0.12277759141227776</v>
      </c>
    </row>
    <row r="112" spans="1:14" x14ac:dyDescent="0.3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  <c r="N112">
        <f t="shared" si="1"/>
        <v>7.4071349760941527E-2</v>
      </c>
    </row>
    <row r="113" spans="1:14" x14ac:dyDescent="0.3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  <c r="N113">
        <f t="shared" si="1"/>
        <v>0.17441662408448305</v>
      </c>
    </row>
    <row r="114" spans="1:14" x14ac:dyDescent="0.3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  <c r="N114">
        <f t="shared" si="1"/>
        <v>0.11369088028965829</v>
      </c>
    </row>
    <row r="115" spans="1:14" x14ac:dyDescent="0.3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  <c r="N115">
        <f t="shared" si="1"/>
        <v>0.12942500000000001</v>
      </c>
    </row>
    <row r="116" spans="1:14" x14ac:dyDescent="0.3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  <c r="N116">
        <f t="shared" si="1"/>
        <v>6.2150491965739366E-2</v>
      </c>
    </row>
    <row r="117" spans="1:14" x14ac:dyDescent="0.3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  <c r="N117">
        <f t="shared" si="1"/>
        <v>0.16769515581610614</v>
      </c>
    </row>
    <row r="118" spans="1:14" x14ac:dyDescent="0.3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  <c r="N118">
        <f t="shared" si="1"/>
        <v>0.11792317271769326</v>
      </c>
    </row>
    <row r="119" spans="1:14" x14ac:dyDescent="0.3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  <c r="N119">
        <f t="shared" si="1"/>
        <v>8.0158206987475278E-2</v>
      </c>
    </row>
    <row r="120" spans="1:14" x14ac:dyDescent="0.3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  <c r="N120">
        <f t="shared" si="1"/>
        <v>0.31705583756345179</v>
      </c>
    </row>
    <row r="121" spans="1:14" x14ac:dyDescent="0.3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  <c r="N121">
        <f t="shared" si="1"/>
        <v>0.23414918414918415</v>
      </c>
    </row>
    <row r="122" spans="1:14" x14ac:dyDescent="0.3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  <c r="N122">
        <f t="shared" si="1"/>
        <v>0.32349397590361445</v>
      </c>
    </row>
    <row r="123" spans="1:14" x14ac:dyDescent="0.3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  <c r="N123">
        <f t="shared" si="1"/>
        <v>8.0565268065268064E-2</v>
      </c>
    </row>
    <row r="124" spans="1:14" x14ac:dyDescent="0.3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  <c r="N124">
        <f t="shared" si="1"/>
        <v>0.23616777446710979</v>
      </c>
    </row>
    <row r="125" spans="1:14" x14ac:dyDescent="0.3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  <c r="N125">
        <f t="shared" si="1"/>
        <v>0.33618012422360249</v>
      </c>
    </row>
    <row r="126" spans="1:14" x14ac:dyDescent="0.3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  <c r="N126">
        <f t="shared" si="1"/>
        <v>0.14265722032712325</v>
      </c>
    </row>
    <row r="127" spans="1:14" x14ac:dyDescent="0.3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  <c r="N127">
        <f t="shared" si="1"/>
        <v>9.9829463465827106E-2</v>
      </c>
    </row>
    <row r="128" spans="1:14" x14ac:dyDescent="0.3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  <c r="N128">
        <f t="shared" si="1"/>
        <v>6.9311459413307311E-2</v>
      </c>
    </row>
    <row r="129" spans="1:14" x14ac:dyDescent="0.3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  <c r="N129">
        <f t="shared" si="1"/>
        <v>0.12537731780940059</v>
      </c>
    </row>
    <row r="130" spans="1:14" x14ac:dyDescent="0.3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  <c r="N130">
        <f t="shared" si="1"/>
        <v>0.17291569632044715</v>
      </c>
    </row>
    <row r="131" spans="1:14" x14ac:dyDescent="0.3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  <c r="N131">
        <f t="shared" ref="N131:N194" si="2">(F131+G131+H131)/I131</f>
        <v>8.9577656675749323E-2</v>
      </c>
    </row>
    <row r="132" spans="1:14" x14ac:dyDescent="0.3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  <c r="N132">
        <f t="shared" si="2"/>
        <v>0.13106060606060607</v>
      </c>
    </row>
    <row r="133" spans="1:14" x14ac:dyDescent="0.3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  <c r="N133">
        <f t="shared" si="2"/>
        <v>0.13493953401503478</v>
      </c>
    </row>
    <row r="134" spans="1:14" x14ac:dyDescent="0.3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  <c r="N134">
        <f t="shared" si="2"/>
        <v>7.172350922350923E-2</v>
      </c>
    </row>
    <row r="135" spans="1:14" x14ac:dyDescent="0.3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  <c r="N135">
        <f t="shared" si="2"/>
        <v>7.1133744304476013E-2</v>
      </c>
    </row>
    <row r="136" spans="1:14" x14ac:dyDescent="0.3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  <c r="N136">
        <f t="shared" si="2"/>
        <v>6.461481657304112E-2</v>
      </c>
    </row>
    <row r="137" spans="1:14" x14ac:dyDescent="0.3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  <c r="N137">
        <f t="shared" si="2"/>
        <v>0.20357370772176134</v>
      </c>
    </row>
    <row r="138" spans="1:14" x14ac:dyDescent="0.3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  <c r="N138">
        <f t="shared" si="2"/>
        <v>0.20871010638297871</v>
      </c>
    </row>
    <row r="139" spans="1:14" x14ac:dyDescent="0.3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  <c r="N139">
        <f t="shared" si="2"/>
        <v>0.16065573770491803</v>
      </c>
    </row>
    <row r="140" spans="1:14" x14ac:dyDescent="0.3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  <c r="N140">
        <f t="shared" si="2"/>
        <v>9.422796795338674E-2</v>
      </c>
    </row>
    <row r="141" spans="1:14" x14ac:dyDescent="0.3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  <c r="N141">
        <f t="shared" si="2"/>
        <v>0.15571802706241816</v>
      </c>
    </row>
    <row r="142" spans="1:14" x14ac:dyDescent="0.3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  <c r="N142">
        <f t="shared" si="2"/>
        <v>0.2316508937960042</v>
      </c>
    </row>
    <row r="143" spans="1:14" x14ac:dyDescent="0.3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  <c r="N143">
        <f t="shared" si="2"/>
        <v>6.9438087973557078E-2</v>
      </c>
    </row>
    <row r="144" spans="1:14" x14ac:dyDescent="0.3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  <c r="N144">
        <f t="shared" si="2"/>
        <v>0.50192307692307692</v>
      </c>
    </row>
    <row r="145" spans="1:14" x14ac:dyDescent="0.3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  <c r="N145">
        <f t="shared" si="2"/>
        <v>6.5455787978772245E-2</v>
      </c>
    </row>
    <row r="146" spans="1:14" x14ac:dyDescent="0.3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  <c r="N146">
        <f t="shared" si="2"/>
        <v>5.6416400425985093E-2</v>
      </c>
    </row>
    <row r="147" spans="1:14" x14ac:dyDescent="0.3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  <c r="N147">
        <f t="shared" si="2"/>
        <v>0.21636759108210984</v>
      </c>
    </row>
    <row r="148" spans="1:14" x14ac:dyDescent="0.3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  <c r="N148">
        <f t="shared" si="2"/>
        <v>0.15283323095823095</v>
      </c>
    </row>
    <row r="149" spans="1:14" x14ac:dyDescent="0.3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  <c r="N149">
        <f t="shared" si="2"/>
        <v>0.19864505202032423</v>
      </c>
    </row>
    <row r="150" spans="1:14" x14ac:dyDescent="0.3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  <c r="N150">
        <f t="shared" si="2"/>
        <v>7.7291421856639245E-2</v>
      </c>
    </row>
    <row r="151" spans="1:14" x14ac:dyDescent="0.3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  <c r="N151">
        <f t="shared" si="2"/>
        <v>6.3713620488940623E-2</v>
      </c>
    </row>
    <row r="152" spans="1:14" x14ac:dyDescent="0.3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  <c r="N152">
        <f t="shared" si="2"/>
        <v>0.10977802753582468</v>
      </c>
    </row>
    <row r="153" spans="1:14" x14ac:dyDescent="0.3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  <c r="N153">
        <f t="shared" si="2"/>
        <v>0.19511518179295032</v>
      </c>
    </row>
    <row r="154" spans="1:14" x14ac:dyDescent="0.3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  <c r="N154">
        <f t="shared" si="2"/>
        <v>0.17801355732390214</v>
      </c>
    </row>
    <row r="155" spans="1:14" x14ac:dyDescent="0.3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  <c r="N155">
        <f t="shared" si="2"/>
        <v>0.31965192168237855</v>
      </c>
    </row>
    <row r="156" spans="1:14" x14ac:dyDescent="0.3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  <c r="N156">
        <f t="shared" si="2"/>
        <v>0.11489268506351293</v>
      </c>
    </row>
    <row r="157" spans="1:14" x14ac:dyDescent="0.3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  <c r="N157">
        <f t="shared" si="2"/>
        <v>0.1095786671562328</v>
      </c>
    </row>
    <row r="158" spans="1:14" x14ac:dyDescent="0.3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  <c r="N158">
        <f t="shared" si="2"/>
        <v>0.10793717277486911</v>
      </c>
    </row>
    <row r="159" spans="1:14" x14ac:dyDescent="0.3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  <c r="N159">
        <f t="shared" si="2"/>
        <v>0.11307081114118571</v>
      </c>
    </row>
    <row r="160" spans="1:14" x14ac:dyDescent="0.3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  <c r="N160">
        <f t="shared" si="2"/>
        <v>0.21745283018867925</v>
      </c>
    </row>
    <row r="161" spans="1:14" x14ac:dyDescent="0.3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  <c r="N161">
        <f t="shared" si="2"/>
        <v>9.1137810638734856E-2</v>
      </c>
    </row>
    <row r="162" spans="1:14" x14ac:dyDescent="0.3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  <c r="N162">
        <f t="shared" si="2"/>
        <v>0.11508145034156594</v>
      </c>
    </row>
    <row r="163" spans="1:14" x14ac:dyDescent="0.3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  <c r="N163">
        <f t="shared" si="2"/>
        <v>8.6630570595585168E-2</v>
      </c>
    </row>
    <row r="164" spans="1:14" x14ac:dyDescent="0.3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  <c r="N164">
        <f t="shared" si="2"/>
        <v>0.23101532992668297</v>
      </c>
    </row>
    <row r="165" spans="1:14" x14ac:dyDescent="0.3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  <c r="N165">
        <f t="shared" si="2"/>
        <v>0.15355188488042157</v>
      </c>
    </row>
    <row r="166" spans="1:14" x14ac:dyDescent="0.3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  <c r="N166">
        <f t="shared" si="2"/>
        <v>0.15405989502933004</v>
      </c>
    </row>
    <row r="167" spans="1:14" x14ac:dyDescent="0.3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  <c r="N167">
        <f t="shared" si="2"/>
        <v>0.14320716458262928</v>
      </c>
    </row>
    <row r="168" spans="1:14" x14ac:dyDescent="0.3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  <c r="N168">
        <f t="shared" si="2"/>
        <v>9.859917557465242E-2</v>
      </c>
    </row>
    <row r="169" spans="1:14" x14ac:dyDescent="0.3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  <c r="N169">
        <f t="shared" si="2"/>
        <v>7.412002573292896E-2</v>
      </c>
    </row>
    <row r="170" spans="1:14" x14ac:dyDescent="0.3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  <c r="N170">
        <f t="shared" si="2"/>
        <v>0.12490884163239112</v>
      </c>
    </row>
    <row r="171" spans="1:14" x14ac:dyDescent="0.3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  <c r="N171">
        <f t="shared" si="2"/>
        <v>6.8655003457763777E-2</v>
      </c>
    </row>
    <row r="172" spans="1:14" x14ac:dyDescent="0.3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  <c r="N172">
        <f t="shared" si="2"/>
        <v>9.8068107400130972E-2</v>
      </c>
    </row>
    <row r="173" spans="1:14" x14ac:dyDescent="0.3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  <c r="N173">
        <f t="shared" si="2"/>
        <v>7.2739802071170159E-2</v>
      </c>
    </row>
    <row r="174" spans="1:14" x14ac:dyDescent="0.3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  <c r="N174">
        <f t="shared" si="2"/>
        <v>0.14348370927318296</v>
      </c>
    </row>
    <row r="175" spans="1:14" x14ac:dyDescent="0.3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  <c r="N175">
        <f t="shared" si="2"/>
        <v>0.13809430512016718</v>
      </c>
    </row>
    <row r="176" spans="1:14" x14ac:dyDescent="0.3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  <c r="N176">
        <f t="shared" si="2"/>
        <v>0.6508215962441315</v>
      </c>
    </row>
    <row r="177" spans="1:14" x14ac:dyDescent="0.3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  <c r="N177">
        <f t="shared" si="2"/>
        <v>5.4081095313322801E-2</v>
      </c>
    </row>
    <row r="178" spans="1:14" x14ac:dyDescent="0.3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  <c r="N178">
        <f t="shared" si="2"/>
        <v>9.1365878393951966E-2</v>
      </c>
    </row>
    <row r="179" spans="1:14" x14ac:dyDescent="0.3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  <c r="N179">
        <f t="shared" si="2"/>
        <v>0.70387596899224802</v>
      </c>
    </row>
    <row r="180" spans="1:14" x14ac:dyDescent="0.3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  <c r="N180">
        <f t="shared" si="2"/>
        <v>7.5280481001673588E-2</v>
      </c>
    </row>
    <row r="181" spans="1:14" x14ac:dyDescent="0.3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  <c r="N181">
        <f t="shared" si="2"/>
        <v>9.023070704558174E-2</v>
      </c>
    </row>
    <row r="182" spans="1:14" x14ac:dyDescent="0.3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  <c r="N182">
        <f t="shared" si="2"/>
        <v>0.23673521198273673</v>
      </c>
    </row>
    <row r="183" spans="1:14" x14ac:dyDescent="0.3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  <c r="N183">
        <f t="shared" si="2"/>
        <v>0.10132030477519921</v>
      </c>
    </row>
    <row r="184" spans="1:14" x14ac:dyDescent="0.3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  <c r="N184">
        <f t="shared" si="2"/>
        <v>0.28696581196581195</v>
      </c>
    </row>
    <row r="185" spans="1:14" x14ac:dyDescent="0.3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  <c r="N185">
        <f t="shared" si="2"/>
        <v>0.13614307931570763</v>
      </c>
    </row>
    <row r="186" spans="1:14" x14ac:dyDescent="0.3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  <c r="N186">
        <f t="shared" si="2"/>
        <v>9.5290736237010829E-2</v>
      </c>
    </row>
    <row r="187" spans="1:14" x14ac:dyDescent="0.3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  <c r="N187">
        <f t="shared" si="2"/>
        <v>8.4862714173059003E-2</v>
      </c>
    </row>
    <row r="188" spans="1:14" x14ac:dyDescent="0.3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  <c r="N188">
        <f t="shared" si="2"/>
        <v>8.3726921425504502E-2</v>
      </c>
    </row>
    <row r="189" spans="1:14" x14ac:dyDescent="0.3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  <c r="N189">
        <f t="shared" si="2"/>
        <v>8.4946236559139784E-2</v>
      </c>
    </row>
    <row r="190" spans="1:14" x14ac:dyDescent="0.3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  <c r="N190">
        <f t="shared" si="2"/>
        <v>7.2503306878306875E-2</v>
      </c>
    </row>
    <row r="191" spans="1:14" x14ac:dyDescent="0.3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  <c r="N191">
        <f t="shared" si="2"/>
        <v>5.5909322465613857E-2</v>
      </c>
    </row>
    <row r="192" spans="1:14" x14ac:dyDescent="0.3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  <c r="N192">
        <f t="shared" si="2"/>
        <v>9.9578134817341346E-2</v>
      </c>
    </row>
    <row r="193" spans="1:14" x14ac:dyDescent="0.3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  <c r="N193">
        <f t="shared" si="2"/>
        <v>0.1441326530612245</v>
      </c>
    </row>
    <row r="194" spans="1:14" x14ac:dyDescent="0.3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  <c r="N194">
        <f t="shared" si="2"/>
        <v>9.9255211647142488E-2</v>
      </c>
    </row>
    <row r="195" spans="1:14" x14ac:dyDescent="0.3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  <c r="N195">
        <f t="shared" ref="N195:N258" si="3">(F195+G195+H195)/I195</f>
        <v>8.4203612479474554E-2</v>
      </c>
    </row>
    <row r="196" spans="1:14" x14ac:dyDescent="0.3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  <c r="N196">
        <f t="shared" si="3"/>
        <v>0.13667732704931829</v>
      </c>
    </row>
    <row r="197" spans="1:14" x14ac:dyDescent="0.3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  <c r="N197">
        <f t="shared" si="3"/>
        <v>0.12575841147269717</v>
      </c>
    </row>
    <row r="198" spans="1:14" x14ac:dyDescent="0.3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  <c r="N198">
        <f t="shared" si="3"/>
        <v>6.4884520656164318E-2</v>
      </c>
    </row>
    <row r="199" spans="1:14" x14ac:dyDescent="0.3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  <c r="N199">
        <f t="shared" si="3"/>
        <v>0.19847328244274809</v>
      </c>
    </row>
    <row r="200" spans="1:14" x14ac:dyDescent="0.3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  <c r="N200">
        <f t="shared" si="3"/>
        <v>8.5520696919660646E-2</v>
      </c>
    </row>
    <row r="201" spans="1:14" x14ac:dyDescent="0.3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  <c r="N201">
        <f t="shared" si="3"/>
        <v>6.246991874522239E-2</v>
      </c>
    </row>
    <row r="202" spans="1:14" x14ac:dyDescent="0.3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  <c r="N202">
        <f t="shared" si="3"/>
        <v>9.0606816292601824E-2</v>
      </c>
    </row>
    <row r="203" spans="1:14" x14ac:dyDescent="0.3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  <c r="N203">
        <f t="shared" si="3"/>
        <v>8.2108498129342594E-2</v>
      </c>
    </row>
    <row r="204" spans="1:14" x14ac:dyDescent="0.3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  <c r="N204">
        <f t="shared" si="3"/>
        <v>5.7332570758993957E-2</v>
      </c>
    </row>
    <row r="205" spans="1:14" x14ac:dyDescent="0.3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  <c r="N205">
        <f t="shared" si="3"/>
        <v>0.29713518352730528</v>
      </c>
    </row>
    <row r="206" spans="1:14" x14ac:dyDescent="0.3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  <c r="N206">
        <f t="shared" si="3"/>
        <v>0.1043848167539267</v>
      </c>
    </row>
    <row r="207" spans="1:14" x14ac:dyDescent="0.3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  <c r="N207">
        <f t="shared" si="3"/>
        <v>0.10768685795253277</v>
      </c>
    </row>
    <row r="208" spans="1:14" x14ac:dyDescent="0.3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  <c r="N208">
        <f t="shared" si="3"/>
        <v>0.14316214319138981</v>
      </c>
    </row>
    <row r="209" spans="1:14" x14ac:dyDescent="0.3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  <c r="N209">
        <f t="shared" si="3"/>
        <v>8.6537809426924378E-2</v>
      </c>
    </row>
    <row r="210" spans="1:14" x14ac:dyDescent="0.3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  <c r="N210">
        <f t="shared" si="3"/>
        <v>8.2753164556962022E-2</v>
      </c>
    </row>
    <row r="211" spans="1:14" x14ac:dyDescent="0.3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  <c r="N211">
        <f t="shared" si="3"/>
        <v>0.48518407662376534</v>
      </c>
    </row>
    <row r="212" spans="1:14" x14ac:dyDescent="0.3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  <c r="N212">
        <f t="shared" si="3"/>
        <v>0.18632075471698112</v>
      </c>
    </row>
    <row r="213" spans="1:14" x14ac:dyDescent="0.3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  <c r="N213">
        <f t="shared" si="3"/>
        <v>0.123309241094476</v>
      </c>
    </row>
    <row r="214" spans="1:14" x14ac:dyDescent="0.3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  <c r="N214">
        <f t="shared" si="3"/>
        <v>8.21914819340199E-2</v>
      </c>
    </row>
    <row r="215" spans="1:14" x14ac:dyDescent="0.3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  <c r="N215">
        <f t="shared" si="3"/>
        <v>0.37955854126679461</v>
      </c>
    </row>
    <row r="216" spans="1:14" x14ac:dyDescent="0.3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  <c r="N216">
        <f t="shared" si="3"/>
        <v>7.2116777745580993E-2</v>
      </c>
    </row>
    <row r="217" spans="1:14" x14ac:dyDescent="0.3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  <c r="N217">
        <f t="shared" si="3"/>
        <v>5.8316766070245198E-2</v>
      </c>
    </row>
    <row r="218" spans="1:14" x14ac:dyDescent="0.3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  <c r="N218">
        <f t="shared" si="3"/>
        <v>6.2603126356925748E-2</v>
      </c>
    </row>
    <row r="219" spans="1:14" x14ac:dyDescent="0.3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  <c r="N219">
        <f t="shared" si="3"/>
        <v>0.18806848582129482</v>
      </c>
    </row>
    <row r="220" spans="1:14" x14ac:dyDescent="0.3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  <c r="N220">
        <f t="shared" si="3"/>
        <v>0.25701459034792368</v>
      </c>
    </row>
    <row r="221" spans="1:14" x14ac:dyDescent="0.3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  <c r="N221">
        <f t="shared" si="3"/>
        <v>1.8129251700680271</v>
      </c>
    </row>
    <row r="222" spans="1:14" x14ac:dyDescent="0.3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  <c r="N222">
        <f t="shared" si="3"/>
        <v>0.15989220750056141</v>
      </c>
    </row>
    <row r="223" spans="1:14" x14ac:dyDescent="0.3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  <c r="N223">
        <f t="shared" si="3"/>
        <v>0.11143487163332809</v>
      </c>
    </row>
    <row r="224" spans="1:14" x14ac:dyDescent="0.3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  <c r="N224">
        <f t="shared" si="3"/>
        <v>6.2129685107516146E-2</v>
      </c>
    </row>
    <row r="225" spans="1:14" x14ac:dyDescent="0.3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  <c r="N225">
        <f t="shared" si="3"/>
        <v>0.32083531086853345</v>
      </c>
    </row>
    <row r="226" spans="1:14" x14ac:dyDescent="0.3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  <c r="N226">
        <f t="shared" si="3"/>
        <v>5.6653298485940883E-2</v>
      </c>
    </row>
    <row r="227" spans="1:14" x14ac:dyDescent="0.3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  <c r="N227">
        <f t="shared" si="3"/>
        <v>0.25537047673750718</v>
      </c>
    </row>
    <row r="228" spans="1:14" x14ac:dyDescent="0.3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  <c r="N228">
        <f t="shared" si="3"/>
        <v>0.11232349165596919</v>
      </c>
    </row>
    <row r="229" spans="1:14" x14ac:dyDescent="0.3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  <c r="N229">
        <f t="shared" si="3"/>
        <v>8.1808097615085965E-2</v>
      </c>
    </row>
    <row r="230" spans="1:14" x14ac:dyDescent="0.3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  <c r="N230">
        <f t="shared" si="3"/>
        <v>0.13387048227640017</v>
      </c>
    </row>
    <row r="231" spans="1:14" x14ac:dyDescent="0.3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  <c r="N231">
        <f t="shared" si="3"/>
        <v>7.7512577512577507E-2</v>
      </c>
    </row>
    <row r="232" spans="1:14" x14ac:dyDescent="0.3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  <c r="N232">
        <f t="shared" si="3"/>
        <v>8.5734265734265735E-2</v>
      </c>
    </row>
    <row r="233" spans="1:14" x14ac:dyDescent="0.3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  <c r="N233">
        <f t="shared" si="3"/>
        <v>0.7168674698795181</v>
      </c>
    </row>
    <row r="234" spans="1:14" x14ac:dyDescent="0.3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  <c r="N234">
        <f t="shared" si="3"/>
        <v>7.2969143576826198E-2</v>
      </c>
    </row>
    <row r="235" spans="1:14" x14ac:dyDescent="0.3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  <c r="N235">
        <f t="shared" si="3"/>
        <v>7.5968222442899705E-2</v>
      </c>
    </row>
    <row r="236" spans="1:14" x14ac:dyDescent="0.3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  <c r="N236">
        <f t="shared" si="3"/>
        <v>0.1283706906360223</v>
      </c>
    </row>
    <row r="237" spans="1:14" x14ac:dyDescent="0.3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  <c r="N237">
        <f t="shared" si="3"/>
        <v>0.12943516308671441</v>
      </c>
    </row>
    <row r="238" spans="1:14" x14ac:dyDescent="0.3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  <c r="N238">
        <f t="shared" si="3"/>
        <v>6.7234398994834563E-2</v>
      </c>
    </row>
    <row r="239" spans="1:14" x14ac:dyDescent="0.3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  <c r="N239">
        <f t="shared" si="3"/>
        <v>7.2579365079365077E-2</v>
      </c>
    </row>
    <row r="240" spans="1:14" x14ac:dyDescent="0.3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  <c r="N240">
        <f t="shared" si="3"/>
        <v>0.25062082139446035</v>
      </c>
    </row>
    <row r="241" spans="1:14" x14ac:dyDescent="0.3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  <c r="N241">
        <f t="shared" si="3"/>
        <v>8.6293505561535699E-2</v>
      </c>
    </row>
    <row r="242" spans="1:14" x14ac:dyDescent="0.3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  <c r="N242">
        <f t="shared" si="3"/>
        <v>0.17743908486792079</v>
      </c>
    </row>
    <row r="243" spans="1:14" x14ac:dyDescent="0.3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  <c r="N243">
        <f t="shared" si="3"/>
        <v>0.18519683938186141</v>
      </c>
    </row>
    <row r="244" spans="1:14" x14ac:dyDescent="0.3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  <c r="N244">
        <f t="shared" si="3"/>
        <v>9.7001272669424113E-2</v>
      </c>
    </row>
    <row r="245" spans="1:14" x14ac:dyDescent="0.3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  <c r="N245">
        <f t="shared" si="3"/>
        <v>0.25869984981763572</v>
      </c>
    </row>
    <row r="246" spans="1:14" x14ac:dyDescent="0.3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  <c r="N246">
        <f t="shared" si="3"/>
        <v>0.12232704402515723</v>
      </c>
    </row>
    <row r="247" spans="1:14" x14ac:dyDescent="0.3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  <c r="N247">
        <f t="shared" si="3"/>
        <v>0.23656250000000001</v>
      </c>
    </row>
    <row r="248" spans="1:14" x14ac:dyDescent="0.3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  <c r="N248">
        <f t="shared" si="3"/>
        <v>0.11879910213243547</v>
      </c>
    </row>
    <row r="249" spans="1:14" x14ac:dyDescent="0.3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  <c r="N249">
        <f t="shared" si="3"/>
        <v>0.26297968397291194</v>
      </c>
    </row>
    <row r="250" spans="1:14" x14ac:dyDescent="0.3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  <c r="N250">
        <f t="shared" si="3"/>
        <v>8.7733440816874911E-2</v>
      </c>
    </row>
    <row r="251" spans="1:14" x14ac:dyDescent="0.3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  <c r="N251">
        <f t="shared" si="3"/>
        <v>7.3170731707317069E-2</v>
      </c>
    </row>
    <row r="252" spans="1:14" x14ac:dyDescent="0.3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  <c r="N252">
        <f t="shared" si="3"/>
        <v>0.11619462599854757</v>
      </c>
    </row>
    <row r="253" spans="1:14" x14ac:dyDescent="0.3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  <c r="N253">
        <f t="shared" si="3"/>
        <v>0.15761129727142173</v>
      </c>
    </row>
    <row r="254" spans="1:14" x14ac:dyDescent="0.3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  <c r="N254">
        <f t="shared" si="3"/>
        <v>8.6897539284772202E-2</v>
      </c>
    </row>
    <row r="255" spans="1:14" x14ac:dyDescent="0.3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  <c r="N255">
        <f t="shared" si="3"/>
        <v>0.13331166419019316</v>
      </c>
    </row>
    <row r="256" spans="1:14" x14ac:dyDescent="0.3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  <c r="N256">
        <f t="shared" si="3"/>
        <v>0.11996283514733209</v>
      </c>
    </row>
    <row r="257" spans="1:14" x14ac:dyDescent="0.3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  <c r="N257">
        <f t="shared" si="3"/>
        <v>5.7936488444630008E-2</v>
      </c>
    </row>
    <row r="258" spans="1:14" x14ac:dyDescent="0.3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  <c r="N258">
        <f t="shared" si="3"/>
        <v>7.9915048543689318E-2</v>
      </c>
    </row>
    <row r="259" spans="1:14" x14ac:dyDescent="0.3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  <c r="N259">
        <f t="shared" ref="N259:N301" si="4">(F259+G259+H259)/I259</f>
        <v>0.2023049153013052</v>
      </c>
    </row>
    <row r="260" spans="1:14" x14ac:dyDescent="0.3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  <c r="N260">
        <f t="shared" si="4"/>
        <v>0.25771055753262156</v>
      </c>
    </row>
    <row r="261" spans="1:14" x14ac:dyDescent="0.3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  <c r="N261">
        <f t="shared" si="4"/>
        <v>8.7752275425405618E-2</v>
      </c>
    </row>
    <row r="262" spans="1:14" x14ac:dyDescent="0.3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  <c r="N262">
        <f t="shared" si="4"/>
        <v>8.2835359571399134E-2</v>
      </c>
    </row>
    <row r="263" spans="1:14" x14ac:dyDescent="0.3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  <c r="N263">
        <f t="shared" si="4"/>
        <v>0.15339966832504145</v>
      </c>
    </row>
    <row r="264" spans="1:14" x14ac:dyDescent="0.3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  <c r="N264">
        <f t="shared" si="4"/>
        <v>0.26876680752977333</v>
      </c>
    </row>
    <row r="265" spans="1:14" x14ac:dyDescent="0.3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  <c r="N265">
        <f t="shared" si="4"/>
        <v>0.53389830508474578</v>
      </c>
    </row>
    <row r="266" spans="1:14" x14ac:dyDescent="0.3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  <c r="N266">
        <f t="shared" si="4"/>
        <v>0.25279701651571657</v>
      </c>
    </row>
    <row r="267" spans="1:14" x14ac:dyDescent="0.3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  <c r="N267">
        <f t="shared" si="4"/>
        <v>0.10086880280567512</v>
      </c>
    </row>
    <row r="268" spans="1:14" x14ac:dyDescent="0.3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  <c r="N268">
        <f t="shared" si="4"/>
        <v>6.3947934081681396E-2</v>
      </c>
    </row>
    <row r="269" spans="1:14" x14ac:dyDescent="0.3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  <c r="N269">
        <f t="shared" si="4"/>
        <v>8.4062694239588759E-2</v>
      </c>
    </row>
    <row r="270" spans="1:14" x14ac:dyDescent="0.3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  <c r="N270">
        <f t="shared" si="4"/>
        <v>0.22157421618066214</v>
      </c>
    </row>
    <row r="271" spans="1:14" x14ac:dyDescent="0.3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  <c r="N271">
        <f t="shared" si="4"/>
        <v>6.7103868574456813E-2</v>
      </c>
    </row>
    <row r="272" spans="1:14" x14ac:dyDescent="0.3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  <c r="N272">
        <f t="shared" si="4"/>
        <v>0.20675990675990677</v>
      </c>
    </row>
    <row r="273" spans="1:14" x14ac:dyDescent="0.3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  <c r="N273">
        <f t="shared" si="4"/>
        <v>0.14220299534507186</v>
      </c>
    </row>
    <row r="274" spans="1:14" x14ac:dyDescent="0.3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  <c r="N274">
        <f t="shared" si="4"/>
        <v>9.7700431949264685E-2</v>
      </c>
    </row>
    <row r="275" spans="1:14" x14ac:dyDescent="0.3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  <c r="N275">
        <f t="shared" si="4"/>
        <v>7.8849599245638849E-2</v>
      </c>
    </row>
    <row r="276" spans="1:14" x14ac:dyDescent="0.3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  <c r="N276">
        <f t="shared" si="4"/>
        <v>0.16754738655944859</v>
      </c>
    </row>
    <row r="277" spans="1:14" x14ac:dyDescent="0.3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  <c r="N277">
        <f t="shared" si="4"/>
        <v>0.2015852613538989</v>
      </c>
    </row>
    <row r="278" spans="1:14" x14ac:dyDescent="0.3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  <c r="N278">
        <f t="shared" si="4"/>
        <v>0.24763928234183191</v>
      </c>
    </row>
    <row r="279" spans="1:14" x14ac:dyDescent="0.3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  <c r="N279">
        <f t="shared" si="4"/>
        <v>0.11114018842096787</v>
      </c>
    </row>
    <row r="280" spans="1:14" x14ac:dyDescent="0.3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  <c r="N280">
        <f t="shared" si="4"/>
        <v>5.9928644240570844E-2</v>
      </c>
    </row>
    <row r="281" spans="1:14" x14ac:dyDescent="0.3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  <c r="N281">
        <f t="shared" si="4"/>
        <v>8.3274853801169585E-2</v>
      </c>
    </row>
    <row r="282" spans="1:14" x14ac:dyDescent="0.3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  <c r="N282">
        <f t="shared" si="4"/>
        <v>6.3118551273952411E-2</v>
      </c>
    </row>
    <row r="283" spans="1:14" x14ac:dyDescent="0.3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  <c r="N283">
        <f t="shared" si="4"/>
        <v>0.1071650124069479</v>
      </c>
    </row>
    <row r="284" spans="1:14" x14ac:dyDescent="0.3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  <c r="N284">
        <f t="shared" si="4"/>
        <v>5.8243321401216137E-2</v>
      </c>
    </row>
    <row r="285" spans="1:14" x14ac:dyDescent="0.3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  <c r="N285">
        <f t="shared" si="4"/>
        <v>0.11465952405480581</v>
      </c>
    </row>
    <row r="286" spans="1:14" x14ac:dyDescent="0.3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  <c r="N286">
        <f t="shared" si="4"/>
        <v>0.13517919809886983</v>
      </c>
    </row>
    <row r="287" spans="1:14" x14ac:dyDescent="0.3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  <c r="N287">
        <f t="shared" si="4"/>
        <v>0.19484607062063539</v>
      </c>
    </row>
    <row r="288" spans="1:14" x14ac:dyDescent="0.3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  <c r="N288">
        <f t="shared" si="4"/>
        <v>0.30126002290950743</v>
      </c>
    </row>
    <row r="289" spans="1:14" x14ac:dyDescent="0.3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  <c r="N289">
        <f t="shared" si="4"/>
        <v>6.800325430032543E-2</v>
      </c>
    </row>
    <row r="290" spans="1:14" x14ac:dyDescent="0.3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  <c r="N290">
        <f t="shared" si="4"/>
        <v>7.3018902217375503E-2</v>
      </c>
    </row>
    <row r="291" spans="1:14" x14ac:dyDescent="0.3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  <c r="N291">
        <f t="shared" si="4"/>
        <v>8.3921940869371006E-2</v>
      </c>
    </row>
    <row r="292" spans="1:14" x14ac:dyDescent="0.3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  <c r="N292">
        <f t="shared" si="4"/>
        <v>7.1956537279290869E-2</v>
      </c>
    </row>
    <row r="293" spans="1:14" x14ac:dyDescent="0.3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  <c r="N293">
        <f t="shared" si="4"/>
        <v>0.12353896103896105</v>
      </c>
    </row>
    <row r="294" spans="1:14" x14ac:dyDescent="0.3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  <c r="N294">
        <f t="shared" si="4"/>
        <v>0.12428384068475185</v>
      </c>
    </row>
    <row r="295" spans="1:14" x14ac:dyDescent="0.3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  <c r="N295">
        <f t="shared" si="4"/>
        <v>0.18248432325794406</v>
      </c>
    </row>
    <row r="296" spans="1:14" x14ac:dyDescent="0.3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  <c r="N296">
        <f t="shared" si="4"/>
        <v>0.16540727459016394</v>
      </c>
    </row>
    <row r="297" spans="1:14" x14ac:dyDescent="0.3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  <c r="N297">
        <f t="shared" si="4"/>
        <v>5.9387824897400819E-2</v>
      </c>
    </row>
    <row r="298" spans="1:14" x14ac:dyDescent="0.3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  <c r="N298">
        <f t="shared" si="4"/>
        <v>0.24349030470914126</v>
      </c>
    </row>
    <row r="299" spans="1:14" x14ac:dyDescent="0.3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  <c r="N299">
        <f t="shared" si="4"/>
        <v>5.8563792702765516E-2</v>
      </c>
    </row>
    <row r="300" spans="1:14" x14ac:dyDescent="0.3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  <c r="N300">
        <f t="shared" si="4"/>
        <v>0.13840458048129492</v>
      </c>
    </row>
    <row r="301" spans="1:14" x14ac:dyDescent="0.3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  <c r="N301">
        <f t="shared" si="4"/>
        <v>8.3539958039290485E-2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0435-D7CD-497C-A83B-396B3303255D}">
  <dimension ref="A1:N339"/>
  <sheetViews>
    <sheetView workbookViewId="0">
      <selection activeCell="H350" sqref="H350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0.21875" bestFit="1" customWidth="1"/>
    <col min="13" max="13" width="17.77734375" bestFit="1" customWidth="1"/>
    <col min="14" max="14" width="18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615</v>
      </c>
    </row>
    <row r="2" spans="1:14" hidden="1" x14ac:dyDescent="0.3">
      <c r="A2" s="4" t="s">
        <v>180</v>
      </c>
      <c r="B2" s="4" t="s">
        <v>14</v>
      </c>
      <c r="C2" s="5">
        <v>45504</v>
      </c>
      <c r="D2" s="4" t="s">
        <v>45</v>
      </c>
      <c r="E2" s="4" t="s">
        <v>49</v>
      </c>
      <c r="F2">
        <v>4507</v>
      </c>
      <c r="G2">
        <v>217</v>
      </c>
      <c r="H2">
        <v>13</v>
      </c>
      <c r="I2">
        <v>90140</v>
      </c>
      <c r="J2">
        <v>89591</v>
      </c>
      <c r="K2">
        <v>125</v>
      </c>
      <c r="L2" s="4" t="s">
        <v>62</v>
      </c>
      <c r="M2" s="4" t="s">
        <v>31</v>
      </c>
      <c r="N2">
        <v>5.2551586421122697E-2</v>
      </c>
    </row>
    <row r="3" spans="1:14" hidden="1" x14ac:dyDescent="0.3">
      <c r="A3" s="4" t="s">
        <v>374</v>
      </c>
      <c r="B3" s="4" t="s">
        <v>43</v>
      </c>
      <c r="C3" s="5">
        <v>45463</v>
      </c>
      <c r="D3" s="4" t="s">
        <v>74</v>
      </c>
      <c r="E3" s="4" t="s">
        <v>75</v>
      </c>
      <c r="F3">
        <v>3798</v>
      </c>
      <c r="G3">
        <v>31</v>
      </c>
      <c r="H3">
        <v>279</v>
      </c>
      <c r="I3">
        <v>75960</v>
      </c>
      <c r="J3">
        <v>75813</v>
      </c>
      <c r="K3">
        <v>266</v>
      </c>
      <c r="L3" s="4" t="s">
        <v>30</v>
      </c>
      <c r="M3" s="4" t="s">
        <v>19</v>
      </c>
      <c r="N3">
        <v>5.4081095313322801E-2</v>
      </c>
    </row>
    <row r="4" spans="1:14" hidden="1" x14ac:dyDescent="0.3">
      <c r="A4" s="4" t="s">
        <v>26</v>
      </c>
      <c r="B4" s="4" t="s">
        <v>27</v>
      </c>
      <c r="C4" s="5">
        <v>45789</v>
      </c>
      <c r="D4" s="4" t="s">
        <v>16</v>
      </c>
      <c r="E4" s="4" t="s">
        <v>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s="4" t="s">
        <v>30</v>
      </c>
      <c r="M4" s="4" t="s">
        <v>31</v>
      </c>
      <c r="N4">
        <v>5.5531494209584788E-2</v>
      </c>
    </row>
    <row r="5" spans="1:14" hidden="1" x14ac:dyDescent="0.3">
      <c r="A5" s="4" t="s">
        <v>395</v>
      </c>
      <c r="B5" s="4" t="s">
        <v>27</v>
      </c>
      <c r="C5" s="5">
        <v>45569</v>
      </c>
      <c r="D5" s="4" t="s">
        <v>22</v>
      </c>
      <c r="E5" s="4" t="s">
        <v>104</v>
      </c>
      <c r="F5">
        <v>1963</v>
      </c>
      <c r="G5">
        <v>213</v>
      </c>
      <c r="H5">
        <v>19</v>
      </c>
      <c r="I5">
        <v>39260</v>
      </c>
      <c r="J5">
        <v>38771</v>
      </c>
      <c r="K5">
        <v>145</v>
      </c>
      <c r="L5" s="4" t="s">
        <v>62</v>
      </c>
      <c r="M5" s="4"/>
      <c r="N5">
        <v>5.5909322465613857E-2</v>
      </c>
    </row>
    <row r="6" spans="1:14" hidden="1" x14ac:dyDescent="0.3">
      <c r="A6" s="4" t="s">
        <v>322</v>
      </c>
      <c r="B6" s="4" t="s">
        <v>33</v>
      </c>
      <c r="C6" s="5">
        <v>45516</v>
      </c>
      <c r="D6" s="4" t="s">
        <v>45</v>
      </c>
      <c r="E6" s="4" t="s">
        <v>88</v>
      </c>
      <c r="F6">
        <v>1878</v>
      </c>
      <c r="G6">
        <v>62</v>
      </c>
      <c r="H6">
        <v>179</v>
      </c>
      <c r="I6">
        <v>37560</v>
      </c>
      <c r="J6">
        <v>36874</v>
      </c>
      <c r="K6">
        <v>142</v>
      </c>
      <c r="L6" s="4" t="s">
        <v>30</v>
      </c>
      <c r="M6" s="4" t="s">
        <v>38</v>
      </c>
      <c r="N6">
        <v>5.6416400425985093E-2</v>
      </c>
    </row>
    <row r="7" spans="1:14" hidden="1" x14ac:dyDescent="0.3">
      <c r="A7" s="4" t="s">
        <v>449</v>
      </c>
      <c r="B7" s="4" t="s">
        <v>14</v>
      </c>
      <c r="C7" s="5">
        <v>45463</v>
      </c>
      <c r="D7" s="4" t="s">
        <v>45</v>
      </c>
      <c r="E7" s="4" t="s">
        <v>49</v>
      </c>
      <c r="F7">
        <v>4672</v>
      </c>
      <c r="G7">
        <v>325</v>
      </c>
      <c r="H7">
        <v>32</v>
      </c>
      <c r="I7">
        <v>88768</v>
      </c>
      <c r="J7">
        <v>87833</v>
      </c>
      <c r="K7">
        <v>118</v>
      </c>
      <c r="L7" s="4" t="s">
        <v>37</v>
      </c>
      <c r="M7" s="4"/>
      <c r="N7">
        <v>5.6653298485940883E-2</v>
      </c>
    </row>
    <row r="8" spans="1:14" hidden="1" x14ac:dyDescent="0.3">
      <c r="A8" s="4" t="s">
        <v>417</v>
      </c>
      <c r="B8" s="4" t="s">
        <v>33</v>
      </c>
      <c r="C8" s="5">
        <v>45617</v>
      </c>
      <c r="D8" s="4" t="s">
        <v>45</v>
      </c>
      <c r="E8" s="4" t="s">
        <v>88</v>
      </c>
      <c r="F8">
        <v>3773</v>
      </c>
      <c r="G8">
        <v>299</v>
      </c>
      <c r="H8">
        <v>38</v>
      </c>
      <c r="I8">
        <v>71687</v>
      </c>
      <c r="J8">
        <v>71447</v>
      </c>
      <c r="K8">
        <v>286</v>
      </c>
      <c r="L8" s="4" t="s">
        <v>62</v>
      </c>
      <c r="M8" s="4" t="s">
        <v>19</v>
      </c>
      <c r="N8">
        <v>5.7332570758993957E-2</v>
      </c>
    </row>
    <row r="9" spans="1:14" hidden="1" x14ac:dyDescent="0.3">
      <c r="A9" s="4" t="s">
        <v>109</v>
      </c>
      <c r="B9" s="4" t="s">
        <v>33</v>
      </c>
      <c r="C9" s="5">
        <v>45713</v>
      </c>
      <c r="D9" s="4" t="s">
        <v>74</v>
      </c>
      <c r="E9" s="4" t="s">
        <v>85</v>
      </c>
      <c r="F9">
        <v>3095</v>
      </c>
      <c r="G9">
        <v>39</v>
      </c>
      <c r="H9">
        <v>78</v>
      </c>
      <c r="I9">
        <v>55710</v>
      </c>
      <c r="J9">
        <v>54808</v>
      </c>
      <c r="K9">
        <v>93</v>
      </c>
      <c r="L9" s="4" t="s">
        <v>37</v>
      </c>
      <c r="M9" s="4"/>
      <c r="N9">
        <v>5.7655717106444085E-2</v>
      </c>
    </row>
    <row r="10" spans="1:14" hidden="1" x14ac:dyDescent="0.3">
      <c r="A10" s="4" t="s">
        <v>497</v>
      </c>
      <c r="B10" s="4" t="s">
        <v>27</v>
      </c>
      <c r="C10" s="5">
        <v>45553</v>
      </c>
      <c r="D10" s="4" t="s">
        <v>45</v>
      </c>
      <c r="E10" s="4" t="s">
        <v>68</v>
      </c>
      <c r="F10">
        <v>2143</v>
      </c>
      <c r="G10">
        <v>12</v>
      </c>
      <c r="H10">
        <v>204</v>
      </c>
      <c r="I10">
        <v>40717</v>
      </c>
      <c r="J10">
        <v>40125</v>
      </c>
      <c r="K10">
        <v>248</v>
      </c>
      <c r="L10" s="4" t="s">
        <v>37</v>
      </c>
      <c r="M10" s="4" t="s">
        <v>25</v>
      </c>
      <c r="N10">
        <v>5.7936488444630008E-2</v>
      </c>
    </row>
    <row r="11" spans="1:14" hidden="1" x14ac:dyDescent="0.3">
      <c r="A11" s="4" t="s">
        <v>540</v>
      </c>
      <c r="B11" s="4" t="s">
        <v>14</v>
      </c>
      <c r="C11" s="5">
        <v>45786</v>
      </c>
      <c r="D11" s="4" t="s">
        <v>16</v>
      </c>
      <c r="E11" s="4" t="s">
        <v>17</v>
      </c>
      <c r="F11">
        <v>3367</v>
      </c>
      <c r="G11">
        <v>302</v>
      </c>
      <c r="H11">
        <v>57</v>
      </c>
      <c r="I11">
        <v>63973</v>
      </c>
      <c r="J11">
        <v>63789</v>
      </c>
      <c r="K11">
        <v>157</v>
      </c>
      <c r="L11" s="4" t="s">
        <v>62</v>
      </c>
      <c r="M11" s="4" t="s">
        <v>25</v>
      </c>
      <c r="N11">
        <v>5.8243321401216137E-2</v>
      </c>
    </row>
    <row r="12" spans="1:14" hidden="1" x14ac:dyDescent="0.3">
      <c r="A12" s="4" t="s">
        <v>437</v>
      </c>
      <c r="B12" s="4" t="s">
        <v>27</v>
      </c>
      <c r="C12" s="5">
        <v>45502</v>
      </c>
      <c r="D12" s="4" t="s">
        <v>35</v>
      </c>
      <c r="E12" s="4" t="s">
        <v>154</v>
      </c>
      <c r="F12">
        <v>1509</v>
      </c>
      <c r="G12">
        <v>88</v>
      </c>
      <c r="H12">
        <v>163</v>
      </c>
      <c r="I12">
        <v>30180</v>
      </c>
      <c r="J12">
        <v>29689</v>
      </c>
      <c r="K12">
        <v>119</v>
      </c>
      <c r="L12" s="4" t="s">
        <v>37</v>
      </c>
      <c r="M12" s="4" t="s">
        <v>25</v>
      </c>
      <c r="N12">
        <v>5.8316766070245198E-2</v>
      </c>
    </row>
    <row r="13" spans="1:14" hidden="1" x14ac:dyDescent="0.3">
      <c r="A13" s="4" t="s">
        <v>564</v>
      </c>
      <c r="B13" s="4" t="s">
        <v>43</v>
      </c>
      <c r="C13" s="5">
        <v>45589</v>
      </c>
      <c r="D13" s="4" t="s">
        <v>52</v>
      </c>
      <c r="E13" s="4" t="s">
        <v>59</v>
      </c>
      <c r="F13">
        <v>4303</v>
      </c>
      <c r="G13">
        <v>451</v>
      </c>
      <c r="H13">
        <v>286</v>
      </c>
      <c r="I13">
        <v>86060</v>
      </c>
      <c r="J13">
        <v>85823</v>
      </c>
      <c r="K13">
        <v>14</v>
      </c>
      <c r="L13" s="4" t="s">
        <v>30</v>
      </c>
      <c r="M13" s="4" t="s">
        <v>31</v>
      </c>
      <c r="N13">
        <v>5.8563792702765516E-2</v>
      </c>
    </row>
    <row r="14" spans="1:14" hidden="1" x14ac:dyDescent="0.3">
      <c r="A14" s="4" t="s">
        <v>560</v>
      </c>
      <c r="B14" s="4" t="s">
        <v>14</v>
      </c>
      <c r="C14" s="5">
        <v>45699</v>
      </c>
      <c r="D14" s="4" t="s">
        <v>74</v>
      </c>
      <c r="E14" s="4" t="s">
        <v>145</v>
      </c>
      <c r="F14">
        <v>3440</v>
      </c>
      <c r="G14">
        <v>13</v>
      </c>
      <c r="H14">
        <v>20</v>
      </c>
      <c r="I14">
        <v>58480</v>
      </c>
      <c r="J14">
        <v>58146</v>
      </c>
      <c r="K14">
        <v>210</v>
      </c>
      <c r="L14" s="4" t="s">
        <v>30</v>
      </c>
      <c r="M14" s="4" t="s">
        <v>38</v>
      </c>
      <c r="N14">
        <v>5.9387824897400819E-2</v>
      </c>
    </row>
    <row r="15" spans="1:14" hidden="1" x14ac:dyDescent="0.3">
      <c r="A15" s="4" t="s">
        <v>560</v>
      </c>
      <c r="B15" s="4" t="s">
        <v>14</v>
      </c>
      <c r="C15" s="5">
        <v>45699</v>
      </c>
      <c r="D15" s="4" t="s">
        <v>74</v>
      </c>
      <c r="E15" s="4" t="s">
        <v>145</v>
      </c>
      <c r="F15">
        <v>3440</v>
      </c>
      <c r="G15">
        <v>13</v>
      </c>
      <c r="H15">
        <v>20</v>
      </c>
      <c r="I15">
        <v>58480</v>
      </c>
      <c r="J15">
        <v>58146</v>
      </c>
      <c r="K15">
        <v>210</v>
      </c>
      <c r="L15" s="4" t="s">
        <v>607</v>
      </c>
      <c r="M15" s="4" t="s">
        <v>38</v>
      </c>
      <c r="N15">
        <v>5.9387824897400819E-2</v>
      </c>
    </row>
    <row r="16" spans="1:14" hidden="1" x14ac:dyDescent="0.3">
      <c r="A16" s="4" t="s">
        <v>72</v>
      </c>
      <c r="B16" s="4" t="s">
        <v>43</v>
      </c>
      <c r="C16" s="5">
        <v>45589</v>
      </c>
      <c r="D16" s="4" t="s">
        <v>74</v>
      </c>
      <c r="E16" s="4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s="4" t="s">
        <v>62</v>
      </c>
      <c r="M16" s="4" t="s">
        <v>19</v>
      </c>
      <c r="N16">
        <v>5.941358024691358E-2</v>
      </c>
    </row>
    <row r="17" spans="1:14" hidden="1" x14ac:dyDescent="0.3">
      <c r="A17" s="4" t="s">
        <v>98</v>
      </c>
      <c r="B17" s="4" t="s">
        <v>14</v>
      </c>
      <c r="C17" s="5">
        <v>45757</v>
      </c>
      <c r="D17" s="4" t="s">
        <v>45</v>
      </c>
      <c r="E17" s="4" t="s">
        <v>49</v>
      </c>
      <c r="F17">
        <v>3128</v>
      </c>
      <c r="G17">
        <v>211</v>
      </c>
      <c r="H17">
        <v>197</v>
      </c>
      <c r="I17">
        <v>59432</v>
      </c>
      <c r="J17">
        <v>59182</v>
      </c>
      <c r="K17">
        <v>238</v>
      </c>
      <c r="L17" s="4" t="s">
        <v>37</v>
      </c>
      <c r="M17" s="4"/>
      <c r="N17">
        <v>5.9496567505720827E-2</v>
      </c>
    </row>
    <row r="18" spans="1:14" hidden="1" x14ac:dyDescent="0.3">
      <c r="A18" s="4" t="s">
        <v>534</v>
      </c>
      <c r="B18" s="4" t="s">
        <v>27</v>
      </c>
      <c r="C18" s="5">
        <v>45537</v>
      </c>
      <c r="D18" s="4" t="s">
        <v>52</v>
      </c>
      <c r="E18" s="4" t="s">
        <v>53</v>
      </c>
      <c r="F18">
        <v>4905</v>
      </c>
      <c r="G18">
        <v>845</v>
      </c>
      <c r="H18">
        <v>129</v>
      </c>
      <c r="I18">
        <v>98100</v>
      </c>
      <c r="J18">
        <v>97772</v>
      </c>
      <c r="K18">
        <v>279</v>
      </c>
      <c r="L18" s="4" t="s">
        <v>30</v>
      </c>
      <c r="M18" s="4" t="s">
        <v>25</v>
      </c>
      <c r="N18">
        <v>5.9928644240570844E-2</v>
      </c>
    </row>
    <row r="19" spans="1:14" hidden="1" x14ac:dyDescent="0.3">
      <c r="A19" s="4" t="s">
        <v>446</v>
      </c>
      <c r="B19" s="4" t="s">
        <v>14</v>
      </c>
      <c r="C19" s="5">
        <v>45608</v>
      </c>
      <c r="D19" s="4" t="s">
        <v>52</v>
      </c>
      <c r="E19" s="4" t="s">
        <v>132</v>
      </c>
      <c r="F19">
        <v>3338</v>
      </c>
      <c r="G19">
        <v>277</v>
      </c>
      <c r="H19">
        <v>118</v>
      </c>
      <c r="I19">
        <v>60084</v>
      </c>
      <c r="J19">
        <v>59842</v>
      </c>
      <c r="K19">
        <v>252</v>
      </c>
      <c r="L19" s="4" t="s">
        <v>30</v>
      </c>
      <c r="M19" s="4"/>
      <c r="N19">
        <v>6.2129685107516146E-2</v>
      </c>
    </row>
    <row r="20" spans="1:14" hidden="1" x14ac:dyDescent="0.3">
      <c r="A20" s="4" t="s">
        <v>277</v>
      </c>
      <c r="B20" s="4" t="s">
        <v>14</v>
      </c>
      <c r="C20" s="5">
        <v>45788</v>
      </c>
      <c r="D20" s="4" t="s">
        <v>52</v>
      </c>
      <c r="E20" s="4" t="s">
        <v>132</v>
      </c>
      <c r="F20">
        <v>2493</v>
      </c>
      <c r="G20">
        <v>97</v>
      </c>
      <c r="H20">
        <v>44</v>
      </c>
      <c r="I20">
        <v>42381</v>
      </c>
      <c r="J20">
        <v>41991</v>
      </c>
      <c r="K20">
        <v>242</v>
      </c>
      <c r="L20" s="4" t="s">
        <v>30</v>
      </c>
      <c r="M20" s="4" t="s">
        <v>38</v>
      </c>
      <c r="N20">
        <v>6.2150491965739366E-2</v>
      </c>
    </row>
    <row r="21" spans="1:14" hidden="1" x14ac:dyDescent="0.3">
      <c r="A21" s="4" t="s">
        <v>277</v>
      </c>
      <c r="B21" s="4" t="s">
        <v>14</v>
      </c>
      <c r="C21" s="5">
        <v>45788</v>
      </c>
      <c r="D21" s="4" t="s">
        <v>52</v>
      </c>
      <c r="E21" s="4" t="s">
        <v>132</v>
      </c>
      <c r="F21">
        <v>2493</v>
      </c>
      <c r="G21">
        <v>97</v>
      </c>
      <c r="H21">
        <v>44</v>
      </c>
      <c r="I21">
        <v>42381</v>
      </c>
      <c r="J21">
        <v>41991</v>
      </c>
      <c r="K21">
        <v>242</v>
      </c>
      <c r="L21" s="4" t="s">
        <v>613</v>
      </c>
      <c r="M21" s="4" t="s">
        <v>38</v>
      </c>
      <c r="N21">
        <v>6.2150491965739366E-2</v>
      </c>
    </row>
    <row r="22" spans="1:14" hidden="1" x14ac:dyDescent="0.3">
      <c r="A22" s="4" t="s">
        <v>261</v>
      </c>
      <c r="B22" s="4" t="s">
        <v>27</v>
      </c>
      <c r="C22" s="5">
        <v>45464</v>
      </c>
      <c r="D22" s="4" t="s">
        <v>52</v>
      </c>
      <c r="E22" s="4" t="s">
        <v>53</v>
      </c>
      <c r="F22">
        <v>4832</v>
      </c>
      <c r="G22">
        <v>893</v>
      </c>
      <c r="H22">
        <v>10</v>
      </c>
      <c r="I22">
        <v>91808</v>
      </c>
      <c r="J22">
        <v>91296</v>
      </c>
      <c r="K22">
        <v>182</v>
      </c>
      <c r="L22" s="4" t="s">
        <v>30</v>
      </c>
      <c r="M22" s="4"/>
      <c r="N22">
        <v>6.2467323109097243E-2</v>
      </c>
    </row>
    <row r="23" spans="1:14" hidden="1" x14ac:dyDescent="0.3">
      <c r="A23" s="4" t="s">
        <v>411</v>
      </c>
      <c r="B23" s="4" t="s">
        <v>43</v>
      </c>
      <c r="C23" s="5">
        <v>45754</v>
      </c>
      <c r="D23" s="4" t="s">
        <v>16</v>
      </c>
      <c r="E23" s="4" t="s">
        <v>65</v>
      </c>
      <c r="F23">
        <v>3718</v>
      </c>
      <c r="G23">
        <v>385</v>
      </c>
      <c r="H23">
        <v>310</v>
      </c>
      <c r="I23">
        <v>70642</v>
      </c>
      <c r="J23">
        <v>69749</v>
      </c>
      <c r="K23">
        <v>233</v>
      </c>
      <c r="L23" s="4" t="s">
        <v>30</v>
      </c>
      <c r="M23" s="4" t="s">
        <v>25</v>
      </c>
      <c r="N23">
        <v>6.246991874522239E-2</v>
      </c>
    </row>
    <row r="24" spans="1:14" hidden="1" x14ac:dyDescent="0.3">
      <c r="A24" s="4" t="s">
        <v>438</v>
      </c>
      <c r="B24" s="4" t="s">
        <v>43</v>
      </c>
      <c r="C24" s="5">
        <v>45629</v>
      </c>
      <c r="D24" s="4" t="s">
        <v>52</v>
      </c>
      <c r="E24" s="4" t="s">
        <v>59</v>
      </c>
      <c r="F24">
        <v>4606</v>
      </c>
      <c r="G24">
        <v>931</v>
      </c>
      <c r="H24">
        <v>230</v>
      </c>
      <c r="I24">
        <v>92120</v>
      </c>
      <c r="J24">
        <v>91440</v>
      </c>
      <c r="K24">
        <v>56</v>
      </c>
      <c r="L24" s="4" t="s">
        <v>30</v>
      </c>
      <c r="M24" s="4"/>
      <c r="N24">
        <v>6.2603126356925748E-2</v>
      </c>
    </row>
    <row r="25" spans="1:14" hidden="1" x14ac:dyDescent="0.3">
      <c r="A25" s="4" t="s">
        <v>536</v>
      </c>
      <c r="B25" s="4" t="s">
        <v>27</v>
      </c>
      <c r="C25" s="5">
        <v>45738</v>
      </c>
      <c r="D25" s="4" t="s">
        <v>52</v>
      </c>
      <c r="E25" s="4" t="s">
        <v>53</v>
      </c>
      <c r="F25">
        <v>3166</v>
      </c>
      <c r="G25">
        <v>90</v>
      </c>
      <c r="H25">
        <v>341</v>
      </c>
      <c r="I25">
        <v>56988</v>
      </c>
      <c r="J25">
        <v>56125</v>
      </c>
      <c r="K25">
        <v>135</v>
      </c>
      <c r="L25" s="4" t="s">
        <v>37</v>
      </c>
      <c r="M25" s="4" t="s">
        <v>25</v>
      </c>
      <c r="N25">
        <v>6.3118551273952411E-2</v>
      </c>
    </row>
    <row r="26" spans="1:14" hidden="1" x14ac:dyDescent="0.3">
      <c r="A26" s="4" t="s">
        <v>330</v>
      </c>
      <c r="B26" s="4" t="s">
        <v>27</v>
      </c>
      <c r="C26" s="5">
        <v>45526</v>
      </c>
      <c r="D26" s="4" t="s">
        <v>45</v>
      </c>
      <c r="E26" s="4" t="s">
        <v>68</v>
      </c>
      <c r="F26">
        <v>4295</v>
      </c>
      <c r="G26">
        <v>853</v>
      </c>
      <c r="H26">
        <v>325</v>
      </c>
      <c r="I26">
        <v>85900</v>
      </c>
      <c r="J26">
        <v>85788</v>
      </c>
      <c r="K26">
        <v>290</v>
      </c>
      <c r="L26" s="4" t="s">
        <v>30</v>
      </c>
      <c r="M26" s="4" t="s">
        <v>38</v>
      </c>
      <c r="N26">
        <v>6.3713620488940623E-2</v>
      </c>
    </row>
    <row r="27" spans="1:14" hidden="1" x14ac:dyDescent="0.3">
      <c r="A27" s="4" t="s">
        <v>187</v>
      </c>
      <c r="B27" s="4" t="s">
        <v>43</v>
      </c>
      <c r="C27" s="5">
        <v>45745</v>
      </c>
      <c r="D27" s="4" t="s">
        <v>45</v>
      </c>
      <c r="E27" s="4" t="s">
        <v>46</v>
      </c>
      <c r="F27">
        <v>4712</v>
      </c>
      <c r="G27">
        <v>568</v>
      </c>
      <c r="H27">
        <v>127</v>
      </c>
      <c r="I27">
        <v>84816</v>
      </c>
      <c r="J27">
        <v>84691</v>
      </c>
      <c r="K27">
        <v>100</v>
      </c>
      <c r="L27" s="4" t="s">
        <v>37</v>
      </c>
      <c r="M27" s="4" t="s">
        <v>31</v>
      </c>
      <c r="N27">
        <v>6.3749764195434822E-2</v>
      </c>
    </row>
    <row r="28" spans="1:14" hidden="1" x14ac:dyDescent="0.3">
      <c r="A28" s="4" t="s">
        <v>86</v>
      </c>
      <c r="B28" s="4" t="s">
        <v>33</v>
      </c>
      <c r="C28" s="5">
        <v>45544</v>
      </c>
      <c r="D28" s="4" t="s">
        <v>45</v>
      </c>
      <c r="E28" s="4" t="s">
        <v>88</v>
      </c>
      <c r="F28">
        <v>4054</v>
      </c>
      <c r="G28">
        <v>488</v>
      </c>
      <c r="H28">
        <v>373</v>
      </c>
      <c r="I28">
        <v>77026</v>
      </c>
      <c r="J28">
        <v>76881</v>
      </c>
      <c r="K28">
        <v>25</v>
      </c>
      <c r="L28" s="4" t="s">
        <v>30</v>
      </c>
      <c r="M28" s="4" t="s">
        <v>19</v>
      </c>
      <c r="N28">
        <v>6.3809622724794221E-2</v>
      </c>
    </row>
    <row r="29" spans="1:14" hidden="1" x14ac:dyDescent="0.3">
      <c r="A29" s="4" t="s">
        <v>516</v>
      </c>
      <c r="B29" s="4" t="s">
        <v>14</v>
      </c>
      <c r="C29" s="5">
        <v>45569</v>
      </c>
      <c r="D29" s="4" t="s">
        <v>16</v>
      </c>
      <c r="E29" s="4" t="s">
        <v>17</v>
      </c>
      <c r="F29">
        <v>4187</v>
      </c>
      <c r="G29">
        <v>66</v>
      </c>
      <c r="H29">
        <v>31</v>
      </c>
      <c r="I29">
        <v>66992</v>
      </c>
      <c r="J29">
        <v>66614</v>
      </c>
      <c r="K29">
        <v>62</v>
      </c>
      <c r="L29" s="4" t="s">
        <v>62</v>
      </c>
      <c r="M29" s="4"/>
      <c r="N29">
        <v>6.3947934081681396E-2</v>
      </c>
    </row>
    <row r="30" spans="1:14" hidden="1" x14ac:dyDescent="0.3">
      <c r="A30" s="4" t="s">
        <v>198</v>
      </c>
      <c r="B30" s="4" t="s">
        <v>43</v>
      </c>
      <c r="C30" s="5">
        <v>45583</v>
      </c>
      <c r="D30" s="4" t="s">
        <v>35</v>
      </c>
      <c r="E30" s="4" t="s">
        <v>71</v>
      </c>
      <c r="F30">
        <v>4126</v>
      </c>
      <c r="G30">
        <v>426</v>
      </c>
      <c r="H30">
        <v>486</v>
      </c>
      <c r="I30">
        <v>78394</v>
      </c>
      <c r="J30">
        <v>77798</v>
      </c>
      <c r="K30">
        <v>88</v>
      </c>
      <c r="L30" s="4" t="s">
        <v>62</v>
      </c>
      <c r="M30" s="4" t="s">
        <v>38</v>
      </c>
      <c r="N30">
        <v>6.4265122330790625E-2</v>
      </c>
    </row>
    <row r="31" spans="1:14" hidden="1" x14ac:dyDescent="0.3">
      <c r="A31" s="4" t="s">
        <v>306</v>
      </c>
      <c r="B31" s="4" t="s">
        <v>43</v>
      </c>
      <c r="C31" s="5">
        <v>45624</v>
      </c>
      <c r="D31" s="4" t="s">
        <v>22</v>
      </c>
      <c r="E31" s="4" t="s">
        <v>56</v>
      </c>
      <c r="F31">
        <v>4213</v>
      </c>
      <c r="G31">
        <v>253</v>
      </c>
      <c r="H31">
        <v>434</v>
      </c>
      <c r="I31">
        <v>75834</v>
      </c>
      <c r="J31">
        <v>75437</v>
      </c>
      <c r="K31">
        <v>272</v>
      </c>
      <c r="L31" s="4" t="s">
        <v>62</v>
      </c>
      <c r="M31" s="4" t="s">
        <v>38</v>
      </c>
      <c r="N31">
        <v>6.461481657304112E-2</v>
      </c>
    </row>
    <row r="32" spans="1:14" hidden="1" x14ac:dyDescent="0.3">
      <c r="A32" s="4" t="s">
        <v>407</v>
      </c>
      <c r="B32" s="4" t="s">
        <v>14</v>
      </c>
      <c r="C32" s="5">
        <v>45587</v>
      </c>
      <c r="D32" s="4" t="s">
        <v>16</v>
      </c>
      <c r="E32" s="4" t="s">
        <v>17</v>
      </c>
      <c r="F32">
        <v>4782</v>
      </c>
      <c r="G32">
        <v>721</v>
      </c>
      <c r="H32">
        <v>82</v>
      </c>
      <c r="I32">
        <v>86076</v>
      </c>
      <c r="J32">
        <v>85339</v>
      </c>
      <c r="K32">
        <v>19</v>
      </c>
      <c r="L32" s="4" t="s">
        <v>37</v>
      </c>
      <c r="M32" s="4" t="s">
        <v>19</v>
      </c>
      <c r="N32">
        <v>6.4884520656164318E-2</v>
      </c>
    </row>
    <row r="33" spans="1:14" hidden="1" x14ac:dyDescent="0.3">
      <c r="A33" s="4" t="s">
        <v>321</v>
      </c>
      <c r="B33" s="4" t="s">
        <v>27</v>
      </c>
      <c r="C33" s="5">
        <v>45593</v>
      </c>
      <c r="D33" s="4" t="s">
        <v>35</v>
      </c>
      <c r="E33" s="4" t="s">
        <v>154</v>
      </c>
      <c r="F33">
        <v>4929</v>
      </c>
      <c r="G33">
        <v>749</v>
      </c>
      <c r="H33">
        <v>452</v>
      </c>
      <c r="I33">
        <v>93651</v>
      </c>
      <c r="J33">
        <v>92810</v>
      </c>
      <c r="K33">
        <v>66</v>
      </c>
      <c r="L33" s="4" t="s">
        <v>37</v>
      </c>
      <c r="M33" s="4" t="s">
        <v>38</v>
      </c>
      <c r="N33">
        <v>6.5455787978772245E-2</v>
      </c>
    </row>
    <row r="34" spans="1:14" hidden="1" x14ac:dyDescent="0.3">
      <c r="A34" s="4" t="s">
        <v>223</v>
      </c>
      <c r="B34" s="4" t="s">
        <v>27</v>
      </c>
      <c r="C34" s="5">
        <v>45684</v>
      </c>
      <c r="D34" s="4" t="s">
        <v>22</v>
      </c>
      <c r="E34" s="4" t="s">
        <v>104</v>
      </c>
      <c r="F34">
        <v>3428</v>
      </c>
      <c r="G34">
        <v>305</v>
      </c>
      <c r="H34">
        <v>85</v>
      </c>
      <c r="I34">
        <v>58276</v>
      </c>
      <c r="J34">
        <v>58052</v>
      </c>
      <c r="K34">
        <v>242</v>
      </c>
      <c r="L34" s="4" t="s">
        <v>37</v>
      </c>
      <c r="M34" s="4" t="s">
        <v>38</v>
      </c>
      <c r="N34">
        <v>6.5515821264328367E-2</v>
      </c>
    </row>
    <row r="35" spans="1:14" hidden="1" x14ac:dyDescent="0.3">
      <c r="A35" s="4" t="s">
        <v>223</v>
      </c>
      <c r="B35" s="4" t="s">
        <v>27</v>
      </c>
      <c r="C35" s="5">
        <v>45684</v>
      </c>
      <c r="D35" s="4" t="s">
        <v>22</v>
      </c>
      <c r="E35" s="4" t="s">
        <v>104</v>
      </c>
      <c r="F35">
        <v>3428</v>
      </c>
      <c r="G35">
        <v>305</v>
      </c>
      <c r="H35">
        <v>85</v>
      </c>
      <c r="I35">
        <v>58276</v>
      </c>
      <c r="J35">
        <v>58052</v>
      </c>
      <c r="K35">
        <v>242</v>
      </c>
      <c r="L35" s="4" t="s">
        <v>614</v>
      </c>
      <c r="M35" s="4" t="s">
        <v>38</v>
      </c>
      <c r="N35">
        <v>6.5515821264328367E-2</v>
      </c>
    </row>
    <row r="36" spans="1:14" hidden="1" x14ac:dyDescent="0.3">
      <c r="A36" s="4" t="s">
        <v>39</v>
      </c>
      <c r="B36" s="4" t="s">
        <v>27</v>
      </c>
      <c r="C36" s="5">
        <v>45469</v>
      </c>
      <c r="D36" s="4" t="s">
        <v>16</v>
      </c>
      <c r="E36" s="4" t="s">
        <v>29</v>
      </c>
      <c r="F36">
        <v>3557</v>
      </c>
      <c r="G36">
        <v>687</v>
      </c>
      <c r="H36">
        <v>424</v>
      </c>
      <c r="I36">
        <v>71140</v>
      </c>
      <c r="J36">
        <v>70701</v>
      </c>
      <c r="K36">
        <v>224</v>
      </c>
      <c r="L36" s="4" t="s">
        <v>37</v>
      </c>
      <c r="M36" s="4" t="s">
        <v>19</v>
      </c>
      <c r="N36">
        <v>6.5617093055946027E-2</v>
      </c>
    </row>
    <row r="37" spans="1:14" hidden="1" x14ac:dyDescent="0.3">
      <c r="A37" s="4" t="s">
        <v>39</v>
      </c>
      <c r="B37" s="4" t="s">
        <v>27</v>
      </c>
      <c r="C37" s="5">
        <v>45469</v>
      </c>
      <c r="D37" s="4" t="s">
        <v>16</v>
      </c>
      <c r="E37" s="4" t="s">
        <v>29</v>
      </c>
      <c r="F37">
        <v>3557</v>
      </c>
      <c r="G37">
        <v>687</v>
      </c>
      <c r="H37">
        <v>424</v>
      </c>
      <c r="I37">
        <v>71140</v>
      </c>
      <c r="J37">
        <v>70701</v>
      </c>
      <c r="K37">
        <v>224</v>
      </c>
      <c r="L37" s="4" t="s">
        <v>30</v>
      </c>
      <c r="M37" s="4" t="s">
        <v>19</v>
      </c>
      <c r="N37">
        <v>6.5617093055946027E-2</v>
      </c>
    </row>
    <row r="38" spans="1:14" hidden="1" x14ac:dyDescent="0.3">
      <c r="A38" s="4" t="s">
        <v>521</v>
      </c>
      <c r="B38" s="4" t="s">
        <v>27</v>
      </c>
      <c r="C38" s="5">
        <v>45672</v>
      </c>
      <c r="D38" s="4" t="s">
        <v>16</v>
      </c>
      <c r="E38" s="4" t="s">
        <v>29</v>
      </c>
      <c r="F38">
        <v>3774</v>
      </c>
      <c r="G38">
        <v>239</v>
      </c>
      <c r="H38">
        <v>39</v>
      </c>
      <c r="I38">
        <v>60384</v>
      </c>
      <c r="J38">
        <v>59490</v>
      </c>
      <c r="K38">
        <v>241</v>
      </c>
      <c r="L38" s="4" t="s">
        <v>30</v>
      </c>
      <c r="M38" s="4" t="s">
        <v>31</v>
      </c>
      <c r="N38">
        <v>6.7103868574456813E-2</v>
      </c>
    </row>
    <row r="39" spans="1:14" hidden="1" x14ac:dyDescent="0.3">
      <c r="A39" s="4" t="s">
        <v>467</v>
      </c>
      <c r="B39" s="4" t="s">
        <v>33</v>
      </c>
      <c r="C39" s="5">
        <v>45587</v>
      </c>
      <c r="D39" s="4" t="s">
        <v>35</v>
      </c>
      <c r="E39" s="4" t="s">
        <v>36</v>
      </c>
      <c r="F39">
        <v>3770</v>
      </c>
      <c r="G39">
        <v>917</v>
      </c>
      <c r="H39">
        <v>129</v>
      </c>
      <c r="I39">
        <v>71630</v>
      </c>
      <c r="J39">
        <v>71322</v>
      </c>
      <c r="K39">
        <v>76</v>
      </c>
      <c r="L39" s="4" t="s">
        <v>62</v>
      </c>
      <c r="M39" s="4" t="s">
        <v>19</v>
      </c>
      <c r="N39">
        <v>6.7234398994834563E-2</v>
      </c>
    </row>
    <row r="40" spans="1:14" hidden="1" x14ac:dyDescent="0.3">
      <c r="A40" s="4" t="s">
        <v>547</v>
      </c>
      <c r="B40" s="4" t="s">
        <v>27</v>
      </c>
      <c r="C40" s="5">
        <v>45764</v>
      </c>
      <c r="D40" s="4" t="s">
        <v>45</v>
      </c>
      <c r="E40" s="4" t="s">
        <v>68</v>
      </c>
      <c r="F40">
        <v>4780</v>
      </c>
      <c r="G40">
        <v>691</v>
      </c>
      <c r="H40">
        <v>380</v>
      </c>
      <c r="I40">
        <v>86040</v>
      </c>
      <c r="J40">
        <v>85743</v>
      </c>
      <c r="K40">
        <v>262</v>
      </c>
      <c r="L40" s="4" t="s">
        <v>62</v>
      </c>
      <c r="M40" s="4" t="s">
        <v>31</v>
      </c>
      <c r="N40">
        <v>6.800325430032543E-2</v>
      </c>
    </row>
    <row r="41" spans="1:14" hidden="1" x14ac:dyDescent="0.3">
      <c r="A41" s="4" t="s">
        <v>239</v>
      </c>
      <c r="B41" s="4" t="s">
        <v>33</v>
      </c>
      <c r="C41" s="5">
        <v>45604</v>
      </c>
      <c r="D41" s="4" t="s">
        <v>22</v>
      </c>
      <c r="E41" s="4" t="s">
        <v>113</v>
      </c>
      <c r="F41">
        <v>3182</v>
      </c>
      <c r="G41">
        <v>559</v>
      </c>
      <c r="H41">
        <v>160</v>
      </c>
      <c r="I41">
        <v>57276</v>
      </c>
      <c r="J41">
        <v>56890</v>
      </c>
      <c r="K41">
        <v>163</v>
      </c>
      <c r="L41" s="4" t="s">
        <v>62</v>
      </c>
      <c r="M41" s="4" t="s">
        <v>38</v>
      </c>
      <c r="N41">
        <v>6.8108806480899509E-2</v>
      </c>
    </row>
    <row r="42" spans="1:14" hidden="1" x14ac:dyDescent="0.3">
      <c r="A42" s="4" t="s">
        <v>363</v>
      </c>
      <c r="B42" s="4" t="s">
        <v>14</v>
      </c>
      <c r="C42" s="5">
        <v>45775</v>
      </c>
      <c r="D42" s="4" t="s">
        <v>22</v>
      </c>
      <c r="E42" s="4" t="s">
        <v>23</v>
      </c>
      <c r="F42">
        <v>3577</v>
      </c>
      <c r="G42">
        <v>596</v>
      </c>
      <c r="H42">
        <v>493</v>
      </c>
      <c r="I42">
        <v>67963</v>
      </c>
      <c r="J42">
        <v>67839</v>
      </c>
      <c r="K42">
        <v>53</v>
      </c>
      <c r="L42" s="4" t="s">
        <v>30</v>
      </c>
      <c r="M42" s="4" t="s">
        <v>31</v>
      </c>
      <c r="N42">
        <v>6.8655003457763777E-2</v>
      </c>
    </row>
    <row r="43" spans="1:14" hidden="1" x14ac:dyDescent="0.3">
      <c r="A43" s="4" t="s">
        <v>295</v>
      </c>
      <c r="B43" s="4" t="s">
        <v>43</v>
      </c>
      <c r="C43" s="5">
        <v>45684</v>
      </c>
      <c r="D43" s="4" t="s">
        <v>16</v>
      </c>
      <c r="E43" s="4" t="s">
        <v>65</v>
      </c>
      <c r="F43">
        <v>3452</v>
      </c>
      <c r="G43">
        <v>652</v>
      </c>
      <c r="H43">
        <v>442</v>
      </c>
      <c r="I43">
        <v>65588</v>
      </c>
      <c r="J43">
        <v>65049</v>
      </c>
      <c r="K43">
        <v>158</v>
      </c>
      <c r="L43" s="4" t="s">
        <v>62</v>
      </c>
      <c r="M43" s="4" t="s">
        <v>31</v>
      </c>
      <c r="N43">
        <v>6.9311459413307311E-2</v>
      </c>
    </row>
    <row r="44" spans="1:14" hidden="1" x14ac:dyDescent="0.3">
      <c r="A44" s="4" t="s">
        <v>319</v>
      </c>
      <c r="B44" s="4" t="s">
        <v>27</v>
      </c>
      <c r="C44" s="5">
        <v>45741</v>
      </c>
      <c r="D44" s="4" t="s">
        <v>35</v>
      </c>
      <c r="E44" s="4" t="s">
        <v>154</v>
      </c>
      <c r="F44">
        <v>2070</v>
      </c>
      <c r="G44">
        <v>275</v>
      </c>
      <c r="H44">
        <v>386</v>
      </c>
      <c r="I44">
        <v>39330</v>
      </c>
      <c r="J44">
        <v>38627</v>
      </c>
      <c r="K44">
        <v>114</v>
      </c>
      <c r="L44" s="4" t="s">
        <v>62</v>
      </c>
      <c r="M44" s="4" t="s">
        <v>38</v>
      </c>
      <c r="N44">
        <v>6.9438087973557078E-2</v>
      </c>
    </row>
    <row r="45" spans="1:14" hidden="1" x14ac:dyDescent="0.3">
      <c r="A45" s="4" t="s">
        <v>47</v>
      </c>
      <c r="B45" s="4" t="s">
        <v>14</v>
      </c>
      <c r="C45" s="5">
        <v>45467</v>
      </c>
      <c r="D45" s="4" t="s">
        <v>45</v>
      </c>
      <c r="E45" s="4" t="s">
        <v>49</v>
      </c>
      <c r="F45">
        <v>3860</v>
      </c>
      <c r="G45">
        <v>201</v>
      </c>
      <c r="H45">
        <v>279</v>
      </c>
      <c r="I45">
        <v>61760</v>
      </c>
      <c r="J45">
        <v>61660</v>
      </c>
      <c r="K45">
        <v>235</v>
      </c>
      <c r="L45" s="4" t="s">
        <v>30</v>
      </c>
      <c r="M45" s="4" t="s">
        <v>25</v>
      </c>
      <c r="N45">
        <v>7.0272020725388601E-2</v>
      </c>
    </row>
    <row r="46" spans="1:14" hidden="1" x14ac:dyDescent="0.3">
      <c r="A46" s="4" t="s">
        <v>118</v>
      </c>
      <c r="B46" s="4" t="s">
        <v>43</v>
      </c>
      <c r="C46" s="5">
        <v>45742</v>
      </c>
      <c r="D46" s="4" t="s">
        <v>22</v>
      </c>
      <c r="E46" s="4" t="s">
        <v>56</v>
      </c>
      <c r="F46">
        <v>1652</v>
      </c>
      <c r="G46">
        <v>89</v>
      </c>
      <c r="H46">
        <v>357</v>
      </c>
      <c r="I46">
        <v>29736</v>
      </c>
      <c r="J46">
        <v>28771</v>
      </c>
      <c r="K46">
        <v>215</v>
      </c>
      <c r="L46" s="4" t="s">
        <v>30</v>
      </c>
      <c r="M46" s="4" t="s">
        <v>31</v>
      </c>
      <c r="N46">
        <v>7.055421038471886E-2</v>
      </c>
    </row>
    <row r="47" spans="1:14" hidden="1" x14ac:dyDescent="0.3">
      <c r="A47" s="4" t="s">
        <v>231</v>
      </c>
      <c r="B47" s="4" t="s">
        <v>33</v>
      </c>
      <c r="C47" s="5">
        <v>45446</v>
      </c>
      <c r="D47" s="4" t="s">
        <v>52</v>
      </c>
      <c r="E47" s="4" t="s">
        <v>215</v>
      </c>
      <c r="F47">
        <v>3861</v>
      </c>
      <c r="G47">
        <v>960</v>
      </c>
      <c r="H47">
        <v>101</v>
      </c>
      <c r="I47">
        <v>69498</v>
      </c>
      <c r="J47">
        <v>68817</v>
      </c>
      <c r="K47">
        <v>297</v>
      </c>
      <c r="L47" s="4" t="s">
        <v>30</v>
      </c>
      <c r="M47" s="4" t="s">
        <v>38</v>
      </c>
      <c r="N47">
        <v>7.0822181933293038E-2</v>
      </c>
    </row>
    <row r="48" spans="1:14" hidden="1" x14ac:dyDescent="0.3">
      <c r="A48" s="4" t="s">
        <v>304</v>
      </c>
      <c r="B48" s="4" t="s">
        <v>14</v>
      </c>
      <c r="C48" s="5">
        <v>45771</v>
      </c>
      <c r="D48" s="4" t="s">
        <v>16</v>
      </c>
      <c r="E48" s="4" t="s">
        <v>17</v>
      </c>
      <c r="F48">
        <v>3731</v>
      </c>
      <c r="G48">
        <v>115</v>
      </c>
      <c r="H48">
        <v>135</v>
      </c>
      <c r="I48">
        <v>55965</v>
      </c>
      <c r="J48">
        <v>55436</v>
      </c>
      <c r="K48">
        <v>103</v>
      </c>
      <c r="L48" s="4" t="s">
        <v>30</v>
      </c>
      <c r="M48" s="4" t="s">
        <v>19</v>
      </c>
      <c r="N48">
        <v>7.1133744304476013E-2</v>
      </c>
    </row>
    <row r="49" spans="1:14" hidden="1" x14ac:dyDescent="0.3">
      <c r="A49" s="4" t="s">
        <v>102</v>
      </c>
      <c r="B49" s="4" t="s">
        <v>27</v>
      </c>
      <c r="C49" s="5">
        <v>45552</v>
      </c>
      <c r="D49" s="4" t="s">
        <v>22</v>
      </c>
      <c r="E49" s="4" t="s">
        <v>104</v>
      </c>
      <c r="F49">
        <v>2076</v>
      </c>
      <c r="G49">
        <v>195</v>
      </c>
      <c r="H49">
        <v>104</v>
      </c>
      <c r="I49">
        <v>33216</v>
      </c>
      <c r="J49">
        <v>32244</v>
      </c>
      <c r="K49">
        <v>51</v>
      </c>
      <c r="L49" s="4" t="s">
        <v>62</v>
      </c>
      <c r="M49" s="4" t="s">
        <v>38</v>
      </c>
      <c r="N49">
        <v>7.1501685934489398E-2</v>
      </c>
    </row>
    <row r="50" spans="1:14" hidden="1" x14ac:dyDescent="0.3">
      <c r="A50" s="4" t="s">
        <v>302</v>
      </c>
      <c r="B50" s="4" t="s">
        <v>43</v>
      </c>
      <c r="C50" s="5">
        <v>45694</v>
      </c>
      <c r="D50" s="4" t="s">
        <v>52</v>
      </c>
      <c r="E50" s="4" t="s">
        <v>59</v>
      </c>
      <c r="F50">
        <v>2072</v>
      </c>
      <c r="G50">
        <v>532</v>
      </c>
      <c r="H50">
        <v>71</v>
      </c>
      <c r="I50">
        <v>37296</v>
      </c>
      <c r="J50">
        <v>36467</v>
      </c>
      <c r="K50">
        <v>25</v>
      </c>
      <c r="L50" s="4" t="s">
        <v>30</v>
      </c>
      <c r="M50" s="4" t="s">
        <v>38</v>
      </c>
      <c r="N50">
        <v>7.172350922350923E-2</v>
      </c>
    </row>
    <row r="51" spans="1:14" hidden="1" x14ac:dyDescent="0.3">
      <c r="A51" s="4" t="s">
        <v>552</v>
      </c>
      <c r="B51" s="4" t="s">
        <v>43</v>
      </c>
      <c r="C51" s="5">
        <v>45602</v>
      </c>
      <c r="D51" s="4" t="s">
        <v>74</v>
      </c>
      <c r="E51" s="4" t="s">
        <v>75</v>
      </c>
      <c r="F51">
        <v>4663</v>
      </c>
      <c r="G51">
        <v>145</v>
      </c>
      <c r="H51">
        <v>225</v>
      </c>
      <c r="I51">
        <v>69945</v>
      </c>
      <c r="J51">
        <v>69596</v>
      </c>
      <c r="K51">
        <v>35</v>
      </c>
      <c r="L51" s="4" t="s">
        <v>37</v>
      </c>
      <c r="M51" s="4" t="s">
        <v>38</v>
      </c>
      <c r="N51">
        <v>7.1956537279290869E-2</v>
      </c>
    </row>
    <row r="52" spans="1:14" hidden="1" x14ac:dyDescent="0.3">
      <c r="A52" s="4" t="s">
        <v>57</v>
      </c>
      <c r="B52" s="4" t="s">
        <v>43</v>
      </c>
      <c r="C52" s="5">
        <v>45727</v>
      </c>
      <c r="D52" s="4" t="s">
        <v>52</v>
      </c>
      <c r="E52" s="4" t="s">
        <v>59</v>
      </c>
      <c r="F52">
        <v>4241</v>
      </c>
      <c r="G52">
        <v>902</v>
      </c>
      <c r="H52">
        <v>47</v>
      </c>
      <c r="I52">
        <v>72097</v>
      </c>
      <c r="J52">
        <v>71598</v>
      </c>
      <c r="K52">
        <v>167</v>
      </c>
      <c r="L52" s="4" t="s">
        <v>30</v>
      </c>
      <c r="M52" s="4" t="s">
        <v>25</v>
      </c>
      <c r="N52">
        <v>7.198635172059864E-2</v>
      </c>
    </row>
    <row r="53" spans="1:14" hidden="1" x14ac:dyDescent="0.3">
      <c r="A53" s="4" t="s">
        <v>246</v>
      </c>
      <c r="B53" s="4" t="s">
        <v>27</v>
      </c>
      <c r="C53" s="5">
        <v>45475</v>
      </c>
      <c r="D53" s="4" t="s">
        <v>45</v>
      </c>
      <c r="E53" s="4" t="s">
        <v>68</v>
      </c>
      <c r="F53">
        <v>4171</v>
      </c>
      <c r="G53">
        <v>548</v>
      </c>
      <c r="H53">
        <v>86</v>
      </c>
      <c r="I53">
        <v>66736</v>
      </c>
      <c r="J53">
        <v>66634</v>
      </c>
      <c r="K53">
        <v>173</v>
      </c>
      <c r="L53" s="4" t="s">
        <v>62</v>
      </c>
      <c r="M53" s="4" t="s">
        <v>31</v>
      </c>
      <c r="N53">
        <v>7.2000119875329657E-2</v>
      </c>
    </row>
    <row r="54" spans="1:14" hidden="1" x14ac:dyDescent="0.3">
      <c r="A54" s="4" t="s">
        <v>96</v>
      </c>
      <c r="B54" s="4" t="s">
        <v>43</v>
      </c>
      <c r="C54" s="5">
        <v>45680</v>
      </c>
      <c r="D54" s="4" t="s">
        <v>74</v>
      </c>
      <c r="E54" s="4" t="s">
        <v>75</v>
      </c>
      <c r="F54">
        <v>3961</v>
      </c>
      <c r="G54">
        <v>761</v>
      </c>
      <c r="H54">
        <v>131</v>
      </c>
      <c r="I54">
        <v>67337</v>
      </c>
      <c r="J54">
        <v>66615</v>
      </c>
      <c r="K54">
        <v>161</v>
      </c>
      <c r="L54" s="4" t="s">
        <v>62</v>
      </c>
      <c r="M54" s="4" t="s">
        <v>31</v>
      </c>
      <c r="N54">
        <v>7.2070332803659209E-2</v>
      </c>
    </row>
    <row r="55" spans="1:14" hidden="1" x14ac:dyDescent="0.3">
      <c r="A55" s="4" t="s">
        <v>435</v>
      </c>
      <c r="B55" s="4" t="s">
        <v>43</v>
      </c>
      <c r="C55" s="5">
        <v>45783</v>
      </c>
      <c r="D55" s="4" t="s">
        <v>52</v>
      </c>
      <c r="E55" s="4" t="s">
        <v>59</v>
      </c>
      <c r="F55">
        <v>4872</v>
      </c>
      <c r="G55">
        <v>925</v>
      </c>
      <c r="H55">
        <v>176</v>
      </c>
      <c r="I55">
        <v>82824</v>
      </c>
      <c r="J55">
        <v>82543</v>
      </c>
      <c r="K55">
        <v>89</v>
      </c>
      <c r="L55" s="4" t="s">
        <v>37</v>
      </c>
      <c r="M55" s="4" t="s">
        <v>25</v>
      </c>
      <c r="N55">
        <v>7.2116777745580993E-2</v>
      </c>
    </row>
    <row r="56" spans="1:14" hidden="1" x14ac:dyDescent="0.3">
      <c r="A56" s="4" t="s">
        <v>128</v>
      </c>
      <c r="B56" s="4" t="s">
        <v>43</v>
      </c>
      <c r="C56" s="5">
        <v>45621</v>
      </c>
      <c r="D56" s="4" t="s">
        <v>52</v>
      </c>
      <c r="E56" s="4" t="s">
        <v>59</v>
      </c>
      <c r="F56">
        <v>3564</v>
      </c>
      <c r="G56">
        <v>629</v>
      </c>
      <c r="H56">
        <v>177</v>
      </c>
      <c r="I56">
        <v>60588</v>
      </c>
      <c r="J56">
        <v>59627</v>
      </c>
      <c r="K56">
        <v>92</v>
      </c>
      <c r="L56" s="4" t="s">
        <v>30</v>
      </c>
      <c r="M56" s="4"/>
      <c r="N56">
        <v>7.2126493695121141E-2</v>
      </c>
    </row>
    <row r="57" spans="1:14" hidden="1" x14ac:dyDescent="0.3">
      <c r="A57" s="4" t="s">
        <v>394</v>
      </c>
      <c r="B57" s="4" t="s">
        <v>43</v>
      </c>
      <c r="C57" s="5">
        <v>45740</v>
      </c>
      <c r="D57" s="4" t="s">
        <v>16</v>
      </c>
      <c r="E57" s="4" t="s">
        <v>65</v>
      </c>
      <c r="F57">
        <v>3360</v>
      </c>
      <c r="G57">
        <v>525</v>
      </c>
      <c r="H57">
        <v>500</v>
      </c>
      <c r="I57">
        <v>60480</v>
      </c>
      <c r="J57">
        <v>59610</v>
      </c>
      <c r="K57">
        <v>192</v>
      </c>
      <c r="L57" s="4" t="s">
        <v>30</v>
      </c>
      <c r="M57" s="4" t="s">
        <v>19</v>
      </c>
      <c r="N57">
        <v>7.2503306878306875E-2</v>
      </c>
    </row>
    <row r="58" spans="1:14" hidden="1" x14ac:dyDescent="0.3">
      <c r="A58" s="4" t="s">
        <v>468</v>
      </c>
      <c r="B58" s="4" t="s">
        <v>14</v>
      </c>
      <c r="C58" s="5">
        <v>45489</v>
      </c>
      <c r="D58" s="4" t="s">
        <v>22</v>
      </c>
      <c r="E58" s="4" t="s">
        <v>23</v>
      </c>
      <c r="F58">
        <v>4725</v>
      </c>
      <c r="G58">
        <v>400</v>
      </c>
      <c r="H58">
        <v>362</v>
      </c>
      <c r="I58">
        <v>75600</v>
      </c>
      <c r="J58">
        <v>74927</v>
      </c>
      <c r="K58">
        <v>43</v>
      </c>
      <c r="L58" s="4" t="s">
        <v>62</v>
      </c>
      <c r="M58" s="4" t="s">
        <v>38</v>
      </c>
      <c r="N58">
        <v>7.2579365079365077E-2</v>
      </c>
    </row>
    <row r="59" spans="1:14" hidden="1" x14ac:dyDescent="0.3">
      <c r="A59" s="4" t="s">
        <v>367</v>
      </c>
      <c r="B59" s="4" t="s">
        <v>43</v>
      </c>
      <c r="C59" s="5">
        <v>45518</v>
      </c>
      <c r="D59" s="4" t="s">
        <v>45</v>
      </c>
      <c r="E59" s="4" t="s">
        <v>46</v>
      </c>
      <c r="F59">
        <v>3073</v>
      </c>
      <c r="G59">
        <v>553</v>
      </c>
      <c r="H59">
        <v>174</v>
      </c>
      <c r="I59">
        <v>52241</v>
      </c>
      <c r="J59">
        <v>51605</v>
      </c>
      <c r="K59">
        <v>246</v>
      </c>
      <c r="L59" s="4" t="s">
        <v>37</v>
      </c>
      <c r="M59" s="4" t="s">
        <v>31</v>
      </c>
      <c r="N59">
        <v>7.2739802071170159E-2</v>
      </c>
    </row>
    <row r="60" spans="1:14" hidden="1" x14ac:dyDescent="0.3">
      <c r="A60" s="4" t="s">
        <v>461</v>
      </c>
      <c r="B60" s="4" t="s">
        <v>43</v>
      </c>
      <c r="C60" s="5">
        <v>45724</v>
      </c>
      <c r="D60" s="4" t="s">
        <v>52</v>
      </c>
      <c r="E60" s="4" t="s">
        <v>59</v>
      </c>
      <c r="F60">
        <v>2382</v>
      </c>
      <c r="G60">
        <v>265</v>
      </c>
      <c r="H60">
        <v>134</v>
      </c>
      <c r="I60">
        <v>38112</v>
      </c>
      <c r="J60">
        <v>37437</v>
      </c>
      <c r="K60">
        <v>249</v>
      </c>
      <c r="L60" s="4" t="s">
        <v>62</v>
      </c>
      <c r="M60" s="4" t="s">
        <v>38</v>
      </c>
      <c r="N60">
        <v>7.2969143576826198E-2</v>
      </c>
    </row>
    <row r="61" spans="1:14" hidden="1" x14ac:dyDescent="0.3">
      <c r="A61" s="4" t="s">
        <v>549</v>
      </c>
      <c r="B61" s="4" t="s">
        <v>43</v>
      </c>
      <c r="C61" s="5">
        <v>45624</v>
      </c>
      <c r="D61" s="4" t="s">
        <v>45</v>
      </c>
      <c r="E61" s="4" t="s">
        <v>46</v>
      </c>
      <c r="F61">
        <v>2751</v>
      </c>
      <c r="G61">
        <v>33</v>
      </c>
      <c r="H61">
        <v>430</v>
      </c>
      <c r="I61">
        <v>44016</v>
      </c>
      <c r="J61">
        <v>43415</v>
      </c>
      <c r="K61">
        <v>129</v>
      </c>
      <c r="L61" s="4" t="s">
        <v>62</v>
      </c>
      <c r="M61" s="4"/>
      <c r="N61">
        <v>7.3018902217375503E-2</v>
      </c>
    </row>
    <row r="62" spans="1:14" hidden="1" x14ac:dyDescent="0.3">
      <c r="A62" s="4" t="s">
        <v>488</v>
      </c>
      <c r="B62" s="4" t="s">
        <v>43</v>
      </c>
      <c r="C62" s="5">
        <v>45465</v>
      </c>
      <c r="D62" s="4" t="s">
        <v>16</v>
      </c>
      <c r="E62" s="4" t="s">
        <v>65</v>
      </c>
      <c r="F62">
        <v>3813</v>
      </c>
      <c r="G62">
        <v>935</v>
      </c>
      <c r="H62">
        <v>274</v>
      </c>
      <c r="I62">
        <v>68634</v>
      </c>
      <c r="J62">
        <v>68488</v>
      </c>
      <c r="K62">
        <v>251</v>
      </c>
      <c r="L62" s="4" t="s">
        <v>62</v>
      </c>
      <c r="M62" s="4"/>
      <c r="N62">
        <v>7.3170731707317069E-2</v>
      </c>
    </row>
    <row r="63" spans="1:14" hidden="1" x14ac:dyDescent="0.3">
      <c r="A63" s="4" t="s">
        <v>148</v>
      </c>
      <c r="B63" s="4" t="s">
        <v>14</v>
      </c>
      <c r="C63" s="5">
        <v>45727</v>
      </c>
      <c r="D63" s="4" t="s">
        <v>35</v>
      </c>
      <c r="E63" s="4" t="s">
        <v>149</v>
      </c>
      <c r="F63">
        <v>1950</v>
      </c>
      <c r="G63">
        <v>295</v>
      </c>
      <c r="H63">
        <v>478</v>
      </c>
      <c r="I63">
        <v>37050</v>
      </c>
      <c r="J63">
        <v>36272</v>
      </c>
      <c r="K63">
        <v>119</v>
      </c>
      <c r="L63" s="4" t="s">
        <v>30</v>
      </c>
      <c r="M63" s="4"/>
      <c r="N63">
        <v>7.349527665317139E-2</v>
      </c>
    </row>
    <row r="64" spans="1:14" hidden="1" x14ac:dyDescent="0.3">
      <c r="A64" s="4" t="s">
        <v>250</v>
      </c>
      <c r="B64" s="4" t="s">
        <v>27</v>
      </c>
      <c r="C64" s="5">
        <v>45583</v>
      </c>
      <c r="D64" s="4" t="s">
        <v>74</v>
      </c>
      <c r="E64" s="4" t="s">
        <v>219</v>
      </c>
      <c r="F64">
        <v>4450</v>
      </c>
      <c r="G64">
        <v>983</v>
      </c>
      <c r="H64">
        <v>143</v>
      </c>
      <c r="I64">
        <v>75650</v>
      </c>
      <c r="J64">
        <v>75008</v>
      </c>
      <c r="K64">
        <v>12</v>
      </c>
      <c r="L64" s="4" t="s">
        <v>62</v>
      </c>
      <c r="M64" s="4" t="s">
        <v>31</v>
      </c>
      <c r="N64">
        <v>7.3707865168539333E-2</v>
      </c>
    </row>
    <row r="65" spans="1:14" hidden="1" x14ac:dyDescent="0.3">
      <c r="A65" s="4" t="s">
        <v>269</v>
      </c>
      <c r="B65" s="4" t="s">
        <v>27</v>
      </c>
      <c r="C65" s="5">
        <v>45619</v>
      </c>
      <c r="D65" s="4" t="s">
        <v>52</v>
      </c>
      <c r="E65" s="4" t="s">
        <v>53</v>
      </c>
      <c r="F65">
        <v>2719</v>
      </c>
      <c r="G65">
        <v>17</v>
      </c>
      <c r="H65">
        <v>285</v>
      </c>
      <c r="I65">
        <v>40785</v>
      </c>
      <c r="J65">
        <v>40281</v>
      </c>
      <c r="K65">
        <v>40</v>
      </c>
      <c r="L65" s="4" t="s">
        <v>30</v>
      </c>
      <c r="M65" s="4" t="s">
        <v>25</v>
      </c>
      <c r="N65">
        <v>7.4071349760941527E-2</v>
      </c>
    </row>
    <row r="66" spans="1:14" hidden="1" x14ac:dyDescent="0.3">
      <c r="A66" s="4" t="s">
        <v>359</v>
      </c>
      <c r="B66" s="4" t="s">
        <v>43</v>
      </c>
      <c r="C66" s="5">
        <v>45608</v>
      </c>
      <c r="D66" s="4" t="s">
        <v>22</v>
      </c>
      <c r="E66" s="4" t="s">
        <v>56</v>
      </c>
      <c r="F66">
        <v>2418</v>
      </c>
      <c r="G66">
        <v>754</v>
      </c>
      <c r="H66">
        <v>54</v>
      </c>
      <c r="I66">
        <v>43524</v>
      </c>
      <c r="J66">
        <v>42743</v>
      </c>
      <c r="K66">
        <v>182</v>
      </c>
      <c r="L66" s="4" t="s">
        <v>37</v>
      </c>
      <c r="M66" s="4" t="s">
        <v>19</v>
      </c>
      <c r="N66">
        <v>7.412002573292896E-2</v>
      </c>
    </row>
    <row r="67" spans="1:14" hidden="1" x14ac:dyDescent="0.3">
      <c r="A67" s="4" t="s">
        <v>141</v>
      </c>
      <c r="B67" s="4" t="s">
        <v>43</v>
      </c>
      <c r="C67" s="5">
        <v>45597</v>
      </c>
      <c r="D67" s="4" t="s">
        <v>74</v>
      </c>
      <c r="E67" s="4" t="s">
        <v>75</v>
      </c>
      <c r="F67">
        <v>3371</v>
      </c>
      <c r="G67">
        <v>106</v>
      </c>
      <c r="H67">
        <v>327</v>
      </c>
      <c r="I67">
        <v>50565</v>
      </c>
      <c r="J67">
        <v>49816</v>
      </c>
      <c r="K67">
        <v>176</v>
      </c>
      <c r="L67" s="4" t="s">
        <v>62</v>
      </c>
      <c r="M67" s="4" t="s">
        <v>19</v>
      </c>
      <c r="N67">
        <v>7.5229902106199939E-2</v>
      </c>
    </row>
    <row r="68" spans="1:14" hidden="1" x14ac:dyDescent="0.3">
      <c r="A68" s="4" t="s">
        <v>379</v>
      </c>
      <c r="B68" s="4" t="s">
        <v>43</v>
      </c>
      <c r="C68" s="5">
        <v>45488</v>
      </c>
      <c r="D68" s="4" t="s">
        <v>45</v>
      </c>
      <c r="E68" s="4" t="s">
        <v>46</v>
      </c>
      <c r="F68">
        <v>3796</v>
      </c>
      <c r="G68">
        <v>667</v>
      </c>
      <c r="H68">
        <v>395</v>
      </c>
      <c r="I68">
        <v>64532</v>
      </c>
      <c r="J68">
        <v>63550</v>
      </c>
      <c r="K68">
        <v>292</v>
      </c>
      <c r="L68" s="4" t="s">
        <v>30</v>
      </c>
      <c r="M68" s="4"/>
      <c r="N68">
        <v>7.5280481001673588E-2</v>
      </c>
    </row>
    <row r="69" spans="1:14" hidden="1" x14ac:dyDescent="0.3">
      <c r="A69" s="4" t="s">
        <v>76</v>
      </c>
      <c r="B69" s="4" t="s">
        <v>43</v>
      </c>
      <c r="C69" s="5">
        <v>45530</v>
      </c>
      <c r="D69" s="4" t="s">
        <v>22</v>
      </c>
      <c r="E69" s="4" t="s">
        <v>56</v>
      </c>
      <c r="F69">
        <v>3452</v>
      </c>
      <c r="G69">
        <v>377</v>
      </c>
      <c r="H69">
        <v>360</v>
      </c>
      <c r="I69">
        <v>55232</v>
      </c>
      <c r="J69">
        <v>55075</v>
      </c>
      <c r="K69">
        <v>87</v>
      </c>
      <c r="L69" s="4" t="s">
        <v>62</v>
      </c>
      <c r="M69" s="4" t="s">
        <v>31</v>
      </c>
      <c r="N69">
        <v>7.5843713789107758E-2</v>
      </c>
    </row>
    <row r="70" spans="1:14" hidden="1" x14ac:dyDescent="0.3">
      <c r="A70" s="4" t="s">
        <v>66</v>
      </c>
      <c r="B70" s="4" t="s">
        <v>27</v>
      </c>
      <c r="C70" s="5">
        <v>45614</v>
      </c>
      <c r="D70" s="4" t="s">
        <v>45</v>
      </c>
      <c r="E70" s="4" t="s">
        <v>68</v>
      </c>
      <c r="F70">
        <v>1171</v>
      </c>
      <c r="G70">
        <v>286</v>
      </c>
      <c r="H70">
        <v>231</v>
      </c>
      <c r="I70">
        <v>22249</v>
      </c>
      <c r="J70">
        <v>21282</v>
      </c>
      <c r="K70">
        <v>114</v>
      </c>
      <c r="L70" s="4" t="s">
        <v>37</v>
      </c>
      <c r="M70" s="4" t="s">
        <v>19</v>
      </c>
      <c r="N70">
        <v>7.5868578363072495E-2</v>
      </c>
    </row>
    <row r="71" spans="1:14" hidden="1" x14ac:dyDescent="0.3">
      <c r="A71" s="4" t="s">
        <v>462</v>
      </c>
      <c r="B71" s="4" t="s">
        <v>43</v>
      </c>
      <c r="C71" s="5">
        <v>45444</v>
      </c>
      <c r="D71" s="4" t="s">
        <v>22</v>
      </c>
      <c r="E71" s="4" t="s">
        <v>56</v>
      </c>
      <c r="F71">
        <v>1272</v>
      </c>
      <c r="G71">
        <v>465</v>
      </c>
      <c r="H71">
        <v>99</v>
      </c>
      <c r="I71">
        <v>24168</v>
      </c>
      <c r="J71">
        <v>23719</v>
      </c>
      <c r="K71">
        <v>42</v>
      </c>
      <c r="L71" s="4" t="s">
        <v>30</v>
      </c>
      <c r="M71" s="4"/>
      <c r="N71">
        <v>7.5968222442899705E-2</v>
      </c>
    </row>
    <row r="72" spans="1:14" hidden="1" x14ac:dyDescent="0.3">
      <c r="A72" s="4" t="s">
        <v>20</v>
      </c>
      <c r="B72" s="4" t="s">
        <v>14</v>
      </c>
      <c r="C72" s="5">
        <v>45750</v>
      </c>
      <c r="D72" s="4" t="s">
        <v>22</v>
      </c>
      <c r="E72" s="4" t="s">
        <v>23</v>
      </c>
      <c r="F72">
        <v>4054</v>
      </c>
      <c r="G72">
        <v>389</v>
      </c>
      <c r="H72">
        <v>493</v>
      </c>
      <c r="I72">
        <v>64864</v>
      </c>
      <c r="J72">
        <v>64383</v>
      </c>
      <c r="K72">
        <v>117</v>
      </c>
      <c r="L72" s="4" t="s">
        <v>30</v>
      </c>
      <c r="M72" s="4" t="s">
        <v>25</v>
      </c>
      <c r="N72">
        <v>7.6097681302417369E-2</v>
      </c>
    </row>
    <row r="73" spans="1:14" hidden="1" x14ac:dyDescent="0.3">
      <c r="A73" s="4" t="s">
        <v>20</v>
      </c>
      <c r="B73" s="4" t="s">
        <v>14</v>
      </c>
      <c r="C73" s="5">
        <v>45750</v>
      </c>
      <c r="D73" s="4" t="s">
        <v>22</v>
      </c>
      <c r="E73" s="4" t="s">
        <v>23</v>
      </c>
      <c r="F73">
        <v>4054</v>
      </c>
      <c r="G73">
        <v>389</v>
      </c>
      <c r="H73">
        <v>493</v>
      </c>
      <c r="I73">
        <v>64864</v>
      </c>
      <c r="J73">
        <v>64383</v>
      </c>
      <c r="K73">
        <v>117</v>
      </c>
      <c r="L73" s="4" t="s">
        <v>614</v>
      </c>
      <c r="M73" s="4" t="s">
        <v>25</v>
      </c>
      <c r="N73">
        <v>7.6097681302417369E-2</v>
      </c>
    </row>
    <row r="74" spans="1:14" hidden="1" x14ac:dyDescent="0.3">
      <c r="A74" s="4" t="s">
        <v>122</v>
      </c>
      <c r="B74" s="4" t="s">
        <v>33</v>
      </c>
      <c r="C74" s="5">
        <v>45766</v>
      </c>
      <c r="D74" s="4" t="s">
        <v>35</v>
      </c>
      <c r="E74" s="4" t="s">
        <v>36</v>
      </c>
      <c r="F74">
        <v>4518</v>
      </c>
      <c r="G74">
        <v>285</v>
      </c>
      <c r="H74">
        <v>383</v>
      </c>
      <c r="I74">
        <v>67770</v>
      </c>
      <c r="J74">
        <v>67621</v>
      </c>
      <c r="K74">
        <v>31</v>
      </c>
      <c r="L74" s="4" t="s">
        <v>37</v>
      </c>
      <c r="M74" s="4" t="s">
        <v>25</v>
      </c>
      <c r="N74">
        <v>7.6523535487678915E-2</v>
      </c>
    </row>
    <row r="75" spans="1:14" hidden="1" x14ac:dyDescent="0.3">
      <c r="A75" s="4" t="s">
        <v>93</v>
      </c>
      <c r="B75" s="4" t="s">
        <v>43</v>
      </c>
      <c r="C75" s="5">
        <v>45602</v>
      </c>
      <c r="D75" s="4" t="s">
        <v>74</v>
      </c>
      <c r="E75" s="4" t="s">
        <v>75</v>
      </c>
      <c r="F75">
        <v>1606</v>
      </c>
      <c r="G75">
        <v>547</v>
      </c>
      <c r="H75">
        <v>316</v>
      </c>
      <c r="I75">
        <v>32120</v>
      </c>
      <c r="J75">
        <v>31736</v>
      </c>
      <c r="K75">
        <v>225</v>
      </c>
      <c r="L75" s="4" t="s">
        <v>30</v>
      </c>
      <c r="M75" s="4" t="s">
        <v>25</v>
      </c>
      <c r="N75">
        <v>7.6867995018679955E-2</v>
      </c>
    </row>
    <row r="76" spans="1:14" hidden="1" x14ac:dyDescent="0.3">
      <c r="A76" s="4" t="s">
        <v>93</v>
      </c>
      <c r="B76" s="4" t="s">
        <v>43</v>
      </c>
      <c r="C76" s="5">
        <v>45602</v>
      </c>
      <c r="D76" s="4" t="s">
        <v>74</v>
      </c>
      <c r="E76" s="4" t="s">
        <v>75</v>
      </c>
      <c r="F76">
        <v>1606</v>
      </c>
      <c r="G76">
        <v>547</v>
      </c>
      <c r="H76">
        <v>316</v>
      </c>
      <c r="I76">
        <v>32120</v>
      </c>
      <c r="J76">
        <v>31736</v>
      </c>
      <c r="K76">
        <v>225</v>
      </c>
      <c r="L76" s="4" t="s">
        <v>613</v>
      </c>
      <c r="M76" s="4" t="s">
        <v>25</v>
      </c>
      <c r="N76">
        <v>7.6867995018679955E-2</v>
      </c>
    </row>
    <row r="77" spans="1:14" hidden="1" x14ac:dyDescent="0.3">
      <c r="A77" s="4" t="s">
        <v>89</v>
      </c>
      <c r="B77" s="4" t="s">
        <v>33</v>
      </c>
      <c r="C77" s="5">
        <v>45661</v>
      </c>
      <c r="D77" s="4" t="s">
        <v>16</v>
      </c>
      <c r="E77" s="4" t="s">
        <v>82</v>
      </c>
      <c r="F77">
        <v>4838</v>
      </c>
      <c r="G77">
        <v>640</v>
      </c>
      <c r="H77">
        <v>128</v>
      </c>
      <c r="I77">
        <v>72570</v>
      </c>
      <c r="J77">
        <v>72396</v>
      </c>
      <c r="K77">
        <v>83</v>
      </c>
      <c r="L77" s="4" t="s">
        <v>62</v>
      </c>
      <c r="M77" s="4" t="s">
        <v>38</v>
      </c>
      <c r="N77">
        <v>7.7249552156538517E-2</v>
      </c>
    </row>
    <row r="78" spans="1:14" hidden="1" x14ac:dyDescent="0.3">
      <c r="A78" s="4" t="s">
        <v>328</v>
      </c>
      <c r="B78" s="4" t="s">
        <v>14</v>
      </c>
      <c r="C78" s="5">
        <v>45459</v>
      </c>
      <c r="D78" s="4" t="s">
        <v>74</v>
      </c>
      <c r="E78" s="4" t="s">
        <v>145</v>
      </c>
      <c r="F78">
        <v>1702</v>
      </c>
      <c r="G78">
        <v>750</v>
      </c>
      <c r="H78">
        <v>179</v>
      </c>
      <c r="I78">
        <v>34040</v>
      </c>
      <c r="J78">
        <v>33174</v>
      </c>
      <c r="K78">
        <v>76</v>
      </c>
      <c r="L78" s="4" t="s">
        <v>37</v>
      </c>
      <c r="M78" s="4" t="s">
        <v>19</v>
      </c>
      <c r="N78">
        <v>7.7291421856639245E-2</v>
      </c>
    </row>
    <row r="79" spans="1:14" hidden="1" x14ac:dyDescent="0.3">
      <c r="A79" s="4" t="s">
        <v>457</v>
      </c>
      <c r="B79" s="4" t="s">
        <v>43</v>
      </c>
      <c r="C79" s="5">
        <v>45488</v>
      </c>
      <c r="D79" s="4" t="s">
        <v>16</v>
      </c>
      <c r="E79" s="4" t="s">
        <v>65</v>
      </c>
      <c r="F79">
        <v>3663</v>
      </c>
      <c r="G79">
        <v>17</v>
      </c>
      <c r="H79">
        <v>295</v>
      </c>
      <c r="I79">
        <v>51282</v>
      </c>
      <c r="J79">
        <v>50567</v>
      </c>
      <c r="K79">
        <v>84</v>
      </c>
      <c r="L79" s="4" t="s">
        <v>37</v>
      </c>
      <c r="M79" s="4" t="s">
        <v>31</v>
      </c>
      <c r="N79">
        <v>7.7512577512577507E-2</v>
      </c>
    </row>
    <row r="80" spans="1:14" hidden="1" x14ac:dyDescent="0.3">
      <c r="A80" s="4" t="s">
        <v>210</v>
      </c>
      <c r="B80" s="4" t="s">
        <v>33</v>
      </c>
      <c r="C80" s="5">
        <v>45456</v>
      </c>
      <c r="D80" s="4" t="s">
        <v>35</v>
      </c>
      <c r="E80" s="4" t="s">
        <v>36</v>
      </c>
      <c r="F80">
        <v>2103</v>
      </c>
      <c r="G80">
        <v>892</v>
      </c>
      <c r="H80">
        <v>103</v>
      </c>
      <c r="I80">
        <v>39957</v>
      </c>
      <c r="J80">
        <v>39466</v>
      </c>
      <c r="K80">
        <v>28</v>
      </c>
      <c r="L80" s="4" t="s">
        <v>62</v>
      </c>
      <c r="M80" s="4"/>
      <c r="N80">
        <v>7.7533348349475686E-2</v>
      </c>
    </row>
    <row r="81" spans="1:14" hidden="1" x14ac:dyDescent="0.3">
      <c r="A81" s="4" t="s">
        <v>155</v>
      </c>
      <c r="B81" s="4" t="s">
        <v>43</v>
      </c>
      <c r="C81" s="5">
        <v>45456</v>
      </c>
      <c r="D81" s="4" t="s">
        <v>45</v>
      </c>
      <c r="E81" s="4" t="s">
        <v>46</v>
      </c>
      <c r="F81">
        <v>2200</v>
      </c>
      <c r="G81">
        <v>504</v>
      </c>
      <c r="H81">
        <v>239</v>
      </c>
      <c r="I81">
        <v>37400</v>
      </c>
      <c r="J81">
        <v>36938</v>
      </c>
      <c r="K81">
        <v>225</v>
      </c>
      <c r="L81" s="4" t="s">
        <v>62</v>
      </c>
      <c r="M81" s="4" t="s">
        <v>25</v>
      </c>
      <c r="N81">
        <v>7.8689839572192513E-2</v>
      </c>
    </row>
    <row r="82" spans="1:14" hidden="1" x14ac:dyDescent="0.3">
      <c r="A82" s="4" t="s">
        <v>527</v>
      </c>
      <c r="B82" s="4" t="s">
        <v>14</v>
      </c>
      <c r="C82" s="5">
        <v>45658</v>
      </c>
      <c r="D82" s="4" t="s">
        <v>45</v>
      </c>
      <c r="E82" s="4" t="s">
        <v>49</v>
      </c>
      <c r="F82">
        <v>3535</v>
      </c>
      <c r="G82">
        <v>494</v>
      </c>
      <c r="H82">
        <v>152</v>
      </c>
      <c r="I82">
        <v>53025</v>
      </c>
      <c r="J82">
        <v>52791</v>
      </c>
      <c r="K82">
        <v>44</v>
      </c>
      <c r="L82" s="4" t="s">
        <v>30</v>
      </c>
      <c r="M82" s="4" t="s">
        <v>38</v>
      </c>
      <c r="N82">
        <v>7.8849599245638849E-2</v>
      </c>
    </row>
    <row r="83" spans="1:14" hidden="1" x14ac:dyDescent="0.3">
      <c r="A83" s="4" t="s">
        <v>233</v>
      </c>
      <c r="B83" s="4" t="s">
        <v>43</v>
      </c>
      <c r="C83" s="5">
        <v>45740</v>
      </c>
      <c r="D83" s="4" t="s">
        <v>52</v>
      </c>
      <c r="E83" s="4" t="s">
        <v>59</v>
      </c>
      <c r="F83">
        <v>1263</v>
      </c>
      <c r="G83">
        <v>397</v>
      </c>
      <c r="H83">
        <v>357</v>
      </c>
      <c r="I83">
        <v>25260</v>
      </c>
      <c r="J83">
        <v>24615</v>
      </c>
      <c r="K83">
        <v>137</v>
      </c>
      <c r="L83" s="4" t="s">
        <v>37</v>
      </c>
      <c r="M83" s="4" t="s">
        <v>38</v>
      </c>
      <c r="N83">
        <v>7.984956452889945E-2</v>
      </c>
    </row>
    <row r="84" spans="1:14" hidden="1" x14ac:dyDescent="0.3">
      <c r="A84" s="4" t="s">
        <v>498</v>
      </c>
      <c r="B84" s="4" t="s">
        <v>43</v>
      </c>
      <c r="C84" s="5">
        <v>45753</v>
      </c>
      <c r="D84" s="4" t="s">
        <v>52</v>
      </c>
      <c r="E84" s="4" t="s">
        <v>59</v>
      </c>
      <c r="F84">
        <v>3090</v>
      </c>
      <c r="G84">
        <v>697</v>
      </c>
      <c r="H84">
        <v>164</v>
      </c>
      <c r="I84">
        <v>49440</v>
      </c>
      <c r="J84">
        <v>48524</v>
      </c>
      <c r="K84">
        <v>25</v>
      </c>
      <c r="L84" s="4" t="s">
        <v>37</v>
      </c>
      <c r="M84" s="4" t="s">
        <v>25</v>
      </c>
      <c r="N84">
        <v>7.9915048543689318E-2</v>
      </c>
    </row>
    <row r="85" spans="1:14" hidden="1" x14ac:dyDescent="0.3">
      <c r="A85" s="4" t="s">
        <v>498</v>
      </c>
      <c r="B85" s="4" t="s">
        <v>43</v>
      </c>
      <c r="C85" s="5">
        <v>45753</v>
      </c>
      <c r="D85" s="4" t="s">
        <v>52</v>
      </c>
      <c r="E85" s="4" t="s">
        <v>59</v>
      </c>
      <c r="F85">
        <v>3090</v>
      </c>
      <c r="G85">
        <v>697</v>
      </c>
      <c r="H85">
        <v>164</v>
      </c>
      <c r="I85">
        <v>49440</v>
      </c>
      <c r="J85">
        <v>48524</v>
      </c>
      <c r="K85">
        <v>25</v>
      </c>
      <c r="L85" s="4" t="s">
        <v>614</v>
      </c>
      <c r="M85" s="4" t="s">
        <v>25</v>
      </c>
      <c r="N85">
        <v>7.9915048543689318E-2</v>
      </c>
    </row>
    <row r="86" spans="1:14" hidden="1" x14ac:dyDescent="0.3">
      <c r="A86" s="4" t="s">
        <v>283</v>
      </c>
      <c r="B86" s="4" t="s">
        <v>43</v>
      </c>
      <c r="C86" s="5">
        <v>45600</v>
      </c>
      <c r="D86" s="4" t="s">
        <v>52</v>
      </c>
      <c r="E86" s="4" t="s">
        <v>59</v>
      </c>
      <c r="F86">
        <v>4551</v>
      </c>
      <c r="G86">
        <v>714</v>
      </c>
      <c r="H86">
        <v>207</v>
      </c>
      <c r="I86">
        <v>68265</v>
      </c>
      <c r="J86">
        <v>67754</v>
      </c>
      <c r="K86">
        <v>57</v>
      </c>
      <c r="L86" s="4" t="s">
        <v>62</v>
      </c>
      <c r="M86" s="4" t="s">
        <v>31</v>
      </c>
      <c r="N86">
        <v>8.0158206987475278E-2</v>
      </c>
    </row>
    <row r="87" spans="1:14" hidden="1" x14ac:dyDescent="0.3">
      <c r="A87" s="4" t="s">
        <v>91</v>
      </c>
      <c r="B87" s="4" t="s">
        <v>43</v>
      </c>
      <c r="C87" s="5">
        <v>45715</v>
      </c>
      <c r="D87" s="4" t="s">
        <v>22</v>
      </c>
      <c r="E87" s="4" t="s">
        <v>56</v>
      </c>
      <c r="F87">
        <v>1570</v>
      </c>
      <c r="G87">
        <v>187</v>
      </c>
      <c r="H87">
        <v>260</v>
      </c>
      <c r="I87">
        <v>25120</v>
      </c>
      <c r="J87">
        <v>24613</v>
      </c>
      <c r="K87">
        <v>133</v>
      </c>
      <c r="L87" s="4" t="s">
        <v>30</v>
      </c>
      <c r="M87" s="4" t="s">
        <v>38</v>
      </c>
      <c r="N87">
        <v>8.0294585987261149E-2</v>
      </c>
    </row>
    <row r="88" spans="1:14" hidden="1" x14ac:dyDescent="0.3">
      <c r="A88" s="4" t="s">
        <v>288</v>
      </c>
      <c r="B88" s="4" t="s">
        <v>33</v>
      </c>
      <c r="C88" s="5">
        <v>45567</v>
      </c>
      <c r="D88" s="4" t="s">
        <v>22</v>
      </c>
      <c r="E88" s="4" t="s">
        <v>113</v>
      </c>
      <c r="F88">
        <v>3432</v>
      </c>
      <c r="G88">
        <v>869</v>
      </c>
      <c r="H88">
        <v>123</v>
      </c>
      <c r="I88">
        <v>54912</v>
      </c>
      <c r="J88">
        <v>53916</v>
      </c>
      <c r="K88">
        <v>264</v>
      </c>
      <c r="L88" s="4" t="s">
        <v>37</v>
      </c>
      <c r="M88" s="4" t="s">
        <v>25</v>
      </c>
      <c r="N88">
        <v>8.0565268065268064E-2</v>
      </c>
    </row>
    <row r="89" spans="1:14" hidden="1" x14ac:dyDescent="0.3">
      <c r="A89" s="4" t="s">
        <v>167</v>
      </c>
      <c r="B89" s="4" t="s">
        <v>14</v>
      </c>
      <c r="C89" s="5">
        <v>45586</v>
      </c>
      <c r="D89" s="4" t="s">
        <v>74</v>
      </c>
      <c r="E89" s="4" t="s">
        <v>145</v>
      </c>
      <c r="F89">
        <v>2825</v>
      </c>
      <c r="G89">
        <v>535</v>
      </c>
      <c r="H89">
        <v>295</v>
      </c>
      <c r="I89">
        <v>45200</v>
      </c>
      <c r="J89">
        <v>44739</v>
      </c>
      <c r="K89">
        <v>169</v>
      </c>
      <c r="L89" s="4" t="s">
        <v>30</v>
      </c>
      <c r="M89" s="4" t="s">
        <v>19</v>
      </c>
      <c r="N89">
        <v>8.0862831858407078E-2</v>
      </c>
    </row>
    <row r="90" spans="1:14" hidden="1" x14ac:dyDescent="0.3">
      <c r="A90" s="4" t="s">
        <v>204</v>
      </c>
      <c r="B90" s="4" t="s">
        <v>14</v>
      </c>
      <c r="C90" s="5">
        <v>45603</v>
      </c>
      <c r="D90" s="4" t="s">
        <v>35</v>
      </c>
      <c r="E90" s="4" t="s">
        <v>149</v>
      </c>
      <c r="F90">
        <v>1121</v>
      </c>
      <c r="G90">
        <v>135</v>
      </c>
      <c r="H90">
        <v>18</v>
      </c>
      <c r="I90">
        <v>15694</v>
      </c>
      <c r="J90">
        <v>14957</v>
      </c>
      <c r="K90">
        <v>99</v>
      </c>
      <c r="L90" s="4" t="s">
        <v>30</v>
      </c>
      <c r="M90" s="4" t="s">
        <v>38</v>
      </c>
      <c r="N90">
        <v>8.1177520071364848E-2</v>
      </c>
    </row>
    <row r="91" spans="1:14" hidden="1" x14ac:dyDescent="0.3">
      <c r="A91" s="4" t="s">
        <v>454</v>
      </c>
      <c r="B91" s="4" t="s">
        <v>33</v>
      </c>
      <c r="C91" s="5">
        <v>45474</v>
      </c>
      <c r="D91" s="4" t="s">
        <v>35</v>
      </c>
      <c r="E91" s="4" t="s">
        <v>36</v>
      </c>
      <c r="F91">
        <v>4808</v>
      </c>
      <c r="G91">
        <v>772</v>
      </c>
      <c r="H91">
        <v>320</v>
      </c>
      <c r="I91">
        <v>72120</v>
      </c>
      <c r="J91">
        <v>71696</v>
      </c>
      <c r="K91">
        <v>195</v>
      </c>
      <c r="L91" s="4" t="s">
        <v>37</v>
      </c>
      <c r="M91" s="4" t="s">
        <v>19</v>
      </c>
      <c r="N91">
        <v>8.1808097615085965E-2</v>
      </c>
    </row>
    <row r="92" spans="1:14" hidden="1" x14ac:dyDescent="0.3">
      <c r="A92" s="4" t="s">
        <v>181</v>
      </c>
      <c r="B92" s="4" t="s">
        <v>43</v>
      </c>
      <c r="C92" s="5">
        <v>45521</v>
      </c>
      <c r="D92" s="4" t="s">
        <v>52</v>
      </c>
      <c r="E92" s="4" t="s">
        <v>59</v>
      </c>
      <c r="F92">
        <v>2878</v>
      </c>
      <c r="G92">
        <v>248</v>
      </c>
      <c r="H92">
        <v>416</v>
      </c>
      <c r="I92">
        <v>43170</v>
      </c>
      <c r="J92">
        <v>42667</v>
      </c>
      <c r="K92">
        <v>75</v>
      </c>
      <c r="L92" s="4" t="s">
        <v>62</v>
      </c>
      <c r="M92" s="4" t="s">
        <v>31</v>
      </c>
      <c r="N92">
        <v>8.2047718322909427E-2</v>
      </c>
    </row>
    <row r="93" spans="1:14" hidden="1" x14ac:dyDescent="0.3">
      <c r="A93" s="4" t="s">
        <v>207</v>
      </c>
      <c r="B93" s="4" t="s">
        <v>14</v>
      </c>
      <c r="C93" s="5">
        <v>45460</v>
      </c>
      <c r="D93" s="4" t="s">
        <v>52</v>
      </c>
      <c r="E93" s="4" t="s">
        <v>132</v>
      </c>
      <c r="F93">
        <v>954</v>
      </c>
      <c r="G93">
        <v>324</v>
      </c>
      <c r="H93">
        <v>288</v>
      </c>
      <c r="I93">
        <v>19080</v>
      </c>
      <c r="J93">
        <v>18859</v>
      </c>
      <c r="K93">
        <v>21</v>
      </c>
      <c r="L93" s="4" t="s">
        <v>62</v>
      </c>
      <c r="M93" s="4" t="s">
        <v>38</v>
      </c>
      <c r="N93">
        <v>8.2075471698113203E-2</v>
      </c>
    </row>
    <row r="94" spans="1:14" hidden="1" x14ac:dyDescent="0.3">
      <c r="A94" s="4" t="s">
        <v>415</v>
      </c>
      <c r="B94" s="4" t="s">
        <v>43</v>
      </c>
      <c r="C94" s="5">
        <v>45445</v>
      </c>
      <c r="D94" s="4" t="s">
        <v>52</v>
      </c>
      <c r="E94" s="4" t="s">
        <v>59</v>
      </c>
      <c r="F94">
        <v>1871</v>
      </c>
      <c r="G94">
        <v>252</v>
      </c>
      <c r="H94">
        <v>335</v>
      </c>
      <c r="I94">
        <v>29936</v>
      </c>
      <c r="J94">
        <v>29576</v>
      </c>
      <c r="K94">
        <v>288</v>
      </c>
      <c r="L94" s="4" t="s">
        <v>37</v>
      </c>
      <c r="M94" s="4" t="s">
        <v>31</v>
      </c>
      <c r="N94">
        <v>8.2108498129342594E-2</v>
      </c>
    </row>
    <row r="95" spans="1:14" hidden="1" x14ac:dyDescent="0.3">
      <c r="A95" s="4" t="s">
        <v>432</v>
      </c>
      <c r="B95" s="4" t="s">
        <v>43</v>
      </c>
      <c r="C95" s="5">
        <v>45778</v>
      </c>
      <c r="D95" s="4" t="s">
        <v>45</v>
      </c>
      <c r="E95" s="4" t="s">
        <v>46</v>
      </c>
      <c r="F95">
        <v>2696</v>
      </c>
      <c r="G95">
        <v>628</v>
      </c>
      <c r="H95">
        <v>443</v>
      </c>
      <c r="I95">
        <v>45832</v>
      </c>
      <c r="J95">
        <v>45632</v>
      </c>
      <c r="K95">
        <v>248</v>
      </c>
      <c r="L95" s="4" t="s">
        <v>37</v>
      </c>
      <c r="M95" s="4" t="s">
        <v>38</v>
      </c>
      <c r="N95">
        <v>8.21914819340199E-2</v>
      </c>
    </row>
    <row r="96" spans="1:14" hidden="1" x14ac:dyDescent="0.3">
      <c r="A96" s="4" t="s">
        <v>426</v>
      </c>
      <c r="B96" s="4" t="s">
        <v>14</v>
      </c>
      <c r="C96" s="5">
        <v>45735</v>
      </c>
      <c r="D96" s="4" t="s">
        <v>74</v>
      </c>
      <c r="E96" s="4" t="s">
        <v>145</v>
      </c>
      <c r="F96">
        <v>3160</v>
      </c>
      <c r="G96">
        <v>204</v>
      </c>
      <c r="H96">
        <v>297</v>
      </c>
      <c r="I96">
        <v>44240</v>
      </c>
      <c r="J96">
        <v>43666</v>
      </c>
      <c r="K96">
        <v>49</v>
      </c>
      <c r="L96" s="4" t="s">
        <v>62</v>
      </c>
      <c r="M96" s="4" t="s">
        <v>38</v>
      </c>
      <c r="N96">
        <v>8.2753164556962022E-2</v>
      </c>
    </row>
    <row r="97" spans="1:14" hidden="1" x14ac:dyDescent="0.3">
      <c r="A97" s="4" t="s">
        <v>426</v>
      </c>
      <c r="B97" s="4" t="s">
        <v>14</v>
      </c>
      <c r="C97" s="5">
        <v>45735</v>
      </c>
      <c r="D97" s="4" t="s">
        <v>74</v>
      </c>
      <c r="E97" s="4" t="s">
        <v>145</v>
      </c>
      <c r="F97">
        <v>3160</v>
      </c>
      <c r="G97">
        <v>204</v>
      </c>
      <c r="H97">
        <v>297</v>
      </c>
      <c r="I97">
        <v>44240</v>
      </c>
      <c r="J97">
        <v>43666</v>
      </c>
      <c r="K97">
        <v>49</v>
      </c>
      <c r="L97" s="4" t="s">
        <v>613</v>
      </c>
      <c r="M97" s="4" t="s">
        <v>38</v>
      </c>
      <c r="N97">
        <v>8.2753164556962022E-2</v>
      </c>
    </row>
    <row r="98" spans="1:14" hidden="1" x14ac:dyDescent="0.3">
      <c r="A98" s="4" t="s">
        <v>506</v>
      </c>
      <c r="B98" s="4" t="s">
        <v>33</v>
      </c>
      <c r="C98" s="5">
        <v>45592</v>
      </c>
      <c r="D98" s="4" t="s">
        <v>52</v>
      </c>
      <c r="E98" s="4" t="s">
        <v>215</v>
      </c>
      <c r="F98">
        <v>4853</v>
      </c>
      <c r="G98">
        <v>837</v>
      </c>
      <c r="H98">
        <v>340</v>
      </c>
      <c r="I98">
        <v>72795</v>
      </c>
      <c r="J98">
        <v>72237</v>
      </c>
      <c r="K98">
        <v>170</v>
      </c>
      <c r="L98" s="4" t="s">
        <v>37</v>
      </c>
      <c r="M98" s="4" t="s">
        <v>19</v>
      </c>
      <c r="N98">
        <v>8.2835359571399134E-2</v>
      </c>
    </row>
    <row r="99" spans="1:14" hidden="1" x14ac:dyDescent="0.3">
      <c r="A99" s="4" t="s">
        <v>535</v>
      </c>
      <c r="B99" s="4" t="s">
        <v>27</v>
      </c>
      <c r="C99" s="5">
        <v>45586</v>
      </c>
      <c r="D99" s="4" t="s">
        <v>74</v>
      </c>
      <c r="E99" s="4" t="s">
        <v>219</v>
      </c>
      <c r="F99">
        <v>4275</v>
      </c>
      <c r="G99">
        <v>680</v>
      </c>
      <c r="H99">
        <v>385</v>
      </c>
      <c r="I99">
        <v>64125</v>
      </c>
      <c r="J99">
        <v>63650</v>
      </c>
      <c r="K99">
        <v>104</v>
      </c>
      <c r="L99" s="4" t="s">
        <v>37</v>
      </c>
      <c r="M99" s="4" t="s">
        <v>38</v>
      </c>
      <c r="N99">
        <v>8.3274853801169585E-2</v>
      </c>
    </row>
    <row r="100" spans="1:14" hidden="1" x14ac:dyDescent="0.3">
      <c r="A100" s="4" t="s">
        <v>535</v>
      </c>
      <c r="B100" s="4" t="s">
        <v>27</v>
      </c>
      <c r="C100" s="5">
        <v>45586</v>
      </c>
      <c r="D100" s="4" t="s">
        <v>74</v>
      </c>
      <c r="E100" s="4" t="s">
        <v>219</v>
      </c>
      <c r="F100">
        <v>4275</v>
      </c>
      <c r="G100">
        <v>680</v>
      </c>
      <c r="H100">
        <v>385</v>
      </c>
      <c r="I100">
        <v>64125</v>
      </c>
      <c r="J100">
        <v>63650</v>
      </c>
      <c r="K100">
        <v>104</v>
      </c>
      <c r="L100" s="4" t="s">
        <v>30</v>
      </c>
      <c r="M100" s="4" t="s">
        <v>38</v>
      </c>
      <c r="N100">
        <v>8.3274853801169585E-2</v>
      </c>
    </row>
    <row r="101" spans="1:14" hidden="1" x14ac:dyDescent="0.3">
      <c r="A101" s="4" t="s">
        <v>535</v>
      </c>
      <c r="B101" s="4" t="s">
        <v>27</v>
      </c>
      <c r="C101" s="5">
        <v>45586</v>
      </c>
      <c r="D101" s="4" t="s">
        <v>74</v>
      </c>
      <c r="E101" s="4" t="s">
        <v>219</v>
      </c>
      <c r="F101">
        <v>4275</v>
      </c>
      <c r="G101">
        <v>680</v>
      </c>
      <c r="H101">
        <v>385</v>
      </c>
      <c r="I101">
        <v>64125</v>
      </c>
      <c r="J101">
        <v>63650</v>
      </c>
      <c r="K101">
        <v>104</v>
      </c>
      <c r="L101" s="4" t="s">
        <v>613</v>
      </c>
      <c r="M101" s="4" t="s">
        <v>38</v>
      </c>
      <c r="N101">
        <v>8.3274853801169585E-2</v>
      </c>
    </row>
    <row r="102" spans="1:14" hidden="1" x14ac:dyDescent="0.3">
      <c r="A102" s="4" t="s">
        <v>566</v>
      </c>
      <c r="B102" s="4" t="s">
        <v>14</v>
      </c>
      <c r="C102" s="5">
        <v>45535</v>
      </c>
      <c r="D102" s="4" t="s">
        <v>45</v>
      </c>
      <c r="E102" s="4" t="s">
        <v>49</v>
      </c>
      <c r="F102">
        <v>4494</v>
      </c>
      <c r="G102">
        <v>717</v>
      </c>
      <c r="H102">
        <v>45</v>
      </c>
      <c r="I102">
        <v>62916</v>
      </c>
      <c r="J102">
        <v>62688</v>
      </c>
      <c r="K102">
        <v>191</v>
      </c>
      <c r="L102" s="4" t="s">
        <v>30</v>
      </c>
      <c r="M102" s="4" t="s">
        <v>19</v>
      </c>
      <c r="N102">
        <v>8.3539958039290485E-2</v>
      </c>
    </row>
    <row r="103" spans="1:14" hidden="1" x14ac:dyDescent="0.3">
      <c r="A103" s="4" t="s">
        <v>566</v>
      </c>
      <c r="B103" s="4" t="s">
        <v>14</v>
      </c>
      <c r="C103" s="5">
        <v>45535</v>
      </c>
      <c r="D103" s="4" t="s">
        <v>45</v>
      </c>
      <c r="E103" s="4" t="s">
        <v>49</v>
      </c>
      <c r="F103">
        <v>4494</v>
      </c>
      <c r="G103">
        <v>717</v>
      </c>
      <c r="H103">
        <v>45</v>
      </c>
      <c r="I103">
        <v>62916</v>
      </c>
      <c r="J103">
        <v>62688</v>
      </c>
      <c r="K103">
        <v>191</v>
      </c>
      <c r="L103" s="4" t="s">
        <v>37</v>
      </c>
      <c r="M103" s="4" t="s">
        <v>19</v>
      </c>
      <c r="N103">
        <v>8.3539958039290485E-2</v>
      </c>
    </row>
    <row r="104" spans="1:14" hidden="1" x14ac:dyDescent="0.3">
      <c r="A104" s="4" t="s">
        <v>566</v>
      </c>
      <c r="B104" s="4" t="s">
        <v>14</v>
      </c>
      <c r="C104" s="5">
        <v>45535</v>
      </c>
      <c r="D104" s="4" t="s">
        <v>45</v>
      </c>
      <c r="E104" s="4" t="s">
        <v>49</v>
      </c>
      <c r="F104">
        <v>4494</v>
      </c>
      <c r="G104">
        <v>717</v>
      </c>
      <c r="H104">
        <v>45</v>
      </c>
      <c r="I104">
        <v>62916</v>
      </c>
      <c r="J104">
        <v>62688</v>
      </c>
      <c r="K104">
        <v>191</v>
      </c>
      <c r="L104" s="4" t="s">
        <v>614</v>
      </c>
      <c r="M104" s="4" t="s">
        <v>19</v>
      </c>
      <c r="N104">
        <v>8.3539958039290485E-2</v>
      </c>
    </row>
    <row r="105" spans="1:14" hidden="1" x14ac:dyDescent="0.3">
      <c r="A105" s="4" t="s">
        <v>391</v>
      </c>
      <c r="B105" s="4" t="s">
        <v>14</v>
      </c>
      <c r="C105" s="5">
        <v>45648</v>
      </c>
      <c r="D105" s="4" t="s">
        <v>16</v>
      </c>
      <c r="E105" s="4" t="s">
        <v>17</v>
      </c>
      <c r="F105">
        <v>1644</v>
      </c>
      <c r="G105">
        <v>546</v>
      </c>
      <c r="H105">
        <v>150</v>
      </c>
      <c r="I105">
        <v>27948</v>
      </c>
      <c r="J105">
        <v>27184</v>
      </c>
      <c r="K105">
        <v>300</v>
      </c>
      <c r="L105" s="4" t="s">
        <v>37</v>
      </c>
      <c r="M105" s="4" t="s">
        <v>31</v>
      </c>
      <c r="N105">
        <v>8.3726921425504502E-2</v>
      </c>
    </row>
    <row r="106" spans="1:14" hidden="1" x14ac:dyDescent="0.3">
      <c r="A106" s="4" t="s">
        <v>550</v>
      </c>
      <c r="B106" s="4" t="s">
        <v>33</v>
      </c>
      <c r="C106" s="5">
        <v>45646</v>
      </c>
      <c r="D106" s="4" t="s">
        <v>45</v>
      </c>
      <c r="E106" s="4" t="s">
        <v>88</v>
      </c>
      <c r="F106">
        <v>2107</v>
      </c>
      <c r="G106">
        <v>550</v>
      </c>
      <c r="H106">
        <v>349</v>
      </c>
      <c r="I106">
        <v>35819</v>
      </c>
      <c r="J106">
        <v>35340</v>
      </c>
      <c r="K106">
        <v>191</v>
      </c>
      <c r="L106" s="4" t="s">
        <v>37</v>
      </c>
      <c r="M106" s="4" t="s">
        <v>38</v>
      </c>
      <c r="N106">
        <v>8.3921940869371006E-2</v>
      </c>
    </row>
    <row r="107" spans="1:14" hidden="1" x14ac:dyDescent="0.3">
      <c r="A107" s="4" t="s">
        <v>517</v>
      </c>
      <c r="B107" s="4" t="s">
        <v>33</v>
      </c>
      <c r="C107" s="5">
        <v>45760</v>
      </c>
      <c r="D107" s="4" t="s">
        <v>16</v>
      </c>
      <c r="E107" s="4" t="s">
        <v>82</v>
      </c>
      <c r="F107">
        <v>4579</v>
      </c>
      <c r="G107">
        <v>125</v>
      </c>
      <c r="H107">
        <v>300</v>
      </c>
      <c r="I107">
        <v>59527</v>
      </c>
      <c r="J107">
        <v>59400</v>
      </c>
      <c r="K107">
        <v>269</v>
      </c>
      <c r="L107" s="4" t="s">
        <v>37</v>
      </c>
      <c r="M107" s="4" t="s">
        <v>19</v>
      </c>
      <c r="N107">
        <v>8.4062694239588759E-2</v>
      </c>
    </row>
    <row r="108" spans="1:14" hidden="1" x14ac:dyDescent="0.3">
      <c r="A108" s="4" t="s">
        <v>402</v>
      </c>
      <c r="B108" s="4" t="s">
        <v>27</v>
      </c>
      <c r="C108" s="5">
        <v>45567</v>
      </c>
      <c r="D108" s="4" t="s">
        <v>35</v>
      </c>
      <c r="E108" s="4" t="s">
        <v>154</v>
      </c>
      <c r="F108">
        <v>4350</v>
      </c>
      <c r="G108">
        <v>771</v>
      </c>
      <c r="H108">
        <v>7</v>
      </c>
      <c r="I108">
        <v>60900</v>
      </c>
      <c r="J108">
        <v>60592</v>
      </c>
      <c r="K108">
        <v>195</v>
      </c>
      <c r="L108" s="4" t="s">
        <v>37</v>
      </c>
      <c r="M108" s="4" t="s">
        <v>19</v>
      </c>
      <c r="N108">
        <v>8.4203612479474554E-2</v>
      </c>
    </row>
    <row r="109" spans="1:14" hidden="1" x14ac:dyDescent="0.3">
      <c r="A109" s="4" t="s">
        <v>390</v>
      </c>
      <c r="B109" s="4" t="s">
        <v>43</v>
      </c>
      <c r="C109" s="5">
        <v>45528</v>
      </c>
      <c r="D109" s="4" t="s">
        <v>45</v>
      </c>
      <c r="E109" s="4" t="s">
        <v>46</v>
      </c>
      <c r="F109">
        <v>4292</v>
      </c>
      <c r="G109">
        <v>51</v>
      </c>
      <c r="H109">
        <v>392</v>
      </c>
      <c r="I109">
        <v>55796</v>
      </c>
      <c r="J109">
        <v>54826</v>
      </c>
      <c r="K109">
        <v>264</v>
      </c>
      <c r="L109" s="4" t="s">
        <v>37</v>
      </c>
      <c r="M109" s="4" t="s">
        <v>31</v>
      </c>
      <c r="N109">
        <v>8.4862714173059003E-2</v>
      </c>
    </row>
    <row r="110" spans="1:14" hidden="1" x14ac:dyDescent="0.3">
      <c r="A110" s="4" t="s">
        <v>393</v>
      </c>
      <c r="B110" s="4" t="s">
        <v>27</v>
      </c>
      <c r="C110" s="5">
        <v>45449</v>
      </c>
      <c r="D110" s="4" t="s">
        <v>16</v>
      </c>
      <c r="E110" s="4" t="s">
        <v>29</v>
      </c>
      <c r="F110">
        <v>2728</v>
      </c>
      <c r="G110">
        <v>533</v>
      </c>
      <c r="H110">
        <v>215</v>
      </c>
      <c r="I110">
        <v>40920</v>
      </c>
      <c r="J110">
        <v>40816</v>
      </c>
      <c r="K110">
        <v>137</v>
      </c>
      <c r="L110" s="4" t="s">
        <v>62</v>
      </c>
      <c r="M110" s="4" t="s">
        <v>25</v>
      </c>
      <c r="N110">
        <v>8.4946236559139784E-2</v>
      </c>
    </row>
    <row r="111" spans="1:14" hidden="1" x14ac:dyDescent="0.3">
      <c r="A111" s="4" t="s">
        <v>410</v>
      </c>
      <c r="B111" s="4" t="s">
        <v>27</v>
      </c>
      <c r="C111" s="5">
        <v>45626</v>
      </c>
      <c r="D111" s="4" t="s">
        <v>45</v>
      </c>
      <c r="E111" s="4" t="s">
        <v>68</v>
      </c>
      <c r="F111">
        <v>2509</v>
      </c>
      <c r="G111">
        <v>324</v>
      </c>
      <c r="H111">
        <v>171</v>
      </c>
      <c r="I111">
        <v>35126</v>
      </c>
      <c r="J111">
        <v>34685</v>
      </c>
      <c r="K111">
        <v>277</v>
      </c>
      <c r="L111" s="4" t="s">
        <v>30</v>
      </c>
      <c r="M111" s="4" t="s">
        <v>25</v>
      </c>
      <c r="N111">
        <v>8.5520696919660646E-2</v>
      </c>
    </row>
    <row r="112" spans="1:14" hidden="1" x14ac:dyDescent="0.3">
      <c r="A112" s="4" t="s">
        <v>213</v>
      </c>
      <c r="B112" s="4" t="s">
        <v>33</v>
      </c>
      <c r="C112" s="5">
        <v>45497</v>
      </c>
      <c r="D112" s="4" t="s">
        <v>52</v>
      </c>
      <c r="E112" s="4" t="s">
        <v>215</v>
      </c>
      <c r="F112">
        <v>725</v>
      </c>
      <c r="G112">
        <v>88</v>
      </c>
      <c r="H112">
        <v>428</v>
      </c>
      <c r="I112">
        <v>14500</v>
      </c>
      <c r="J112">
        <v>13637</v>
      </c>
      <c r="K112">
        <v>200</v>
      </c>
      <c r="L112" s="4" t="s">
        <v>62</v>
      </c>
      <c r="M112" s="4" t="s">
        <v>31</v>
      </c>
      <c r="N112">
        <v>8.558620689655172E-2</v>
      </c>
    </row>
    <row r="113" spans="1:14" hidden="1" x14ac:dyDescent="0.3">
      <c r="A113" s="4" t="s">
        <v>213</v>
      </c>
      <c r="B113" s="4" t="s">
        <v>33</v>
      </c>
      <c r="C113" s="5">
        <v>45497</v>
      </c>
      <c r="D113" s="4" t="s">
        <v>52</v>
      </c>
      <c r="E113" s="4" t="s">
        <v>215</v>
      </c>
      <c r="F113">
        <v>725</v>
      </c>
      <c r="G113">
        <v>88</v>
      </c>
      <c r="H113">
        <v>428</v>
      </c>
      <c r="I113">
        <v>14500</v>
      </c>
      <c r="J113">
        <v>13637</v>
      </c>
      <c r="K113">
        <v>200</v>
      </c>
      <c r="L113" s="4" t="s">
        <v>30</v>
      </c>
      <c r="M113" s="4" t="s">
        <v>31</v>
      </c>
      <c r="N113">
        <v>8.558620689655172E-2</v>
      </c>
    </row>
    <row r="114" spans="1:14" hidden="1" x14ac:dyDescent="0.3">
      <c r="A114" s="4" t="s">
        <v>213</v>
      </c>
      <c r="B114" s="4" t="s">
        <v>33</v>
      </c>
      <c r="C114" s="5">
        <v>45497</v>
      </c>
      <c r="D114" s="4" t="s">
        <v>52</v>
      </c>
      <c r="E114" s="4" t="s">
        <v>215</v>
      </c>
      <c r="F114">
        <v>725</v>
      </c>
      <c r="G114">
        <v>88</v>
      </c>
      <c r="H114">
        <v>428</v>
      </c>
      <c r="I114">
        <v>14500</v>
      </c>
      <c r="J114">
        <v>13637</v>
      </c>
      <c r="K114">
        <v>200</v>
      </c>
      <c r="L114" s="4" t="s">
        <v>613</v>
      </c>
      <c r="M114" s="4" t="s">
        <v>31</v>
      </c>
      <c r="N114">
        <v>8.558620689655172E-2</v>
      </c>
    </row>
    <row r="115" spans="1:14" hidden="1" x14ac:dyDescent="0.3">
      <c r="A115" s="4" t="s">
        <v>259</v>
      </c>
      <c r="B115" s="4" t="s">
        <v>33</v>
      </c>
      <c r="C115" s="5">
        <v>45692</v>
      </c>
      <c r="D115" s="4" t="s">
        <v>52</v>
      </c>
      <c r="E115" s="4" t="s">
        <v>215</v>
      </c>
      <c r="F115">
        <v>4619</v>
      </c>
      <c r="G115">
        <v>821</v>
      </c>
      <c r="H115">
        <v>499</v>
      </c>
      <c r="I115">
        <v>69285</v>
      </c>
      <c r="J115">
        <v>69141</v>
      </c>
      <c r="K115">
        <v>298</v>
      </c>
      <c r="L115" s="4" t="s">
        <v>30</v>
      </c>
      <c r="M115" s="4" t="s">
        <v>38</v>
      </c>
      <c r="N115">
        <v>8.5718409468138843E-2</v>
      </c>
    </row>
    <row r="116" spans="1:14" hidden="1" x14ac:dyDescent="0.3">
      <c r="A116" s="4" t="s">
        <v>458</v>
      </c>
      <c r="B116" s="4" t="s">
        <v>33</v>
      </c>
      <c r="C116" s="5">
        <v>45778</v>
      </c>
      <c r="D116" s="4" t="s">
        <v>22</v>
      </c>
      <c r="E116" s="4" t="s">
        <v>113</v>
      </c>
      <c r="F116">
        <v>1430</v>
      </c>
      <c r="G116">
        <v>376</v>
      </c>
      <c r="H116">
        <v>33</v>
      </c>
      <c r="I116">
        <v>21450</v>
      </c>
      <c r="J116">
        <v>20509</v>
      </c>
      <c r="K116">
        <v>251</v>
      </c>
      <c r="L116" s="4" t="s">
        <v>62</v>
      </c>
      <c r="M116" s="4" t="s">
        <v>19</v>
      </c>
      <c r="N116">
        <v>8.5734265734265735E-2</v>
      </c>
    </row>
    <row r="117" spans="1:14" hidden="1" x14ac:dyDescent="0.3">
      <c r="A117" s="4" t="s">
        <v>471</v>
      </c>
      <c r="B117" s="4" t="s">
        <v>14</v>
      </c>
      <c r="C117" s="5">
        <v>45530</v>
      </c>
      <c r="D117" s="4" t="s">
        <v>45</v>
      </c>
      <c r="E117" s="4" t="s">
        <v>49</v>
      </c>
      <c r="F117">
        <v>929</v>
      </c>
      <c r="G117">
        <v>192</v>
      </c>
      <c r="H117">
        <v>322</v>
      </c>
      <c r="I117">
        <v>16722</v>
      </c>
      <c r="J117">
        <v>15996</v>
      </c>
      <c r="K117">
        <v>145</v>
      </c>
      <c r="L117" s="4" t="s">
        <v>37</v>
      </c>
      <c r="M117" s="4" t="s">
        <v>31</v>
      </c>
      <c r="N117">
        <v>8.6293505561535699E-2</v>
      </c>
    </row>
    <row r="118" spans="1:14" hidden="1" x14ac:dyDescent="0.3">
      <c r="A118" s="4" t="s">
        <v>471</v>
      </c>
      <c r="B118" s="4" t="s">
        <v>14</v>
      </c>
      <c r="C118" s="5">
        <v>45530</v>
      </c>
      <c r="D118" s="4" t="s">
        <v>45</v>
      </c>
      <c r="E118" s="4" t="s">
        <v>49</v>
      </c>
      <c r="F118">
        <v>929</v>
      </c>
      <c r="G118">
        <v>192</v>
      </c>
      <c r="H118">
        <v>322</v>
      </c>
      <c r="I118">
        <v>16722</v>
      </c>
      <c r="J118">
        <v>15996</v>
      </c>
      <c r="K118">
        <v>145</v>
      </c>
      <c r="L118" s="4" t="s">
        <v>30</v>
      </c>
      <c r="M118" s="4" t="s">
        <v>31</v>
      </c>
      <c r="N118">
        <v>8.6293505561535699E-2</v>
      </c>
    </row>
    <row r="119" spans="1:14" hidden="1" x14ac:dyDescent="0.3">
      <c r="A119" s="4" t="s">
        <v>471</v>
      </c>
      <c r="B119" s="4" t="s">
        <v>14</v>
      </c>
      <c r="C119" s="5">
        <v>45530</v>
      </c>
      <c r="D119" s="4" t="s">
        <v>45</v>
      </c>
      <c r="E119" s="4" t="s">
        <v>49</v>
      </c>
      <c r="F119">
        <v>929</v>
      </c>
      <c r="G119">
        <v>192</v>
      </c>
      <c r="H119">
        <v>322</v>
      </c>
      <c r="I119">
        <v>16722</v>
      </c>
      <c r="J119">
        <v>15996</v>
      </c>
      <c r="K119">
        <v>145</v>
      </c>
      <c r="L119" s="4" t="s">
        <v>613</v>
      </c>
      <c r="M119" s="4" t="s">
        <v>31</v>
      </c>
      <c r="N119">
        <v>8.6293505561535699E-2</v>
      </c>
    </row>
    <row r="120" spans="1:14" hidden="1" x14ac:dyDescent="0.3">
      <c r="A120" s="4" t="s">
        <v>425</v>
      </c>
      <c r="B120" s="4" t="s">
        <v>27</v>
      </c>
      <c r="C120" s="5">
        <v>45467</v>
      </c>
      <c r="D120" s="4" t="s">
        <v>74</v>
      </c>
      <c r="E120" s="4" t="s">
        <v>219</v>
      </c>
      <c r="F120">
        <v>2949</v>
      </c>
      <c r="G120">
        <v>476</v>
      </c>
      <c r="H120">
        <v>403</v>
      </c>
      <c r="I120">
        <v>44235</v>
      </c>
      <c r="J120">
        <v>43705</v>
      </c>
      <c r="K120">
        <v>135</v>
      </c>
      <c r="L120" s="4" t="s">
        <v>30</v>
      </c>
      <c r="M120" s="4" t="s">
        <v>25</v>
      </c>
      <c r="N120">
        <v>8.6537809426924378E-2</v>
      </c>
    </row>
    <row r="121" spans="1:14" hidden="1" x14ac:dyDescent="0.3">
      <c r="A121" s="4" t="s">
        <v>351</v>
      </c>
      <c r="B121" s="4" t="s">
        <v>43</v>
      </c>
      <c r="C121" s="5">
        <v>45748</v>
      </c>
      <c r="D121" s="4" t="s">
        <v>35</v>
      </c>
      <c r="E121" s="4" t="s">
        <v>71</v>
      </c>
      <c r="F121">
        <v>3430</v>
      </c>
      <c r="G121">
        <v>566</v>
      </c>
      <c r="H121">
        <v>164</v>
      </c>
      <c r="I121">
        <v>48020</v>
      </c>
      <c r="J121">
        <v>47305</v>
      </c>
      <c r="K121">
        <v>120</v>
      </c>
      <c r="L121" s="4" t="s">
        <v>62</v>
      </c>
      <c r="M121" s="4"/>
      <c r="N121">
        <v>8.6630570595585168E-2</v>
      </c>
    </row>
    <row r="122" spans="1:14" hidden="1" x14ac:dyDescent="0.3">
      <c r="A122" s="4" t="s">
        <v>220</v>
      </c>
      <c r="B122" s="4" t="s">
        <v>43</v>
      </c>
      <c r="C122" s="5">
        <v>45635</v>
      </c>
      <c r="D122" s="4" t="s">
        <v>52</v>
      </c>
      <c r="E122" s="4" t="s">
        <v>59</v>
      </c>
      <c r="F122">
        <v>1841</v>
      </c>
      <c r="G122">
        <v>851</v>
      </c>
      <c r="H122">
        <v>342</v>
      </c>
      <c r="I122">
        <v>34979</v>
      </c>
      <c r="J122">
        <v>34154</v>
      </c>
      <c r="K122">
        <v>255</v>
      </c>
      <c r="L122" s="4" t="s">
        <v>62</v>
      </c>
      <c r="M122" s="4" t="s">
        <v>38</v>
      </c>
      <c r="N122">
        <v>8.6737756939878216E-2</v>
      </c>
    </row>
    <row r="123" spans="1:14" hidden="1" x14ac:dyDescent="0.3">
      <c r="A123" s="4" t="s">
        <v>492</v>
      </c>
      <c r="B123" s="4" t="s">
        <v>14</v>
      </c>
      <c r="C123" s="5">
        <v>45507</v>
      </c>
      <c r="D123" s="4" t="s">
        <v>16</v>
      </c>
      <c r="E123" s="4" t="s">
        <v>17</v>
      </c>
      <c r="F123">
        <v>3791</v>
      </c>
      <c r="G123">
        <v>593</v>
      </c>
      <c r="H123">
        <v>228</v>
      </c>
      <c r="I123">
        <v>53074</v>
      </c>
      <c r="J123">
        <v>52613</v>
      </c>
      <c r="K123">
        <v>205</v>
      </c>
      <c r="L123" s="4" t="s">
        <v>37</v>
      </c>
      <c r="M123" s="4"/>
      <c r="N123">
        <v>8.6897539284772202E-2</v>
      </c>
    </row>
    <row r="124" spans="1:14" hidden="1" x14ac:dyDescent="0.3">
      <c r="A124" s="4" t="s">
        <v>243</v>
      </c>
      <c r="B124" s="4" t="s">
        <v>33</v>
      </c>
      <c r="C124" s="5">
        <v>45517</v>
      </c>
      <c r="D124" s="4" t="s">
        <v>52</v>
      </c>
      <c r="E124" s="4" t="s">
        <v>215</v>
      </c>
      <c r="F124">
        <v>4739</v>
      </c>
      <c r="G124">
        <v>527</v>
      </c>
      <c r="H124">
        <v>135</v>
      </c>
      <c r="I124">
        <v>61607</v>
      </c>
      <c r="J124">
        <v>61333</v>
      </c>
      <c r="K124">
        <v>36</v>
      </c>
      <c r="L124" s="4" t="s">
        <v>30</v>
      </c>
      <c r="M124" s="4" t="s">
        <v>25</v>
      </c>
      <c r="N124">
        <v>8.7668609086629767E-2</v>
      </c>
    </row>
    <row r="125" spans="1:14" hidden="1" x14ac:dyDescent="0.3">
      <c r="A125" s="4" t="s">
        <v>243</v>
      </c>
      <c r="B125" s="4" t="s">
        <v>33</v>
      </c>
      <c r="C125" s="5">
        <v>45517</v>
      </c>
      <c r="D125" s="4" t="s">
        <v>52</v>
      </c>
      <c r="E125" s="4" t="s">
        <v>215</v>
      </c>
      <c r="F125">
        <v>4739</v>
      </c>
      <c r="G125">
        <v>527</v>
      </c>
      <c r="H125">
        <v>135</v>
      </c>
      <c r="I125">
        <v>61607</v>
      </c>
      <c r="J125">
        <v>61333</v>
      </c>
      <c r="K125">
        <v>36</v>
      </c>
      <c r="L125" s="4" t="s">
        <v>613</v>
      </c>
      <c r="M125" s="4" t="s">
        <v>25</v>
      </c>
      <c r="N125">
        <v>8.7668609086629767E-2</v>
      </c>
    </row>
    <row r="126" spans="1:14" hidden="1" x14ac:dyDescent="0.3">
      <c r="A126" s="4" t="s">
        <v>487</v>
      </c>
      <c r="B126" s="4" t="s">
        <v>14</v>
      </c>
      <c r="C126" s="5">
        <v>45491</v>
      </c>
      <c r="D126" s="4" t="s">
        <v>52</v>
      </c>
      <c r="E126" s="4" t="s">
        <v>132</v>
      </c>
      <c r="F126">
        <v>827</v>
      </c>
      <c r="G126">
        <v>77</v>
      </c>
      <c r="H126">
        <v>402</v>
      </c>
      <c r="I126">
        <v>14886</v>
      </c>
      <c r="J126">
        <v>14129</v>
      </c>
      <c r="K126">
        <v>254</v>
      </c>
      <c r="L126" s="4" t="s">
        <v>37</v>
      </c>
      <c r="M126" s="4" t="s">
        <v>25</v>
      </c>
      <c r="N126">
        <v>8.7733440816874911E-2</v>
      </c>
    </row>
    <row r="127" spans="1:14" hidden="1" x14ac:dyDescent="0.3">
      <c r="A127" s="4" t="s">
        <v>503</v>
      </c>
      <c r="B127" s="4" t="s">
        <v>33</v>
      </c>
      <c r="C127" s="5">
        <v>45700</v>
      </c>
      <c r="D127" s="4" t="s">
        <v>35</v>
      </c>
      <c r="E127" s="4" t="s">
        <v>36</v>
      </c>
      <c r="F127">
        <v>4332</v>
      </c>
      <c r="G127">
        <v>771</v>
      </c>
      <c r="H127">
        <v>219</v>
      </c>
      <c r="I127">
        <v>60648</v>
      </c>
      <c r="J127">
        <v>60397</v>
      </c>
      <c r="K127">
        <v>10</v>
      </c>
      <c r="L127" s="4" t="s">
        <v>30</v>
      </c>
      <c r="M127" s="4" t="s">
        <v>31</v>
      </c>
      <c r="N127">
        <v>8.7752275425405618E-2</v>
      </c>
    </row>
    <row r="128" spans="1:14" hidden="1" x14ac:dyDescent="0.3">
      <c r="A128" s="4" t="s">
        <v>503</v>
      </c>
      <c r="B128" s="4" t="s">
        <v>33</v>
      </c>
      <c r="C128" s="5">
        <v>45700</v>
      </c>
      <c r="D128" s="4" t="s">
        <v>35</v>
      </c>
      <c r="E128" s="4" t="s">
        <v>36</v>
      </c>
      <c r="F128">
        <v>4332</v>
      </c>
      <c r="G128">
        <v>771</v>
      </c>
      <c r="H128">
        <v>219</v>
      </c>
      <c r="I128">
        <v>60648</v>
      </c>
      <c r="J128">
        <v>60397</v>
      </c>
      <c r="K128">
        <v>10</v>
      </c>
      <c r="L128" s="4" t="s">
        <v>37</v>
      </c>
      <c r="M128" s="4" t="s">
        <v>31</v>
      </c>
      <c r="N128">
        <v>8.7752275425405618E-2</v>
      </c>
    </row>
    <row r="129" spans="1:14" hidden="1" x14ac:dyDescent="0.3">
      <c r="A129" s="4" t="s">
        <v>503</v>
      </c>
      <c r="B129" s="4" t="s">
        <v>33</v>
      </c>
      <c r="C129" s="5">
        <v>45700</v>
      </c>
      <c r="D129" s="4" t="s">
        <v>35</v>
      </c>
      <c r="E129" s="4" t="s">
        <v>36</v>
      </c>
      <c r="F129">
        <v>4332</v>
      </c>
      <c r="G129">
        <v>771</v>
      </c>
      <c r="H129">
        <v>219</v>
      </c>
      <c r="I129">
        <v>60648</v>
      </c>
      <c r="J129">
        <v>60397</v>
      </c>
      <c r="K129">
        <v>10</v>
      </c>
      <c r="L129" s="4" t="s">
        <v>614</v>
      </c>
      <c r="M129" s="4" t="s">
        <v>31</v>
      </c>
      <c r="N129">
        <v>8.7752275425405618E-2</v>
      </c>
    </row>
    <row r="130" spans="1:14" hidden="1" x14ac:dyDescent="0.3">
      <c r="A130" s="4" t="s">
        <v>54</v>
      </c>
      <c r="B130" s="4" t="s">
        <v>43</v>
      </c>
      <c r="C130" s="5">
        <v>45534</v>
      </c>
      <c r="D130" s="4" t="s">
        <v>22</v>
      </c>
      <c r="E130" s="4" t="s">
        <v>56</v>
      </c>
      <c r="F130">
        <v>3784</v>
      </c>
      <c r="G130">
        <v>808</v>
      </c>
      <c r="H130">
        <v>404</v>
      </c>
      <c r="I130">
        <v>56760</v>
      </c>
      <c r="J130">
        <v>56343</v>
      </c>
      <c r="K130">
        <v>131</v>
      </c>
      <c r="L130" s="4" t="s">
        <v>30</v>
      </c>
      <c r="M130" s="4" t="s">
        <v>25</v>
      </c>
      <c r="N130">
        <v>8.8019732205778717E-2</v>
      </c>
    </row>
    <row r="131" spans="1:14" hidden="1" x14ac:dyDescent="0.3">
      <c r="A131" s="4" t="s">
        <v>196</v>
      </c>
      <c r="B131" s="4" t="s">
        <v>27</v>
      </c>
      <c r="C131" s="5">
        <v>45719</v>
      </c>
      <c r="D131" s="4" t="s">
        <v>16</v>
      </c>
      <c r="E131" s="4" t="s">
        <v>29</v>
      </c>
      <c r="F131">
        <v>296</v>
      </c>
      <c r="G131">
        <v>60</v>
      </c>
      <c r="H131">
        <v>141</v>
      </c>
      <c r="I131">
        <v>5624</v>
      </c>
      <c r="J131">
        <v>5239</v>
      </c>
      <c r="K131">
        <v>88</v>
      </c>
      <c r="L131" s="4" t="s">
        <v>37</v>
      </c>
      <c r="M131" s="4" t="s">
        <v>25</v>
      </c>
      <c r="N131">
        <v>8.837126600284495E-2</v>
      </c>
    </row>
    <row r="132" spans="1:14" hidden="1" x14ac:dyDescent="0.3">
      <c r="A132" s="4" t="s">
        <v>208</v>
      </c>
      <c r="B132" s="4" t="s">
        <v>33</v>
      </c>
      <c r="C132" s="5">
        <v>45574</v>
      </c>
      <c r="D132" s="4" t="s">
        <v>45</v>
      </c>
      <c r="E132" s="4" t="s">
        <v>88</v>
      </c>
      <c r="F132">
        <v>3068</v>
      </c>
      <c r="G132">
        <v>137</v>
      </c>
      <c r="H132">
        <v>329</v>
      </c>
      <c r="I132">
        <v>39884</v>
      </c>
      <c r="J132">
        <v>39404</v>
      </c>
      <c r="K132">
        <v>266</v>
      </c>
      <c r="L132" s="4" t="s">
        <v>37</v>
      </c>
      <c r="M132" s="4" t="s">
        <v>25</v>
      </c>
      <c r="N132">
        <v>8.860696018453515E-2</v>
      </c>
    </row>
    <row r="133" spans="1:14" hidden="1" x14ac:dyDescent="0.3">
      <c r="A133" s="4" t="s">
        <v>298</v>
      </c>
      <c r="B133" s="4" t="s">
        <v>27</v>
      </c>
      <c r="C133" s="5">
        <v>45564</v>
      </c>
      <c r="D133" s="4" t="s">
        <v>16</v>
      </c>
      <c r="E133" s="4" t="s">
        <v>29</v>
      </c>
      <c r="F133">
        <v>2936</v>
      </c>
      <c r="G133">
        <v>439</v>
      </c>
      <c r="H133">
        <v>44</v>
      </c>
      <c r="I133">
        <v>38168</v>
      </c>
      <c r="J133">
        <v>37571</v>
      </c>
      <c r="K133">
        <v>22</v>
      </c>
      <c r="L133" s="4" t="s">
        <v>37</v>
      </c>
      <c r="M133" s="4" t="s">
        <v>38</v>
      </c>
      <c r="N133">
        <v>8.9577656675749323E-2</v>
      </c>
    </row>
    <row r="134" spans="1:14" hidden="1" x14ac:dyDescent="0.3">
      <c r="A134" s="4" t="s">
        <v>100</v>
      </c>
      <c r="B134" s="4" t="s">
        <v>27</v>
      </c>
      <c r="C134" s="5">
        <v>45752</v>
      </c>
      <c r="D134" s="4" t="s">
        <v>16</v>
      </c>
      <c r="E134" s="4" t="s">
        <v>29</v>
      </c>
      <c r="F134">
        <v>3009</v>
      </c>
      <c r="G134">
        <v>413</v>
      </c>
      <c r="H134">
        <v>358</v>
      </c>
      <c r="I134">
        <v>42126</v>
      </c>
      <c r="J134">
        <v>41309</v>
      </c>
      <c r="K134">
        <v>211</v>
      </c>
      <c r="L134" s="4" t="s">
        <v>62</v>
      </c>
      <c r="M134" s="4" t="s">
        <v>25</v>
      </c>
      <c r="N134">
        <v>8.9730807577268201E-2</v>
      </c>
    </row>
    <row r="135" spans="1:14" hidden="1" x14ac:dyDescent="0.3">
      <c r="A135" s="4" t="s">
        <v>380</v>
      </c>
      <c r="B135" s="4" t="s">
        <v>27</v>
      </c>
      <c r="C135" s="5">
        <v>45629</v>
      </c>
      <c r="D135" s="4" t="s">
        <v>22</v>
      </c>
      <c r="E135" s="4" t="s">
        <v>104</v>
      </c>
      <c r="F135">
        <v>3711</v>
      </c>
      <c r="G135">
        <v>352</v>
      </c>
      <c r="H135">
        <v>290</v>
      </c>
      <c r="I135">
        <v>48243</v>
      </c>
      <c r="J135">
        <v>47579</v>
      </c>
      <c r="K135">
        <v>11</v>
      </c>
      <c r="L135" s="4" t="s">
        <v>30</v>
      </c>
      <c r="M135" s="4" t="s">
        <v>19</v>
      </c>
      <c r="N135">
        <v>9.023070704558174E-2</v>
      </c>
    </row>
    <row r="136" spans="1:14" hidden="1" x14ac:dyDescent="0.3">
      <c r="A136" s="4" t="s">
        <v>413</v>
      </c>
      <c r="B136" s="4" t="s">
        <v>14</v>
      </c>
      <c r="C136" s="5">
        <v>45672</v>
      </c>
      <c r="D136" s="4" t="s">
        <v>16</v>
      </c>
      <c r="E136" s="4" t="s">
        <v>17</v>
      </c>
      <c r="F136">
        <v>802</v>
      </c>
      <c r="G136">
        <v>262</v>
      </c>
      <c r="H136">
        <v>244</v>
      </c>
      <c r="I136">
        <v>14436</v>
      </c>
      <c r="J136">
        <v>14280</v>
      </c>
      <c r="K136">
        <v>49</v>
      </c>
      <c r="L136" s="4" t="s">
        <v>37</v>
      </c>
      <c r="M136" s="4" t="s">
        <v>19</v>
      </c>
      <c r="N136">
        <v>9.0606816292601824E-2</v>
      </c>
    </row>
    <row r="137" spans="1:14" hidden="1" x14ac:dyDescent="0.3">
      <c r="A137" s="4" t="s">
        <v>13</v>
      </c>
      <c r="B137" s="4" t="s">
        <v>14</v>
      </c>
      <c r="C137" s="5">
        <v>45649</v>
      </c>
      <c r="D137" s="4" t="s">
        <v>16</v>
      </c>
      <c r="E137" s="4" t="s">
        <v>17</v>
      </c>
      <c r="F137">
        <v>1461</v>
      </c>
      <c r="G137">
        <v>184</v>
      </c>
      <c r="H137">
        <v>344</v>
      </c>
      <c r="I137">
        <v>21915</v>
      </c>
      <c r="J137">
        <v>21675</v>
      </c>
      <c r="K137">
        <v>15</v>
      </c>
      <c r="L137" s="4" t="s">
        <v>62</v>
      </c>
      <c r="M137" s="4" t="s">
        <v>19</v>
      </c>
      <c r="N137">
        <v>9.0759753593429152E-2</v>
      </c>
    </row>
    <row r="138" spans="1:14" hidden="1" x14ac:dyDescent="0.3">
      <c r="A138" s="4" t="s">
        <v>13</v>
      </c>
      <c r="B138" s="4" t="s">
        <v>14</v>
      </c>
      <c r="C138" s="5">
        <v>45649</v>
      </c>
      <c r="D138" s="4" t="s">
        <v>16</v>
      </c>
      <c r="E138" s="4" t="s">
        <v>17</v>
      </c>
      <c r="F138">
        <v>1461</v>
      </c>
      <c r="G138">
        <v>184</v>
      </c>
      <c r="H138">
        <v>344</v>
      </c>
      <c r="I138">
        <v>21915</v>
      </c>
      <c r="J138">
        <v>21675</v>
      </c>
      <c r="K138">
        <v>15</v>
      </c>
      <c r="L138" s="4" t="s">
        <v>613</v>
      </c>
      <c r="M138" s="4" t="s">
        <v>19</v>
      </c>
      <c r="N138">
        <v>9.0759753593429152E-2</v>
      </c>
    </row>
    <row r="139" spans="1:14" hidden="1" x14ac:dyDescent="0.3">
      <c r="A139" s="4" t="s">
        <v>347</v>
      </c>
      <c r="B139" s="4" t="s">
        <v>14</v>
      </c>
      <c r="C139" s="5">
        <v>45528</v>
      </c>
      <c r="D139" s="4" t="s">
        <v>74</v>
      </c>
      <c r="E139" s="4" t="s">
        <v>145</v>
      </c>
      <c r="F139">
        <v>1082</v>
      </c>
      <c r="G139">
        <v>209</v>
      </c>
      <c r="H139">
        <v>484</v>
      </c>
      <c r="I139">
        <v>19476</v>
      </c>
      <c r="J139">
        <v>18654</v>
      </c>
      <c r="K139">
        <v>20</v>
      </c>
      <c r="L139" s="4" t="s">
        <v>30</v>
      </c>
      <c r="M139" s="4"/>
      <c r="N139">
        <v>9.1137810638734856E-2</v>
      </c>
    </row>
    <row r="140" spans="1:14" hidden="1" x14ac:dyDescent="0.3">
      <c r="A140" s="4" t="s">
        <v>376</v>
      </c>
      <c r="B140" s="4" t="s">
        <v>33</v>
      </c>
      <c r="C140" s="5">
        <v>45483</v>
      </c>
      <c r="D140" s="4" t="s">
        <v>45</v>
      </c>
      <c r="E140" s="4" t="s">
        <v>88</v>
      </c>
      <c r="F140">
        <v>3099</v>
      </c>
      <c r="G140">
        <v>694</v>
      </c>
      <c r="H140">
        <v>171</v>
      </c>
      <c r="I140">
        <v>43386</v>
      </c>
      <c r="J140">
        <v>42921</v>
      </c>
      <c r="K140">
        <v>52</v>
      </c>
      <c r="L140" s="4" t="s">
        <v>30</v>
      </c>
      <c r="M140" s="4" t="s">
        <v>31</v>
      </c>
      <c r="N140">
        <v>9.1365878393951966E-2</v>
      </c>
    </row>
    <row r="141" spans="1:14" hidden="1" x14ac:dyDescent="0.3">
      <c r="A141" s="4" t="s">
        <v>163</v>
      </c>
      <c r="B141" s="4" t="s">
        <v>43</v>
      </c>
      <c r="C141" s="5">
        <v>45460</v>
      </c>
      <c r="D141" s="4" t="s">
        <v>52</v>
      </c>
      <c r="E141" s="4" t="s">
        <v>59</v>
      </c>
      <c r="F141">
        <v>1226</v>
      </c>
      <c r="G141">
        <v>119</v>
      </c>
      <c r="H141">
        <v>7</v>
      </c>
      <c r="I141">
        <v>14712</v>
      </c>
      <c r="J141">
        <v>14049</v>
      </c>
      <c r="K141">
        <v>123</v>
      </c>
      <c r="L141" s="4" t="s">
        <v>37</v>
      </c>
      <c r="M141" s="4" t="s">
        <v>38</v>
      </c>
      <c r="N141">
        <v>9.1897770527460579E-2</v>
      </c>
    </row>
    <row r="142" spans="1:14" hidden="1" x14ac:dyDescent="0.3">
      <c r="A142" s="4" t="s">
        <v>248</v>
      </c>
      <c r="B142" s="4" t="s">
        <v>27</v>
      </c>
      <c r="C142" s="5">
        <v>45698</v>
      </c>
      <c r="D142" s="4" t="s">
        <v>74</v>
      </c>
      <c r="E142" s="4" t="s">
        <v>219</v>
      </c>
      <c r="F142">
        <v>1766</v>
      </c>
      <c r="G142">
        <v>92</v>
      </c>
      <c r="H142">
        <v>424</v>
      </c>
      <c r="I142">
        <v>24724</v>
      </c>
      <c r="J142">
        <v>24333</v>
      </c>
      <c r="K142">
        <v>52</v>
      </c>
      <c r="L142" s="4" t="s">
        <v>37</v>
      </c>
      <c r="M142" s="4"/>
      <c r="N142">
        <v>9.2298980747451867E-2</v>
      </c>
    </row>
    <row r="143" spans="1:14" hidden="1" x14ac:dyDescent="0.3">
      <c r="A143" s="4" t="s">
        <v>171</v>
      </c>
      <c r="B143" s="4" t="s">
        <v>33</v>
      </c>
      <c r="C143" s="5">
        <v>45465</v>
      </c>
      <c r="D143" s="4" t="s">
        <v>22</v>
      </c>
      <c r="E143" s="4" t="s">
        <v>113</v>
      </c>
      <c r="F143">
        <v>2180</v>
      </c>
      <c r="G143">
        <v>263</v>
      </c>
      <c r="H143">
        <v>387</v>
      </c>
      <c r="I143">
        <v>30520</v>
      </c>
      <c r="J143">
        <v>30059</v>
      </c>
      <c r="K143">
        <v>174</v>
      </c>
      <c r="L143" s="4" t="s">
        <v>37</v>
      </c>
      <c r="M143" s="4"/>
      <c r="N143">
        <v>9.2726081258191345E-2</v>
      </c>
    </row>
    <row r="144" spans="1:14" hidden="1" x14ac:dyDescent="0.3">
      <c r="A144" s="4" t="s">
        <v>191</v>
      </c>
      <c r="B144" s="4" t="s">
        <v>14</v>
      </c>
      <c r="C144" s="5">
        <v>45724</v>
      </c>
      <c r="D144" s="4" t="s">
        <v>22</v>
      </c>
      <c r="E144" s="4" t="s">
        <v>23</v>
      </c>
      <c r="F144">
        <v>1292</v>
      </c>
      <c r="G144">
        <v>626</v>
      </c>
      <c r="H144">
        <v>496</v>
      </c>
      <c r="I144">
        <v>25840</v>
      </c>
      <c r="J144">
        <v>24916</v>
      </c>
      <c r="K144">
        <v>149</v>
      </c>
      <c r="L144" s="4" t="s">
        <v>62</v>
      </c>
      <c r="M144" s="4" t="s">
        <v>31</v>
      </c>
      <c r="N144">
        <v>9.3421052631578946E-2</v>
      </c>
    </row>
    <row r="145" spans="1:14" hidden="1" x14ac:dyDescent="0.3">
      <c r="A145" s="4" t="s">
        <v>312</v>
      </c>
      <c r="B145" s="4" t="s">
        <v>27</v>
      </c>
      <c r="C145" s="5">
        <v>45594</v>
      </c>
      <c r="D145" s="4" t="s">
        <v>22</v>
      </c>
      <c r="E145" s="4" t="s">
        <v>104</v>
      </c>
      <c r="F145">
        <v>2746</v>
      </c>
      <c r="G145">
        <v>156</v>
      </c>
      <c r="H145">
        <v>203</v>
      </c>
      <c r="I145">
        <v>32952</v>
      </c>
      <c r="J145">
        <v>32147</v>
      </c>
      <c r="K145">
        <v>147</v>
      </c>
      <c r="L145" s="4" t="s">
        <v>37</v>
      </c>
      <c r="M145" s="4" t="s">
        <v>19</v>
      </c>
      <c r="N145">
        <v>9.422796795338674E-2</v>
      </c>
    </row>
    <row r="146" spans="1:14" hidden="1" x14ac:dyDescent="0.3">
      <c r="A146" s="4" t="s">
        <v>78</v>
      </c>
      <c r="B146" s="4" t="s">
        <v>43</v>
      </c>
      <c r="C146" s="5">
        <v>45782</v>
      </c>
      <c r="D146" s="4" t="s">
        <v>22</v>
      </c>
      <c r="E146" s="4" t="s">
        <v>56</v>
      </c>
      <c r="F146">
        <v>4441</v>
      </c>
      <c r="G146">
        <v>511</v>
      </c>
      <c r="H146">
        <v>70</v>
      </c>
      <c r="I146">
        <v>53292</v>
      </c>
      <c r="J146">
        <v>53082</v>
      </c>
      <c r="K146">
        <v>159</v>
      </c>
      <c r="L146" s="4" t="s">
        <v>37</v>
      </c>
      <c r="M146" s="4" t="s">
        <v>38</v>
      </c>
      <c r="N146">
        <v>9.4235532537716729E-2</v>
      </c>
    </row>
    <row r="147" spans="1:14" hidden="1" x14ac:dyDescent="0.3">
      <c r="A147" s="4" t="s">
        <v>211</v>
      </c>
      <c r="B147" s="4" t="s">
        <v>33</v>
      </c>
      <c r="C147" s="5">
        <v>45584</v>
      </c>
      <c r="D147" s="4" t="s">
        <v>35</v>
      </c>
      <c r="E147" s="4" t="s">
        <v>36</v>
      </c>
      <c r="F147">
        <v>1816</v>
      </c>
      <c r="G147">
        <v>29</v>
      </c>
      <c r="H147">
        <v>41</v>
      </c>
      <c r="I147">
        <v>19976</v>
      </c>
      <c r="J147">
        <v>19262</v>
      </c>
      <c r="K147">
        <v>283</v>
      </c>
      <c r="L147" s="4" t="s">
        <v>30</v>
      </c>
      <c r="M147" s="4" t="s">
        <v>31</v>
      </c>
      <c r="N147">
        <v>9.4413295955146179E-2</v>
      </c>
    </row>
    <row r="148" spans="1:14" hidden="1" x14ac:dyDescent="0.3">
      <c r="A148" s="4" t="s">
        <v>388</v>
      </c>
      <c r="B148" s="4" t="s">
        <v>33</v>
      </c>
      <c r="C148" s="5">
        <v>45668</v>
      </c>
      <c r="D148" s="4" t="s">
        <v>45</v>
      </c>
      <c r="E148" s="4" t="s">
        <v>88</v>
      </c>
      <c r="F148">
        <v>4523</v>
      </c>
      <c r="G148">
        <v>61</v>
      </c>
      <c r="H148">
        <v>157</v>
      </c>
      <c r="I148">
        <v>49753</v>
      </c>
      <c r="J148">
        <v>49329</v>
      </c>
      <c r="K148">
        <v>71</v>
      </c>
      <c r="L148" s="4" t="s">
        <v>37</v>
      </c>
      <c r="M148" s="4"/>
      <c r="N148">
        <v>9.5290736237010829E-2</v>
      </c>
    </row>
    <row r="149" spans="1:14" hidden="1" x14ac:dyDescent="0.3">
      <c r="A149" s="4" t="s">
        <v>475</v>
      </c>
      <c r="B149" s="4" t="s">
        <v>14</v>
      </c>
      <c r="C149" s="5">
        <v>45722</v>
      </c>
      <c r="D149" s="4" t="s">
        <v>52</v>
      </c>
      <c r="E149" s="4" t="s">
        <v>132</v>
      </c>
      <c r="F149">
        <v>3592</v>
      </c>
      <c r="G149">
        <v>911</v>
      </c>
      <c r="H149">
        <v>375</v>
      </c>
      <c r="I149">
        <v>50288</v>
      </c>
      <c r="J149">
        <v>49490</v>
      </c>
      <c r="K149">
        <v>32</v>
      </c>
      <c r="L149" s="4" t="s">
        <v>62</v>
      </c>
      <c r="M149" s="4" t="s">
        <v>38</v>
      </c>
      <c r="N149">
        <v>9.7001272669424113E-2</v>
      </c>
    </row>
    <row r="150" spans="1:14" hidden="1" x14ac:dyDescent="0.3">
      <c r="A150" s="4" t="s">
        <v>525</v>
      </c>
      <c r="B150" s="4" t="s">
        <v>27</v>
      </c>
      <c r="C150" s="5">
        <v>45577</v>
      </c>
      <c r="D150" s="4" t="s">
        <v>35</v>
      </c>
      <c r="E150" s="4" t="s">
        <v>154</v>
      </c>
      <c r="F150">
        <v>3641</v>
      </c>
      <c r="G150">
        <v>226</v>
      </c>
      <c r="H150">
        <v>46</v>
      </c>
      <c r="I150">
        <v>40051</v>
      </c>
      <c r="J150">
        <v>39319</v>
      </c>
      <c r="K150">
        <v>296</v>
      </c>
      <c r="L150" s="4" t="s">
        <v>37</v>
      </c>
      <c r="M150" s="4" t="s">
        <v>38</v>
      </c>
      <c r="N150">
        <v>9.7700431949264685E-2</v>
      </c>
    </row>
    <row r="151" spans="1:14" hidden="1" x14ac:dyDescent="0.3">
      <c r="A151" s="4" t="s">
        <v>365</v>
      </c>
      <c r="B151" s="4" t="s">
        <v>27</v>
      </c>
      <c r="C151" s="5">
        <v>45657</v>
      </c>
      <c r="D151" s="4" t="s">
        <v>74</v>
      </c>
      <c r="E151" s="4" t="s">
        <v>219</v>
      </c>
      <c r="F151">
        <v>1018</v>
      </c>
      <c r="G151">
        <v>447</v>
      </c>
      <c r="H151">
        <v>332</v>
      </c>
      <c r="I151">
        <v>18324</v>
      </c>
      <c r="J151">
        <v>18164</v>
      </c>
      <c r="K151">
        <v>38</v>
      </c>
      <c r="L151" s="4" t="s">
        <v>62</v>
      </c>
      <c r="M151" s="4" t="s">
        <v>25</v>
      </c>
      <c r="N151">
        <v>9.8068107400130972E-2</v>
      </c>
    </row>
    <row r="152" spans="1:14" hidden="1" x14ac:dyDescent="0.3">
      <c r="A152" s="4" t="s">
        <v>139</v>
      </c>
      <c r="B152" s="4" t="s">
        <v>14</v>
      </c>
      <c r="C152" s="5">
        <v>45718</v>
      </c>
      <c r="D152" s="4" t="s">
        <v>52</v>
      </c>
      <c r="E152" s="4" t="s">
        <v>132</v>
      </c>
      <c r="F152">
        <v>2358</v>
      </c>
      <c r="G152">
        <v>784</v>
      </c>
      <c r="H152">
        <v>344</v>
      </c>
      <c r="I152">
        <v>35370</v>
      </c>
      <c r="J152">
        <v>34475</v>
      </c>
      <c r="K152">
        <v>216</v>
      </c>
      <c r="L152" s="4" t="s">
        <v>30</v>
      </c>
      <c r="M152" s="4"/>
      <c r="N152">
        <v>9.8558100084817649E-2</v>
      </c>
    </row>
    <row r="153" spans="1:14" hidden="1" x14ac:dyDescent="0.3">
      <c r="A153" s="4" t="s">
        <v>358</v>
      </c>
      <c r="B153" s="4" t="s">
        <v>33</v>
      </c>
      <c r="C153" s="5">
        <v>45624</v>
      </c>
      <c r="D153" s="4" t="s">
        <v>22</v>
      </c>
      <c r="E153" s="4" t="s">
        <v>113</v>
      </c>
      <c r="F153">
        <v>4771</v>
      </c>
      <c r="G153">
        <v>818</v>
      </c>
      <c r="H153">
        <v>56</v>
      </c>
      <c r="I153">
        <v>57252</v>
      </c>
      <c r="J153">
        <v>56378</v>
      </c>
      <c r="K153">
        <v>150</v>
      </c>
      <c r="L153" s="4" t="s">
        <v>62</v>
      </c>
      <c r="M153" s="4"/>
      <c r="N153">
        <v>9.859917557465242E-2</v>
      </c>
    </row>
    <row r="154" spans="1:14" hidden="1" x14ac:dyDescent="0.3">
      <c r="A154" s="4" t="s">
        <v>400</v>
      </c>
      <c r="B154" s="4" t="s">
        <v>14</v>
      </c>
      <c r="C154" s="5">
        <v>45546</v>
      </c>
      <c r="D154" s="4" t="s">
        <v>52</v>
      </c>
      <c r="E154" s="4" t="s">
        <v>132</v>
      </c>
      <c r="F154">
        <v>4858</v>
      </c>
      <c r="G154">
        <v>317</v>
      </c>
      <c r="H154">
        <v>129</v>
      </c>
      <c r="I154">
        <v>53438</v>
      </c>
      <c r="J154">
        <v>52687</v>
      </c>
      <c r="K154">
        <v>223</v>
      </c>
      <c r="L154" s="4" t="s">
        <v>37</v>
      </c>
      <c r="M154" s="4" t="s">
        <v>31</v>
      </c>
      <c r="N154">
        <v>9.9255211647142488E-2</v>
      </c>
    </row>
    <row r="155" spans="1:14" hidden="1" x14ac:dyDescent="0.3">
      <c r="A155" s="4" t="s">
        <v>397</v>
      </c>
      <c r="B155" s="4" t="s">
        <v>27</v>
      </c>
      <c r="C155" s="5">
        <v>45629</v>
      </c>
      <c r="D155" s="4" t="s">
        <v>35</v>
      </c>
      <c r="E155" s="4" t="s">
        <v>154</v>
      </c>
      <c r="F155">
        <v>4285</v>
      </c>
      <c r="G155">
        <v>886</v>
      </c>
      <c r="H155">
        <v>376</v>
      </c>
      <c r="I155">
        <v>55705</v>
      </c>
      <c r="J155">
        <v>55556</v>
      </c>
      <c r="K155">
        <v>51</v>
      </c>
      <c r="L155" s="4" t="s">
        <v>62</v>
      </c>
      <c r="M155" s="4" t="s">
        <v>31</v>
      </c>
      <c r="N155">
        <v>9.9578134817341346E-2</v>
      </c>
    </row>
    <row r="156" spans="1:14" hidden="1" x14ac:dyDescent="0.3">
      <c r="A156" s="4" t="s">
        <v>253</v>
      </c>
      <c r="B156" s="4" t="s">
        <v>43</v>
      </c>
      <c r="C156" s="5">
        <v>45454</v>
      </c>
      <c r="D156" s="4" t="s">
        <v>52</v>
      </c>
      <c r="E156" s="4" t="s">
        <v>59</v>
      </c>
      <c r="F156">
        <v>3689</v>
      </c>
      <c r="G156">
        <v>48</v>
      </c>
      <c r="H156">
        <v>306</v>
      </c>
      <c r="I156">
        <v>40579</v>
      </c>
      <c r="J156">
        <v>39588</v>
      </c>
      <c r="K156">
        <v>212</v>
      </c>
      <c r="L156" s="4" t="s">
        <v>37</v>
      </c>
      <c r="M156" s="4" t="s">
        <v>25</v>
      </c>
      <c r="N156">
        <v>9.9632815002833983E-2</v>
      </c>
    </row>
    <row r="157" spans="1:14" hidden="1" x14ac:dyDescent="0.3">
      <c r="A157" s="4" t="s">
        <v>294</v>
      </c>
      <c r="B157" s="4" t="s">
        <v>33</v>
      </c>
      <c r="C157" s="5">
        <v>45744</v>
      </c>
      <c r="D157" s="4" t="s">
        <v>45</v>
      </c>
      <c r="E157" s="4" t="s">
        <v>88</v>
      </c>
      <c r="F157">
        <v>4158</v>
      </c>
      <c r="G157">
        <v>167</v>
      </c>
      <c r="H157">
        <v>241</v>
      </c>
      <c r="I157">
        <v>45738</v>
      </c>
      <c r="J157">
        <v>45183</v>
      </c>
      <c r="K157">
        <v>142</v>
      </c>
      <c r="L157" s="4" t="s">
        <v>62</v>
      </c>
      <c r="M157" s="4"/>
      <c r="N157">
        <v>9.9829463465827106E-2</v>
      </c>
    </row>
    <row r="158" spans="1:14" hidden="1" x14ac:dyDescent="0.3">
      <c r="A158" s="4" t="s">
        <v>263</v>
      </c>
      <c r="B158" s="4" t="s">
        <v>14</v>
      </c>
      <c r="C158" s="5">
        <v>45741</v>
      </c>
      <c r="D158" s="4" t="s">
        <v>74</v>
      </c>
      <c r="E158" s="4" t="s">
        <v>145</v>
      </c>
      <c r="F158">
        <v>4050</v>
      </c>
      <c r="G158">
        <v>871</v>
      </c>
      <c r="H158">
        <v>347</v>
      </c>
      <c r="I158">
        <v>52650</v>
      </c>
      <c r="J158">
        <v>51755</v>
      </c>
      <c r="K158">
        <v>209</v>
      </c>
      <c r="L158" s="4" t="s">
        <v>30</v>
      </c>
      <c r="M158" s="4" t="s">
        <v>25</v>
      </c>
      <c r="N158">
        <v>0.10005698005698006</v>
      </c>
    </row>
    <row r="159" spans="1:14" hidden="1" x14ac:dyDescent="0.3">
      <c r="A159" s="4" t="s">
        <v>83</v>
      </c>
      <c r="B159" s="4" t="s">
        <v>33</v>
      </c>
      <c r="C159" s="5">
        <v>45466</v>
      </c>
      <c r="D159" s="4" t="s">
        <v>74</v>
      </c>
      <c r="E159" s="4" t="s">
        <v>85</v>
      </c>
      <c r="F159">
        <v>1071</v>
      </c>
      <c r="G159">
        <v>519</v>
      </c>
      <c r="H159">
        <v>22</v>
      </c>
      <c r="I159">
        <v>16065</v>
      </c>
      <c r="J159">
        <v>15865</v>
      </c>
      <c r="K159">
        <v>103</v>
      </c>
      <c r="L159" s="4" t="s">
        <v>30</v>
      </c>
      <c r="M159" s="4" t="s">
        <v>38</v>
      </c>
      <c r="N159">
        <v>0.10034235916588857</v>
      </c>
    </row>
    <row r="160" spans="1:14" hidden="1" x14ac:dyDescent="0.3">
      <c r="A160" s="4" t="s">
        <v>515</v>
      </c>
      <c r="B160" s="4" t="s">
        <v>43</v>
      </c>
      <c r="C160" s="5">
        <v>45621</v>
      </c>
      <c r="D160" s="4" t="s">
        <v>35</v>
      </c>
      <c r="E160" s="4" t="s">
        <v>71</v>
      </c>
      <c r="F160">
        <v>4182</v>
      </c>
      <c r="G160">
        <v>640</v>
      </c>
      <c r="H160">
        <v>240</v>
      </c>
      <c r="I160">
        <v>50184</v>
      </c>
      <c r="J160">
        <v>49351</v>
      </c>
      <c r="K160">
        <v>10</v>
      </c>
      <c r="L160" s="4" t="s">
        <v>30</v>
      </c>
      <c r="M160" s="4" t="s">
        <v>31</v>
      </c>
      <c r="N160">
        <v>0.10086880280567512</v>
      </c>
    </row>
    <row r="161" spans="1:14" hidden="1" x14ac:dyDescent="0.3">
      <c r="A161" s="4" t="s">
        <v>383</v>
      </c>
      <c r="B161" s="4" t="s">
        <v>43</v>
      </c>
      <c r="C161" s="5">
        <v>45504</v>
      </c>
      <c r="D161" s="4" t="s">
        <v>52</v>
      </c>
      <c r="E161" s="4" t="s">
        <v>59</v>
      </c>
      <c r="F161">
        <v>4689</v>
      </c>
      <c r="G161">
        <v>134</v>
      </c>
      <c r="H161">
        <v>403</v>
      </c>
      <c r="I161">
        <v>51579</v>
      </c>
      <c r="J161">
        <v>50924</v>
      </c>
      <c r="K161">
        <v>173</v>
      </c>
      <c r="L161" s="4" t="s">
        <v>30</v>
      </c>
      <c r="M161" s="4" t="s">
        <v>38</v>
      </c>
      <c r="N161">
        <v>0.10132030477519921</v>
      </c>
    </row>
    <row r="162" spans="1:14" hidden="1" x14ac:dyDescent="0.3">
      <c r="A162" s="4" t="s">
        <v>80</v>
      </c>
      <c r="B162" s="4" t="s">
        <v>33</v>
      </c>
      <c r="C162" s="5">
        <v>45523</v>
      </c>
      <c r="D162" s="4" t="s">
        <v>16</v>
      </c>
      <c r="E162" s="4" t="s">
        <v>82</v>
      </c>
      <c r="F162">
        <v>3000</v>
      </c>
      <c r="G162">
        <v>382</v>
      </c>
      <c r="H162">
        <v>325</v>
      </c>
      <c r="I162">
        <v>36000</v>
      </c>
      <c r="J162">
        <v>35819</v>
      </c>
      <c r="K162">
        <v>19</v>
      </c>
      <c r="L162" s="4" t="s">
        <v>62</v>
      </c>
      <c r="M162" s="4" t="s">
        <v>19</v>
      </c>
      <c r="N162">
        <v>0.10297222222222223</v>
      </c>
    </row>
    <row r="163" spans="1:14" hidden="1" x14ac:dyDescent="0.3">
      <c r="A163" s="4" t="s">
        <v>241</v>
      </c>
      <c r="B163" s="4" t="s">
        <v>14</v>
      </c>
      <c r="C163" s="5">
        <v>45545</v>
      </c>
      <c r="D163" s="4" t="s">
        <v>52</v>
      </c>
      <c r="E163" s="4" t="s">
        <v>132</v>
      </c>
      <c r="F163">
        <v>1238</v>
      </c>
      <c r="G163">
        <v>366</v>
      </c>
      <c r="H163">
        <v>444</v>
      </c>
      <c r="I163">
        <v>19808</v>
      </c>
      <c r="J163">
        <v>19334</v>
      </c>
      <c r="K163">
        <v>123</v>
      </c>
      <c r="L163" s="4" t="s">
        <v>62</v>
      </c>
      <c r="M163" s="4"/>
      <c r="N163">
        <v>0.10339256865912763</v>
      </c>
    </row>
    <row r="164" spans="1:14" hidden="1" x14ac:dyDescent="0.3">
      <c r="A164" s="4" t="s">
        <v>50</v>
      </c>
      <c r="B164" s="4" t="s">
        <v>27</v>
      </c>
      <c r="C164" s="5">
        <v>45486</v>
      </c>
      <c r="D164" s="4" t="s">
        <v>52</v>
      </c>
      <c r="E164" s="4" t="s">
        <v>53</v>
      </c>
      <c r="F164">
        <v>3929</v>
      </c>
      <c r="G164">
        <v>262</v>
      </c>
      <c r="H164">
        <v>278</v>
      </c>
      <c r="I164">
        <v>43219</v>
      </c>
      <c r="J164">
        <v>42841</v>
      </c>
      <c r="K164">
        <v>39</v>
      </c>
      <c r="L164" s="4" t="s">
        <v>37</v>
      </c>
      <c r="M164" s="4" t="s">
        <v>38</v>
      </c>
      <c r="N164">
        <v>0.10340359564080613</v>
      </c>
    </row>
    <row r="165" spans="1:14" hidden="1" x14ac:dyDescent="0.3">
      <c r="A165" s="4" t="s">
        <v>420</v>
      </c>
      <c r="B165" s="4" t="s">
        <v>14</v>
      </c>
      <c r="C165" s="5">
        <v>45771</v>
      </c>
      <c r="D165" s="4" t="s">
        <v>74</v>
      </c>
      <c r="E165" s="4" t="s">
        <v>145</v>
      </c>
      <c r="F165">
        <v>3820</v>
      </c>
      <c r="G165">
        <v>697</v>
      </c>
      <c r="H165">
        <v>268</v>
      </c>
      <c r="I165">
        <v>45840</v>
      </c>
      <c r="J165">
        <v>45631</v>
      </c>
      <c r="K165">
        <v>171</v>
      </c>
      <c r="L165" s="4" t="s">
        <v>30</v>
      </c>
      <c r="M165" s="4" t="s">
        <v>38</v>
      </c>
      <c r="N165">
        <v>0.1043848167539267</v>
      </c>
    </row>
    <row r="166" spans="1:14" hidden="1" x14ac:dyDescent="0.3">
      <c r="A166" s="4" t="s">
        <v>420</v>
      </c>
      <c r="B166" s="4" t="s">
        <v>14</v>
      </c>
      <c r="C166" s="5">
        <v>45771</v>
      </c>
      <c r="D166" s="4" t="s">
        <v>74</v>
      </c>
      <c r="E166" s="4" t="s">
        <v>145</v>
      </c>
      <c r="F166">
        <v>3820</v>
      </c>
      <c r="G166">
        <v>697</v>
      </c>
      <c r="H166">
        <v>268</v>
      </c>
      <c r="I166">
        <v>45840</v>
      </c>
      <c r="J166">
        <v>45631</v>
      </c>
      <c r="K166">
        <v>171</v>
      </c>
      <c r="L166" s="4" t="s">
        <v>607</v>
      </c>
      <c r="M166" s="4" t="s">
        <v>38</v>
      </c>
      <c r="N166">
        <v>0.1043848167539267</v>
      </c>
    </row>
    <row r="167" spans="1:14" hidden="1" x14ac:dyDescent="0.3">
      <c r="A167" s="4" t="s">
        <v>150</v>
      </c>
      <c r="B167" s="4" t="s">
        <v>14</v>
      </c>
      <c r="C167" s="5">
        <v>45453</v>
      </c>
      <c r="D167" s="4" t="s">
        <v>35</v>
      </c>
      <c r="E167" s="4" t="s">
        <v>149</v>
      </c>
      <c r="F167">
        <v>2164</v>
      </c>
      <c r="G167">
        <v>549</v>
      </c>
      <c r="H167">
        <v>274</v>
      </c>
      <c r="I167">
        <v>28132</v>
      </c>
      <c r="J167">
        <v>27361</v>
      </c>
      <c r="K167">
        <v>177</v>
      </c>
      <c r="L167" s="4" t="s">
        <v>30</v>
      </c>
      <c r="M167" s="4" t="s">
        <v>38</v>
      </c>
      <c r="N167">
        <v>0.10617801791554102</v>
      </c>
    </row>
    <row r="168" spans="1:14" hidden="1" x14ac:dyDescent="0.3">
      <c r="A168" s="4" t="s">
        <v>538</v>
      </c>
      <c r="B168" s="4" t="s">
        <v>33</v>
      </c>
      <c r="C168" s="5">
        <v>45568</v>
      </c>
      <c r="D168" s="4" t="s">
        <v>74</v>
      </c>
      <c r="E168" s="4" t="s">
        <v>85</v>
      </c>
      <c r="F168">
        <v>1488</v>
      </c>
      <c r="G168">
        <v>417</v>
      </c>
      <c r="H168">
        <v>168</v>
      </c>
      <c r="I168">
        <v>19344</v>
      </c>
      <c r="J168">
        <v>18395</v>
      </c>
      <c r="K168">
        <v>30</v>
      </c>
      <c r="L168" s="4" t="s">
        <v>62</v>
      </c>
      <c r="M168" s="4" t="s">
        <v>31</v>
      </c>
      <c r="N168">
        <v>0.1071650124069479</v>
      </c>
    </row>
    <row r="169" spans="1:14" hidden="1" x14ac:dyDescent="0.3">
      <c r="A169" s="4" t="s">
        <v>422</v>
      </c>
      <c r="B169" s="4" t="s">
        <v>14</v>
      </c>
      <c r="C169" s="5">
        <v>45467</v>
      </c>
      <c r="D169" s="4" t="s">
        <v>22</v>
      </c>
      <c r="E169" s="4" t="s">
        <v>23</v>
      </c>
      <c r="F169">
        <v>941</v>
      </c>
      <c r="G169">
        <v>121</v>
      </c>
      <c r="H169">
        <v>458</v>
      </c>
      <c r="I169">
        <v>14115</v>
      </c>
      <c r="J169">
        <v>13838</v>
      </c>
      <c r="K169">
        <v>87</v>
      </c>
      <c r="L169" s="4" t="s">
        <v>37</v>
      </c>
      <c r="M169" s="4" t="s">
        <v>19</v>
      </c>
      <c r="N169">
        <v>0.10768685795253277</v>
      </c>
    </row>
    <row r="170" spans="1:14" hidden="1" x14ac:dyDescent="0.3">
      <c r="A170" s="4" t="s">
        <v>342</v>
      </c>
      <c r="B170" s="4" t="s">
        <v>27</v>
      </c>
      <c r="C170" s="5">
        <v>45496</v>
      </c>
      <c r="D170" s="4" t="s">
        <v>35</v>
      </c>
      <c r="E170" s="4" t="s">
        <v>154</v>
      </c>
      <c r="F170">
        <v>4775</v>
      </c>
      <c r="G170">
        <v>173</v>
      </c>
      <c r="H170">
        <v>206</v>
      </c>
      <c r="I170">
        <v>47750</v>
      </c>
      <c r="J170">
        <v>47544</v>
      </c>
      <c r="K170">
        <v>187</v>
      </c>
      <c r="L170" s="4" t="s">
        <v>62</v>
      </c>
      <c r="M170" s="4" t="s">
        <v>25</v>
      </c>
      <c r="N170">
        <v>0.10793717277486911</v>
      </c>
    </row>
    <row r="171" spans="1:14" hidden="1" x14ac:dyDescent="0.3">
      <c r="A171" s="4" t="s">
        <v>340</v>
      </c>
      <c r="B171" s="4" t="s">
        <v>43</v>
      </c>
      <c r="C171" s="5">
        <v>45587</v>
      </c>
      <c r="D171" s="4" t="s">
        <v>45</v>
      </c>
      <c r="E171" s="4" t="s">
        <v>46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s="4" t="s">
        <v>62</v>
      </c>
      <c r="M171" s="4" t="s">
        <v>25</v>
      </c>
      <c r="N171">
        <v>0.1095786671562328</v>
      </c>
    </row>
    <row r="172" spans="1:14" hidden="1" x14ac:dyDescent="0.3">
      <c r="A172" s="4" t="s">
        <v>332</v>
      </c>
      <c r="B172" s="4" t="s">
        <v>33</v>
      </c>
      <c r="C172" s="5">
        <v>45499</v>
      </c>
      <c r="D172" s="4" t="s">
        <v>52</v>
      </c>
      <c r="E172" s="4" t="s">
        <v>215</v>
      </c>
      <c r="F172">
        <v>3559</v>
      </c>
      <c r="G172">
        <v>59</v>
      </c>
      <c r="H172">
        <v>289</v>
      </c>
      <c r="I172">
        <v>35590</v>
      </c>
      <c r="J172">
        <v>35105</v>
      </c>
      <c r="K172">
        <v>122</v>
      </c>
      <c r="L172" s="4" t="s">
        <v>37</v>
      </c>
      <c r="M172" s="4" t="s">
        <v>19</v>
      </c>
      <c r="N172">
        <v>0.10977802753582468</v>
      </c>
    </row>
    <row r="173" spans="1:14" hidden="1" x14ac:dyDescent="0.3">
      <c r="A173" s="4" t="s">
        <v>532</v>
      </c>
      <c r="B173" s="4" t="s">
        <v>14</v>
      </c>
      <c r="C173" s="5">
        <v>45622</v>
      </c>
      <c r="D173" s="4" t="s">
        <v>22</v>
      </c>
      <c r="E173" s="4" t="s">
        <v>23</v>
      </c>
      <c r="F173">
        <v>4516</v>
      </c>
      <c r="G173">
        <v>836</v>
      </c>
      <c r="H173">
        <v>169</v>
      </c>
      <c r="I173">
        <v>49676</v>
      </c>
      <c r="J173">
        <v>49257</v>
      </c>
      <c r="K173">
        <v>282</v>
      </c>
      <c r="L173" s="4" t="s">
        <v>37</v>
      </c>
      <c r="M173" s="4" t="s">
        <v>38</v>
      </c>
      <c r="N173">
        <v>0.11114018842096787</v>
      </c>
    </row>
    <row r="174" spans="1:14" hidden="1" x14ac:dyDescent="0.3">
      <c r="A174" s="4" t="s">
        <v>443</v>
      </c>
      <c r="B174" s="4" t="s">
        <v>43</v>
      </c>
      <c r="C174" s="5">
        <v>45573</v>
      </c>
      <c r="D174" s="4" t="s">
        <v>16</v>
      </c>
      <c r="E174" s="4" t="s">
        <v>65</v>
      </c>
      <c r="F174">
        <v>1814</v>
      </c>
      <c r="G174">
        <v>653</v>
      </c>
      <c r="H174">
        <v>363</v>
      </c>
      <c r="I174">
        <v>25396</v>
      </c>
      <c r="J174">
        <v>25286</v>
      </c>
      <c r="K174">
        <v>39</v>
      </c>
      <c r="L174" s="4" t="s">
        <v>62</v>
      </c>
      <c r="M174" s="4" t="s">
        <v>19</v>
      </c>
      <c r="N174">
        <v>0.11143487163332809</v>
      </c>
    </row>
    <row r="175" spans="1:14" hidden="1" x14ac:dyDescent="0.3">
      <c r="A175" s="4" t="s">
        <v>443</v>
      </c>
      <c r="B175" s="4" t="s">
        <v>43</v>
      </c>
      <c r="C175" s="5">
        <v>45573</v>
      </c>
      <c r="D175" s="4" t="s">
        <v>16</v>
      </c>
      <c r="E175" s="4" t="s">
        <v>65</v>
      </c>
      <c r="F175">
        <v>1814</v>
      </c>
      <c r="G175">
        <v>653</v>
      </c>
      <c r="H175">
        <v>363</v>
      </c>
      <c r="I175">
        <v>25396</v>
      </c>
      <c r="J175">
        <v>25286</v>
      </c>
      <c r="K175">
        <v>39</v>
      </c>
      <c r="L175" s="4" t="s">
        <v>607</v>
      </c>
      <c r="M175" s="4" t="s">
        <v>19</v>
      </c>
      <c r="N175">
        <v>0.11143487163332809</v>
      </c>
    </row>
    <row r="176" spans="1:14" hidden="1" x14ac:dyDescent="0.3">
      <c r="A176" s="4" t="s">
        <v>452</v>
      </c>
      <c r="B176" s="4" t="s">
        <v>33</v>
      </c>
      <c r="C176" s="5">
        <v>45455</v>
      </c>
      <c r="D176" s="4" t="s">
        <v>22</v>
      </c>
      <c r="E176" s="4" t="s">
        <v>113</v>
      </c>
      <c r="F176">
        <v>246</v>
      </c>
      <c r="G176">
        <v>149</v>
      </c>
      <c r="H176">
        <v>130</v>
      </c>
      <c r="I176">
        <v>4674</v>
      </c>
      <c r="J176">
        <v>4390</v>
      </c>
      <c r="K176">
        <v>217</v>
      </c>
      <c r="L176" s="4" t="s">
        <v>62</v>
      </c>
      <c r="M176" s="4" t="s">
        <v>31</v>
      </c>
      <c r="N176">
        <v>0.11232349165596919</v>
      </c>
    </row>
    <row r="177" spans="1:14" hidden="1" x14ac:dyDescent="0.3">
      <c r="A177" s="4" t="s">
        <v>245</v>
      </c>
      <c r="B177" s="4" t="s">
        <v>14</v>
      </c>
      <c r="C177" s="5">
        <v>45453</v>
      </c>
      <c r="D177" s="4" t="s">
        <v>35</v>
      </c>
      <c r="E177" s="4" t="s">
        <v>149</v>
      </c>
      <c r="F177">
        <v>1575</v>
      </c>
      <c r="G177">
        <v>771</v>
      </c>
      <c r="H177">
        <v>486</v>
      </c>
      <c r="I177">
        <v>25200</v>
      </c>
      <c r="J177">
        <v>24826</v>
      </c>
      <c r="K177">
        <v>17</v>
      </c>
      <c r="L177" s="4" t="s">
        <v>62</v>
      </c>
      <c r="M177" s="4" t="s">
        <v>38</v>
      </c>
      <c r="N177">
        <v>0.11238095238095239</v>
      </c>
    </row>
    <row r="178" spans="1:14" hidden="1" x14ac:dyDescent="0.3">
      <c r="A178" s="4" t="s">
        <v>344</v>
      </c>
      <c r="B178" s="4" t="s">
        <v>33</v>
      </c>
      <c r="C178" s="5">
        <v>45515</v>
      </c>
      <c r="D178" s="4" t="s">
        <v>35</v>
      </c>
      <c r="E178" s="4" t="s">
        <v>36</v>
      </c>
      <c r="F178">
        <v>1762</v>
      </c>
      <c r="G178">
        <v>405</v>
      </c>
      <c r="H178">
        <v>423</v>
      </c>
      <c r="I178">
        <v>22906</v>
      </c>
      <c r="J178">
        <v>21925</v>
      </c>
      <c r="K178">
        <v>25</v>
      </c>
      <c r="L178" s="4" t="s">
        <v>30</v>
      </c>
      <c r="M178" s="4" t="s">
        <v>19</v>
      </c>
      <c r="N178">
        <v>0.11307081114118571</v>
      </c>
    </row>
    <row r="179" spans="1:14" hidden="1" x14ac:dyDescent="0.3">
      <c r="A179" s="4" t="s">
        <v>273</v>
      </c>
      <c r="B179" s="4" t="s">
        <v>14</v>
      </c>
      <c r="C179" s="5">
        <v>45567</v>
      </c>
      <c r="D179" s="4" t="s">
        <v>45</v>
      </c>
      <c r="E179" s="4" t="s">
        <v>49</v>
      </c>
      <c r="F179">
        <v>4419</v>
      </c>
      <c r="G179">
        <v>236</v>
      </c>
      <c r="H179">
        <v>369</v>
      </c>
      <c r="I179">
        <v>44190</v>
      </c>
      <c r="J179">
        <v>43582</v>
      </c>
      <c r="K179">
        <v>10</v>
      </c>
      <c r="L179" s="4" t="s">
        <v>37</v>
      </c>
      <c r="M179" s="4" t="s">
        <v>19</v>
      </c>
      <c r="N179">
        <v>0.11369088028965829</v>
      </c>
    </row>
    <row r="180" spans="1:14" hidden="1" x14ac:dyDescent="0.3">
      <c r="A180" s="4" t="s">
        <v>542</v>
      </c>
      <c r="B180" s="4" t="s">
        <v>14</v>
      </c>
      <c r="C180" s="5">
        <v>45552</v>
      </c>
      <c r="D180" s="4" t="s">
        <v>22</v>
      </c>
      <c r="E180" s="4" t="s">
        <v>23</v>
      </c>
      <c r="F180">
        <v>571</v>
      </c>
      <c r="G180">
        <v>190</v>
      </c>
      <c r="H180">
        <v>352</v>
      </c>
      <c r="I180">
        <v>9707</v>
      </c>
      <c r="J180">
        <v>9418</v>
      </c>
      <c r="K180">
        <v>231</v>
      </c>
      <c r="L180" s="4" t="s">
        <v>30</v>
      </c>
      <c r="M180" s="4" t="s">
        <v>38</v>
      </c>
      <c r="N180">
        <v>0.11465952405480581</v>
      </c>
    </row>
    <row r="181" spans="1:14" hidden="1" x14ac:dyDescent="0.3">
      <c r="A181" s="4" t="s">
        <v>338</v>
      </c>
      <c r="B181" s="4" t="s">
        <v>27</v>
      </c>
      <c r="C181" s="5">
        <v>45647</v>
      </c>
      <c r="D181" s="4" t="s">
        <v>52</v>
      </c>
      <c r="E181" s="4" t="s">
        <v>53</v>
      </c>
      <c r="F181">
        <v>2283</v>
      </c>
      <c r="G181">
        <v>210</v>
      </c>
      <c r="H181">
        <v>130</v>
      </c>
      <c r="I181">
        <v>22830</v>
      </c>
      <c r="J181">
        <v>22617</v>
      </c>
      <c r="K181">
        <v>143</v>
      </c>
      <c r="L181" s="4" t="s">
        <v>62</v>
      </c>
      <c r="M181" s="4" t="s">
        <v>25</v>
      </c>
      <c r="N181">
        <v>0.11489268506351293</v>
      </c>
    </row>
    <row r="182" spans="1:14" hidden="1" x14ac:dyDescent="0.3">
      <c r="A182" s="4" t="s">
        <v>349</v>
      </c>
      <c r="B182" s="4" t="s">
        <v>14</v>
      </c>
      <c r="C182" s="5">
        <v>45707</v>
      </c>
      <c r="D182" s="4" t="s">
        <v>22</v>
      </c>
      <c r="E182" s="4" t="s">
        <v>23</v>
      </c>
      <c r="F182">
        <v>4671</v>
      </c>
      <c r="G182">
        <v>876</v>
      </c>
      <c r="H182">
        <v>366</v>
      </c>
      <c r="I182">
        <v>51381</v>
      </c>
      <c r="J182">
        <v>50565</v>
      </c>
      <c r="K182">
        <v>245</v>
      </c>
      <c r="L182" s="4" t="s">
        <v>30</v>
      </c>
      <c r="M182" s="4" t="s">
        <v>38</v>
      </c>
      <c r="N182">
        <v>0.11508145034156594</v>
      </c>
    </row>
    <row r="183" spans="1:14" hidden="1" x14ac:dyDescent="0.3">
      <c r="A183" s="4" t="s">
        <v>60</v>
      </c>
      <c r="B183" s="4" t="s">
        <v>33</v>
      </c>
      <c r="C183" s="5">
        <v>45690</v>
      </c>
      <c r="D183" s="4" t="s">
        <v>35</v>
      </c>
      <c r="E183" s="4" t="s">
        <v>36</v>
      </c>
      <c r="F183">
        <v>1792</v>
      </c>
      <c r="G183">
        <v>614</v>
      </c>
      <c r="H183">
        <v>497</v>
      </c>
      <c r="I183">
        <v>25088</v>
      </c>
      <c r="J183">
        <v>24675</v>
      </c>
      <c r="K183">
        <v>65</v>
      </c>
      <c r="L183" s="4" t="s">
        <v>62</v>
      </c>
      <c r="M183" s="4" t="s">
        <v>38</v>
      </c>
      <c r="N183">
        <v>0.11571269132653061</v>
      </c>
    </row>
    <row r="184" spans="1:14" hidden="1" x14ac:dyDescent="0.3">
      <c r="A184" s="4" t="s">
        <v>489</v>
      </c>
      <c r="B184" s="4" t="s">
        <v>33</v>
      </c>
      <c r="C184" s="5">
        <v>45743</v>
      </c>
      <c r="D184" s="4" t="s">
        <v>45</v>
      </c>
      <c r="E184" s="4" t="s">
        <v>88</v>
      </c>
      <c r="F184">
        <v>1377</v>
      </c>
      <c r="G184">
        <v>796</v>
      </c>
      <c r="H184">
        <v>387</v>
      </c>
      <c r="I184">
        <v>22032</v>
      </c>
      <c r="J184">
        <v>21869</v>
      </c>
      <c r="K184">
        <v>189</v>
      </c>
      <c r="L184" s="4" t="s">
        <v>62</v>
      </c>
      <c r="M184" s="4"/>
      <c r="N184">
        <v>0.11619462599854757</v>
      </c>
    </row>
    <row r="185" spans="1:14" hidden="1" x14ac:dyDescent="0.3">
      <c r="A185" s="4" t="s">
        <v>281</v>
      </c>
      <c r="B185" s="4" t="s">
        <v>14</v>
      </c>
      <c r="C185" s="5">
        <v>45600</v>
      </c>
      <c r="D185" s="4" t="s">
        <v>52</v>
      </c>
      <c r="E185" s="4" t="s">
        <v>132</v>
      </c>
      <c r="F185">
        <v>1606</v>
      </c>
      <c r="G185">
        <v>451</v>
      </c>
      <c r="H185">
        <v>405</v>
      </c>
      <c r="I185">
        <v>20878</v>
      </c>
      <c r="J185">
        <v>20190</v>
      </c>
      <c r="K185">
        <v>219</v>
      </c>
      <c r="L185" s="4" t="s">
        <v>37</v>
      </c>
      <c r="M185" s="4" t="s">
        <v>38</v>
      </c>
      <c r="N185">
        <v>0.11792317271769326</v>
      </c>
    </row>
    <row r="186" spans="1:14" hidden="1" x14ac:dyDescent="0.3">
      <c r="A186" s="4" t="s">
        <v>120</v>
      </c>
      <c r="B186" s="4" t="s">
        <v>33</v>
      </c>
      <c r="C186" s="5">
        <v>45626</v>
      </c>
      <c r="D186" s="4" t="s">
        <v>74</v>
      </c>
      <c r="E186" s="4" t="s">
        <v>85</v>
      </c>
      <c r="F186">
        <v>3775</v>
      </c>
      <c r="G186">
        <v>16</v>
      </c>
      <c r="H186">
        <v>239</v>
      </c>
      <c r="I186">
        <v>33975</v>
      </c>
      <c r="J186">
        <v>33310</v>
      </c>
      <c r="K186">
        <v>271</v>
      </c>
      <c r="L186" s="4" t="s">
        <v>62</v>
      </c>
      <c r="M186" s="4" t="s">
        <v>25</v>
      </c>
      <c r="N186">
        <v>0.11861662987490802</v>
      </c>
    </row>
    <row r="187" spans="1:14" hidden="1" x14ac:dyDescent="0.3">
      <c r="A187" s="4" t="s">
        <v>483</v>
      </c>
      <c r="B187" s="4" t="s">
        <v>43</v>
      </c>
      <c r="C187" s="5">
        <v>45531</v>
      </c>
      <c r="D187" s="4" t="s">
        <v>16</v>
      </c>
      <c r="E187" s="4" t="s">
        <v>65</v>
      </c>
      <c r="F187">
        <v>3960</v>
      </c>
      <c r="G187">
        <v>266</v>
      </c>
      <c r="H187">
        <v>8</v>
      </c>
      <c r="I187">
        <v>35640</v>
      </c>
      <c r="J187">
        <v>34850</v>
      </c>
      <c r="K187">
        <v>208</v>
      </c>
      <c r="L187" s="4" t="s">
        <v>62</v>
      </c>
      <c r="M187" s="4"/>
      <c r="N187">
        <v>0.11879910213243547</v>
      </c>
    </row>
    <row r="188" spans="1:14" hidden="1" x14ac:dyDescent="0.3">
      <c r="A188" s="4" t="s">
        <v>483</v>
      </c>
      <c r="B188" s="4" t="s">
        <v>43</v>
      </c>
      <c r="C188" s="5">
        <v>45531</v>
      </c>
      <c r="D188" s="4" t="s">
        <v>16</v>
      </c>
      <c r="E188" s="4" t="s">
        <v>65</v>
      </c>
      <c r="F188">
        <v>3960</v>
      </c>
      <c r="G188">
        <v>266</v>
      </c>
      <c r="H188">
        <v>8</v>
      </c>
      <c r="I188">
        <v>35640</v>
      </c>
      <c r="J188">
        <v>34850</v>
      </c>
      <c r="K188">
        <v>208</v>
      </c>
      <c r="L188" s="4" t="s">
        <v>37</v>
      </c>
      <c r="M188" s="4"/>
      <c r="N188">
        <v>0.11879910213243547</v>
      </c>
    </row>
    <row r="189" spans="1:14" hidden="1" x14ac:dyDescent="0.3">
      <c r="A189" s="4" t="s">
        <v>483</v>
      </c>
      <c r="B189" s="4" t="s">
        <v>43</v>
      </c>
      <c r="C189" s="5">
        <v>45531</v>
      </c>
      <c r="D189" s="4" t="s">
        <v>16</v>
      </c>
      <c r="E189" s="4" t="s">
        <v>65</v>
      </c>
      <c r="F189">
        <v>3960</v>
      </c>
      <c r="G189">
        <v>266</v>
      </c>
      <c r="H189">
        <v>8</v>
      </c>
      <c r="I189">
        <v>35640</v>
      </c>
      <c r="J189">
        <v>34850</v>
      </c>
      <c r="K189">
        <v>208</v>
      </c>
      <c r="L189" s="4" t="s">
        <v>614</v>
      </c>
      <c r="M189" s="4"/>
      <c r="N189">
        <v>0.11879910213243547</v>
      </c>
    </row>
    <row r="190" spans="1:14" hidden="1" x14ac:dyDescent="0.3">
      <c r="A190" s="4" t="s">
        <v>183</v>
      </c>
      <c r="B190" s="4" t="s">
        <v>33</v>
      </c>
      <c r="C190" s="5">
        <v>45744</v>
      </c>
      <c r="D190" s="4" t="s">
        <v>35</v>
      </c>
      <c r="E190" s="4" t="s">
        <v>36</v>
      </c>
      <c r="F190">
        <v>1881</v>
      </c>
      <c r="G190">
        <v>501</v>
      </c>
      <c r="H190">
        <v>99</v>
      </c>
      <c r="I190">
        <v>20691</v>
      </c>
      <c r="J190">
        <v>19987</v>
      </c>
      <c r="K190">
        <v>289</v>
      </c>
      <c r="L190" s="4" t="s">
        <v>37</v>
      </c>
      <c r="M190" s="4"/>
      <c r="N190">
        <v>0.11990720603160794</v>
      </c>
    </row>
    <row r="191" spans="1:14" hidden="1" x14ac:dyDescent="0.3">
      <c r="A191" s="4" t="s">
        <v>194</v>
      </c>
      <c r="B191" s="4" t="s">
        <v>27</v>
      </c>
      <c r="C191" s="5">
        <v>45537</v>
      </c>
      <c r="D191" s="4" t="s">
        <v>45</v>
      </c>
      <c r="E191" s="4" t="s">
        <v>68</v>
      </c>
      <c r="F191">
        <v>2551</v>
      </c>
      <c r="G191">
        <v>915</v>
      </c>
      <c r="H191">
        <v>205</v>
      </c>
      <c r="I191">
        <v>30612</v>
      </c>
      <c r="J191">
        <v>30360</v>
      </c>
      <c r="K191">
        <v>227</v>
      </c>
      <c r="L191" s="4" t="s">
        <v>30</v>
      </c>
      <c r="M191" s="4" t="s">
        <v>25</v>
      </c>
      <c r="N191">
        <v>0.1199202926956749</v>
      </c>
    </row>
    <row r="192" spans="1:14" hidden="1" x14ac:dyDescent="0.3">
      <c r="A192" s="4" t="s">
        <v>496</v>
      </c>
      <c r="B192" s="4" t="s">
        <v>43</v>
      </c>
      <c r="C192" s="5">
        <v>45750</v>
      </c>
      <c r="D192" s="4" t="s">
        <v>35</v>
      </c>
      <c r="E192" s="4" t="s">
        <v>71</v>
      </c>
      <c r="F192">
        <v>3767</v>
      </c>
      <c r="G192">
        <v>514</v>
      </c>
      <c r="H192">
        <v>238</v>
      </c>
      <c r="I192">
        <v>37670</v>
      </c>
      <c r="J192">
        <v>36807</v>
      </c>
      <c r="K192">
        <v>226</v>
      </c>
      <c r="L192" s="4" t="s">
        <v>62</v>
      </c>
      <c r="M192" s="4" t="s">
        <v>38</v>
      </c>
      <c r="N192">
        <v>0.11996283514733209</v>
      </c>
    </row>
    <row r="193" spans="1:14" hidden="1" x14ac:dyDescent="0.3">
      <c r="A193" s="4" t="s">
        <v>202</v>
      </c>
      <c r="B193" s="4" t="s">
        <v>33</v>
      </c>
      <c r="C193" s="5">
        <v>45505</v>
      </c>
      <c r="D193" s="4" t="s">
        <v>16</v>
      </c>
      <c r="E193" s="4" t="s">
        <v>82</v>
      </c>
      <c r="F193">
        <v>1674</v>
      </c>
      <c r="G193">
        <v>929</v>
      </c>
      <c r="H193">
        <v>37</v>
      </c>
      <c r="I193">
        <v>21762</v>
      </c>
      <c r="J193">
        <v>20998</v>
      </c>
      <c r="K193">
        <v>255</v>
      </c>
      <c r="L193" s="4" t="s">
        <v>30</v>
      </c>
      <c r="M193" s="4" t="s">
        <v>38</v>
      </c>
      <c r="N193">
        <v>0.12131237937689551</v>
      </c>
    </row>
    <row r="194" spans="1:14" hidden="1" x14ac:dyDescent="0.3">
      <c r="A194" s="4" t="s">
        <v>479</v>
      </c>
      <c r="B194" s="4" t="s">
        <v>43</v>
      </c>
      <c r="C194" s="5">
        <v>45669</v>
      </c>
      <c r="D194" s="4" t="s">
        <v>16</v>
      </c>
      <c r="E194" s="4" t="s">
        <v>65</v>
      </c>
      <c r="F194">
        <v>4134</v>
      </c>
      <c r="G194">
        <v>824</v>
      </c>
      <c r="H194">
        <v>99</v>
      </c>
      <c r="I194">
        <v>41340</v>
      </c>
      <c r="J194">
        <v>41050</v>
      </c>
      <c r="K194">
        <v>177</v>
      </c>
      <c r="L194" s="4" t="s">
        <v>37</v>
      </c>
      <c r="M194" s="4" t="s">
        <v>19</v>
      </c>
      <c r="N194">
        <v>0.12232704402515723</v>
      </c>
    </row>
    <row r="195" spans="1:14" hidden="1" x14ac:dyDescent="0.3">
      <c r="A195" s="4" t="s">
        <v>267</v>
      </c>
      <c r="B195" s="4" t="s">
        <v>33</v>
      </c>
      <c r="C195" s="5">
        <v>45502</v>
      </c>
      <c r="D195" s="4" t="s">
        <v>16</v>
      </c>
      <c r="E195" s="4" t="s">
        <v>82</v>
      </c>
      <c r="F195">
        <v>3523</v>
      </c>
      <c r="G195">
        <v>753</v>
      </c>
      <c r="H195">
        <v>482</v>
      </c>
      <c r="I195">
        <v>38753</v>
      </c>
      <c r="J195">
        <v>38579</v>
      </c>
      <c r="K195">
        <v>270</v>
      </c>
      <c r="L195" s="4" t="s">
        <v>37</v>
      </c>
      <c r="M195" s="4" t="s">
        <v>25</v>
      </c>
      <c r="N195">
        <v>0.12277759141227776</v>
      </c>
    </row>
    <row r="196" spans="1:14" hidden="1" x14ac:dyDescent="0.3">
      <c r="A196" s="4" t="s">
        <v>431</v>
      </c>
      <c r="B196" s="4" t="s">
        <v>27</v>
      </c>
      <c r="C196" s="5">
        <v>45719</v>
      </c>
      <c r="D196" s="4" t="s">
        <v>74</v>
      </c>
      <c r="E196" s="4" t="s">
        <v>219</v>
      </c>
      <c r="F196">
        <v>3874</v>
      </c>
      <c r="G196">
        <v>884</v>
      </c>
      <c r="H196">
        <v>19</v>
      </c>
      <c r="I196">
        <v>38740</v>
      </c>
      <c r="J196">
        <v>38552</v>
      </c>
      <c r="K196">
        <v>219</v>
      </c>
      <c r="L196" s="4" t="s">
        <v>30</v>
      </c>
      <c r="M196" s="4" t="s">
        <v>25</v>
      </c>
      <c r="N196">
        <v>0.123309241094476</v>
      </c>
    </row>
    <row r="197" spans="1:14" hidden="1" x14ac:dyDescent="0.3">
      <c r="A197" s="4" t="s">
        <v>553</v>
      </c>
      <c r="B197" s="4" t="s">
        <v>43</v>
      </c>
      <c r="C197" s="5">
        <v>45613</v>
      </c>
      <c r="D197" s="4" t="s">
        <v>22</v>
      </c>
      <c r="E197" s="4" t="s">
        <v>56</v>
      </c>
      <c r="F197">
        <v>880</v>
      </c>
      <c r="G197">
        <v>297</v>
      </c>
      <c r="H197">
        <v>345</v>
      </c>
      <c r="I197">
        <v>12320</v>
      </c>
      <c r="J197">
        <v>11978</v>
      </c>
      <c r="K197">
        <v>238</v>
      </c>
      <c r="L197" s="4" t="s">
        <v>30</v>
      </c>
      <c r="M197" s="4"/>
      <c r="N197">
        <v>0.12353896103896105</v>
      </c>
    </row>
    <row r="198" spans="1:14" hidden="1" x14ac:dyDescent="0.3">
      <c r="A198" s="4" t="s">
        <v>553</v>
      </c>
      <c r="B198" s="4" t="s">
        <v>43</v>
      </c>
      <c r="C198" s="5">
        <v>45613</v>
      </c>
      <c r="D198" s="4" t="s">
        <v>22</v>
      </c>
      <c r="E198" s="4" t="s">
        <v>56</v>
      </c>
      <c r="F198">
        <v>880</v>
      </c>
      <c r="G198">
        <v>297</v>
      </c>
      <c r="H198">
        <v>345</v>
      </c>
      <c r="I198">
        <v>12320</v>
      </c>
      <c r="J198">
        <v>11978</v>
      </c>
      <c r="K198">
        <v>238</v>
      </c>
      <c r="L198" s="4" t="s">
        <v>613</v>
      </c>
      <c r="M198" s="4"/>
      <c r="N198">
        <v>0.12353896103896105</v>
      </c>
    </row>
    <row r="199" spans="1:14" hidden="1" x14ac:dyDescent="0.3">
      <c r="A199" s="4" t="s">
        <v>555</v>
      </c>
      <c r="B199" s="4" t="s">
        <v>43</v>
      </c>
      <c r="C199" s="5">
        <v>45791</v>
      </c>
      <c r="D199" s="4" t="s">
        <v>22</v>
      </c>
      <c r="E199" s="4" t="s">
        <v>56</v>
      </c>
      <c r="F199">
        <v>2634</v>
      </c>
      <c r="G199">
        <v>726</v>
      </c>
      <c r="H199">
        <v>241</v>
      </c>
      <c r="I199">
        <v>28974</v>
      </c>
      <c r="J199">
        <v>28102</v>
      </c>
      <c r="K199">
        <v>277</v>
      </c>
      <c r="L199" s="4" t="s">
        <v>37</v>
      </c>
      <c r="M199" s="4" t="s">
        <v>19</v>
      </c>
      <c r="N199">
        <v>0.12428384068475185</v>
      </c>
    </row>
    <row r="200" spans="1:14" hidden="1" x14ac:dyDescent="0.3">
      <c r="A200" s="4" t="s">
        <v>361</v>
      </c>
      <c r="B200" s="4" t="s">
        <v>27</v>
      </c>
      <c r="C200" s="5">
        <v>45629</v>
      </c>
      <c r="D200" s="4" t="s">
        <v>74</v>
      </c>
      <c r="E200" s="4" t="s">
        <v>219</v>
      </c>
      <c r="F200">
        <v>3809</v>
      </c>
      <c r="G200">
        <v>273</v>
      </c>
      <c r="H200">
        <v>200</v>
      </c>
      <c r="I200">
        <v>34281</v>
      </c>
      <c r="J200">
        <v>33534</v>
      </c>
      <c r="K200">
        <v>83</v>
      </c>
      <c r="L200" s="4" t="s">
        <v>37</v>
      </c>
      <c r="M200" s="4" t="s">
        <v>19</v>
      </c>
      <c r="N200">
        <v>0.12490884163239112</v>
      </c>
    </row>
    <row r="201" spans="1:14" hidden="1" x14ac:dyDescent="0.3">
      <c r="A201" s="4" t="s">
        <v>296</v>
      </c>
      <c r="B201" s="4" t="s">
        <v>14</v>
      </c>
      <c r="C201" s="5">
        <v>45667</v>
      </c>
      <c r="D201" s="4" t="s">
        <v>52</v>
      </c>
      <c r="E201" s="4" t="s">
        <v>132</v>
      </c>
      <c r="F201">
        <v>3092</v>
      </c>
      <c r="G201">
        <v>106</v>
      </c>
      <c r="H201">
        <v>291</v>
      </c>
      <c r="I201">
        <v>27828</v>
      </c>
      <c r="J201">
        <v>27217</v>
      </c>
      <c r="K201">
        <v>102</v>
      </c>
      <c r="L201" s="4" t="s">
        <v>62</v>
      </c>
      <c r="M201" s="4"/>
      <c r="N201">
        <v>0.12537731780940059</v>
      </c>
    </row>
    <row r="202" spans="1:14" hidden="1" x14ac:dyDescent="0.3">
      <c r="A202" s="4" t="s">
        <v>405</v>
      </c>
      <c r="B202" s="4" t="s">
        <v>33</v>
      </c>
      <c r="C202" s="5">
        <v>45645</v>
      </c>
      <c r="D202" s="4" t="s">
        <v>22</v>
      </c>
      <c r="E202" s="4" t="s">
        <v>113</v>
      </c>
      <c r="F202">
        <v>1813</v>
      </c>
      <c r="G202">
        <v>623</v>
      </c>
      <c r="H202">
        <v>72</v>
      </c>
      <c r="I202">
        <v>19943</v>
      </c>
      <c r="J202">
        <v>18959</v>
      </c>
      <c r="K202">
        <v>85</v>
      </c>
      <c r="L202" s="4" t="s">
        <v>37</v>
      </c>
      <c r="M202" s="4" t="s">
        <v>31</v>
      </c>
      <c r="N202">
        <v>0.12575841147269717</v>
      </c>
    </row>
    <row r="203" spans="1:14" hidden="1" x14ac:dyDescent="0.3">
      <c r="A203" s="4" t="s">
        <v>126</v>
      </c>
      <c r="B203" s="4" t="s">
        <v>27</v>
      </c>
      <c r="C203" s="5">
        <v>45705</v>
      </c>
      <c r="D203" s="4" t="s">
        <v>16</v>
      </c>
      <c r="E203" s="4" t="s">
        <v>29</v>
      </c>
      <c r="F203">
        <v>3138</v>
      </c>
      <c r="G203">
        <v>123</v>
      </c>
      <c r="H203">
        <v>291</v>
      </c>
      <c r="I203">
        <v>28242</v>
      </c>
      <c r="J203">
        <v>27550</v>
      </c>
      <c r="K203">
        <v>87</v>
      </c>
      <c r="L203" s="4" t="s">
        <v>30</v>
      </c>
      <c r="M203" s="4" t="s">
        <v>38</v>
      </c>
      <c r="N203">
        <v>0.12577012959422137</v>
      </c>
    </row>
    <row r="204" spans="1:14" hidden="1" x14ac:dyDescent="0.3">
      <c r="A204" s="4" t="s">
        <v>116</v>
      </c>
      <c r="B204" s="4" t="s">
        <v>43</v>
      </c>
      <c r="C204" s="5">
        <v>45525</v>
      </c>
      <c r="D204" s="4" t="s">
        <v>52</v>
      </c>
      <c r="E204" s="4" t="s">
        <v>59</v>
      </c>
      <c r="F204">
        <v>1407</v>
      </c>
      <c r="G204">
        <v>400</v>
      </c>
      <c r="H204">
        <v>351</v>
      </c>
      <c r="I204">
        <v>16884</v>
      </c>
      <c r="J204">
        <v>15954</v>
      </c>
      <c r="K204">
        <v>113</v>
      </c>
      <c r="L204" s="4" t="s">
        <v>30</v>
      </c>
      <c r="M204" s="4" t="s">
        <v>19</v>
      </c>
      <c r="N204">
        <v>0.12781331438047855</v>
      </c>
    </row>
    <row r="205" spans="1:14" hidden="1" x14ac:dyDescent="0.3">
      <c r="A205" s="4" t="s">
        <v>464</v>
      </c>
      <c r="B205" s="4" t="s">
        <v>43</v>
      </c>
      <c r="C205" s="5">
        <v>45648</v>
      </c>
      <c r="D205" s="4" t="s">
        <v>52</v>
      </c>
      <c r="E205" s="4" t="s">
        <v>59</v>
      </c>
      <c r="F205">
        <v>3196</v>
      </c>
      <c r="G205">
        <v>941</v>
      </c>
      <c r="H205">
        <v>376</v>
      </c>
      <c r="I205">
        <v>35156</v>
      </c>
      <c r="J205">
        <v>34444</v>
      </c>
      <c r="K205">
        <v>241</v>
      </c>
      <c r="L205" s="4" t="s">
        <v>30</v>
      </c>
      <c r="M205" s="4" t="s">
        <v>31</v>
      </c>
      <c r="N205">
        <v>0.1283706906360223</v>
      </c>
    </row>
    <row r="206" spans="1:14" hidden="1" x14ac:dyDescent="0.3">
      <c r="A206" s="4" t="s">
        <v>63</v>
      </c>
      <c r="B206" s="4" t="s">
        <v>43</v>
      </c>
      <c r="C206" s="5">
        <v>45494</v>
      </c>
      <c r="D206" s="4" t="s">
        <v>16</v>
      </c>
      <c r="E206" s="4" t="s">
        <v>65</v>
      </c>
      <c r="F206">
        <v>1946</v>
      </c>
      <c r="G206">
        <v>686</v>
      </c>
      <c r="H206">
        <v>377</v>
      </c>
      <c r="I206">
        <v>23352</v>
      </c>
      <c r="J206">
        <v>22982</v>
      </c>
      <c r="K206">
        <v>213</v>
      </c>
      <c r="L206" s="4" t="s">
        <v>62</v>
      </c>
      <c r="M206" s="4" t="s">
        <v>31</v>
      </c>
      <c r="N206">
        <v>0.12885405960945528</v>
      </c>
    </row>
    <row r="207" spans="1:14" hidden="1" x14ac:dyDescent="0.3">
      <c r="A207" s="4" t="s">
        <v>257</v>
      </c>
      <c r="B207" s="4" t="s">
        <v>33</v>
      </c>
      <c r="C207" s="5">
        <v>45457</v>
      </c>
      <c r="D207" s="4" t="s">
        <v>45</v>
      </c>
      <c r="E207" s="4" t="s">
        <v>88</v>
      </c>
      <c r="F207">
        <v>498</v>
      </c>
      <c r="G207">
        <v>38</v>
      </c>
      <c r="H207">
        <v>42</v>
      </c>
      <c r="I207">
        <v>4482</v>
      </c>
      <c r="J207">
        <v>3647</v>
      </c>
      <c r="K207">
        <v>32</v>
      </c>
      <c r="L207" s="4" t="s">
        <v>62</v>
      </c>
      <c r="M207" s="4" t="s">
        <v>19</v>
      </c>
      <c r="N207">
        <v>0.12896028558679162</v>
      </c>
    </row>
    <row r="208" spans="1:14" hidden="1" x14ac:dyDescent="0.3">
      <c r="A208" s="4" t="s">
        <v>165</v>
      </c>
      <c r="B208" s="4" t="s">
        <v>43</v>
      </c>
      <c r="C208" s="5">
        <v>45644</v>
      </c>
      <c r="D208" s="4" t="s">
        <v>45</v>
      </c>
      <c r="E208" s="4" t="s">
        <v>46</v>
      </c>
      <c r="F208">
        <v>2946</v>
      </c>
      <c r="G208">
        <v>498</v>
      </c>
      <c r="H208">
        <v>367</v>
      </c>
      <c r="I208">
        <v>29460</v>
      </c>
      <c r="J208">
        <v>28527</v>
      </c>
      <c r="K208">
        <v>60</v>
      </c>
      <c r="L208" s="4" t="s">
        <v>62</v>
      </c>
      <c r="M208" s="4" t="s">
        <v>31</v>
      </c>
      <c r="N208">
        <v>0.12936184657162253</v>
      </c>
    </row>
    <row r="209" spans="1:14" hidden="1" x14ac:dyDescent="0.3">
      <c r="A209" s="4" t="s">
        <v>275</v>
      </c>
      <c r="B209" s="4" t="s">
        <v>14</v>
      </c>
      <c r="C209" s="5">
        <v>45610</v>
      </c>
      <c r="D209" s="4" t="s">
        <v>35</v>
      </c>
      <c r="E209" s="4" t="s">
        <v>149</v>
      </c>
      <c r="F209">
        <v>4000</v>
      </c>
      <c r="G209">
        <v>689</v>
      </c>
      <c r="H209">
        <v>488</v>
      </c>
      <c r="I209">
        <v>40000</v>
      </c>
      <c r="J209">
        <v>39569</v>
      </c>
      <c r="K209">
        <v>44</v>
      </c>
      <c r="L209" s="4" t="s">
        <v>62</v>
      </c>
      <c r="M209" s="4" t="s">
        <v>19</v>
      </c>
      <c r="N209">
        <v>0.12942500000000001</v>
      </c>
    </row>
    <row r="210" spans="1:14" hidden="1" x14ac:dyDescent="0.3">
      <c r="A210" s="4" t="s">
        <v>465</v>
      </c>
      <c r="B210" s="4" t="s">
        <v>43</v>
      </c>
      <c r="C210" s="5">
        <v>45523</v>
      </c>
      <c r="D210" s="4" t="s">
        <v>22</v>
      </c>
      <c r="E210" s="4" t="s">
        <v>56</v>
      </c>
      <c r="F210">
        <v>1257</v>
      </c>
      <c r="G210">
        <v>19</v>
      </c>
      <c r="H210">
        <v>351</v>
      </c>
      <c r="I210">
        <v>12570</v>
      </c>
      <c r="J210">
        <v>11660</v>
      </c>
      <c r="K210">
        <v>194</v>
      </c>
      <c r="L210" s="4" t="s">
        <v>62</v>
      </c>
      <c r="M210" s="4" t="s">
        <v>25</v>
      </c>
      <c r="N210">
        <v>0.12943516308671441</v>
      </c>
    </row>
    <row r="211" spans="1:14" hidden="1" x14ac:dyDescent="0.3">
      <c r="A211" s="4" t="s">
        <v>465</v>
      </c>
      <c r="B211" s="4" t="s">
        <v>43</v>
      </c>
      <c r="C211" s="5">
        <v>45523</v>
      </c>
      <c r="D211" s="4" t="s">
        <v>22</v>
      </c>
      <c r="E211" s="4" t="s">
        <v>56</v>
      </c>
      <c r="F211">
        <v>1257</v>
      </c>
      <c r="G211">
        <v>19</v>
      </c>
      <c r="H211">
        <v>351</v>
      </c>
      <c r="I211">
        <v>12570</v>
      </c>
      <c r="J211">
        <v>11660</v>
      </c>
      <c r="K211">
        <v>194</v>
      </c>
      <c r="L211" s="4" t="s">
        <v>613</v>
      </c>
      <c r="M211" s="4" t="s">
        <v>25</v>
      </c>
      <c r="N211">
        <v>0.12943516308671441</v>
      </c>
    </row>
    <row r="212" spans="1:14" hidden="1" x14ac:dyDescent="0.3">
      <c r="A212" s="4" t="s">
        <v>465</v>
      </c>
      <c r="B212" s="4" t="s">
        <v>43</v>
      </c>
      <c r="C212" s="5">
        <v>45523</v>
      </c>
      <c r="D212" s="4" t="s">
        <v>22</v>
      </c>
      <c r="E212" s="4" t="s">
        <v>56</v>
      </c>
      <c r="F212">
        <v>1257</v>
      </c>
      <c r="G212">
        <v>19</v>
      </c>
      <c r="H212">
        <v>351</v>
      </c>
      <c r="I212">
        <v>12570</v>
      </c>
      <c r="J212">
        <v>11660</v>
      </c>
      <c r="K212">
        <v>194</v>
      </c>
      <c r="L212" s="4" t="s">
        <v>37</v>
      </c>
      <c r="M212" s="4" t="s">
        <v>25</v>
      </c>
      <c r="N212">
        <v>0.12943516308671441</v>
      </c>
    </row>
    <row r="213" spans="1:14" hidden="1" x14ac:dyDescent="0.3">
      <c r="A213" s="4" t="s">
        <v>300</v>
      </c>
      <c r="B213" s="4" t="s">
        <v>33</v>
      </c>
      <c r="C213" s="5">
        <v>45586</v>
      </c>
      <c r="D213" s="4" t="s">
        <v>16</v>
      </c>
      <c r="E213" s="4" t="s">
        <v>82</v>
      </c>
      <c r="F213">
        <v>4840</v>
      </c>
      <c r="G213">
        <v>658</v>
      </c>
      <c r="H213">
        <v>211</v>
      </c>
      <c r="I213">
        <v>43560</v>
      </c>
      <c r="J213">
        <v>43225</v>
      </c>
      <c r="K213">
        <v>57</v>
      </c>
      <c r="L213" s="4" t="s">
        <v>62</v>
      </c>
      <c r="M213" s="4" t="s">
        <v>31</v>
      </c>
      <c r="N213">
        <v>0.13106060606060607</v>
      </c>
    </row>
    <row r="214" spans="1:14" hidden="1" x14ac:dyDescent="0.3">
      <c r="A214" s="4" t="s">
        <v>494</v>
      </c>
      <c r="B214" s="4" t="s">
        <v>14</v>
      </c>
      <c r="C214" s="5">
        <v>45671</v>
      </c>
      <c r="D214" s="4" t="s">
        <v>52</v>
      </c>
      <c r="E214" s="4" t="s">
        <v>132</v>
      </c>
      <c r="F214">
        <v>2692</v>
      </c>
      <c r="G214">
        <v>115</v>
      </c>
      <c r="H214">
        <v>64</v>
      </c>
      <c r="I214">
        <v>21536</v>
      </c>
      <c r="J214">
        <v>21120</v>
      </c>
      <c r="K214">
        <v>224</v>
      </c>
      <c r="L214" s="4" t="s">
        <v>62</v>
      </c>
      <c r="M214" s="4" t="s">
        <v>25</v>
      </c>
      <c r="N214">
        <v>0.13331166419019316</v>
      </c>
    </row>
    <row r="215" spans="1:14" hidden="1" x14ac:dyDescent="0.3">
      <c r="A215" s="4" t="s">
        <v>200</v>
      </c>
      <c r="B215" s="4" t="s">
        <v>27</v>
      </c>
      <c r="C215" s="5">
        <v>45593</v>
      </c>
      <c r="D215" s="4" t="s">
        <v>16</v>
      </c>
      <c r="E215" s="4" t="s">
        <v>29</v>
      </c>
      <c r="F215">
        <v>1855</v>
      </c>
      <c r="G215">
        <v>200</v>
      </c>
      <c r="H215">
        <v>174</v>
      </c>
      <c r="I215">
        <v>16695</v>
      </c>
      <c r="J215">
        <v>16330</v>
      </c>
      <c r="K215">
        <v>123</v>
      </c>
      <c r="L215" s="4" t="s">
        <v>30</v>
      </c>
      <c r="M215" s="4" t="s">
        <v>31</v>
      </c>
      <c r="N215">
        <v>0.13351302785265048</v>
      </c>
    </row>
    <row r="216" spans="1:14" hidden="1" x14ac:dyDescent="0.3">
      <c r="A216" s="4" t="s">
        <v>456</v>
      </c>
      <c r="B216" s="4" t="s">
        <v>33</v>
      </c>
      <c r="C216" s="5">
        <v>45476</v>
      </c>
      <c r="D216" s="4" t="s">
        <v>45</v>
      </c>
      <c r="E216" s="4" t="s">
        <v>88</v>
      </c>
      <c r="F216">
        <v>4799</v>
      </c>
      <c r="G216">
        <v>694</v>
      </c>
      <c r="H216">
        <v>289</v>
      </c>
      <c r="I216">
        <v>43191</v>
      </c>
      <c r="J216">
        <v>42228</v>
      </c>
      <c r="K216">
        <v>118</v>
      </c>
      <c r="L216" s="4" t="s">
        <v>30</v>
      </c>
      <c r="M216" s="4"/>
      <c r="N216">
        <v>0.13387048227640017</v>
      </c>
    </row>
    <row r="217" spans="1:14" hidden="1" x14ac:dyDescent="0.3">
      <c r="A217" s="4" t="s">
        <v>301</v>
      </c>
      <c r="B217" s="4" t="s">
        <v>33</v>
      </c>
      <c r="C217" s="5">
        <v>45720</v>
      </c>
      <c r="D217" s="4" t="s">
        <v>35</v>
      </c>
      <c r="E217" s="4" t="s">
        <v>36</v>
      </c>
      <c r="F217">
        <v>1947</v>
      </c>
      <c r="G217">
        <v>842</v>
      </c>
      <c r="H217">
        <v>101</v>
      </c>
      <c r="I217">
        <v>21417</v>
      </c>
      <c r="J217">
        <v>20967</v>
      </c>
      <c r="K217">
        <v>186</v>
      </c>
      <c r="L217" s="4" t="s">
        <v>62</v>
      </c>
      <c r="M217" s="4" t="s">
        <v>25</v>
      </c>
      <c r="N217">
        <v>0.13493953401503478</v>
      </c>
    </row>
    <row r="218" spans="1:14" hidden="1" x14ac:dyDescent="0.3">
      <c r="A218" s="4" t="s">
        <v>152</v>
      </c>
      <c r="B218" s="4" t="s">
        <v>27</v>
      </c>
      <c r="C218" s="5">
        <v>45476</v>
      </c>
      <c r="D218" s="4" t="s">
        <v>35</v>
      </c>
      <c r="E218" s="4" t="s">
        <v>154</v>
      </c>
      <c r="F218">
        <v>2754</v>
      </c>
      <c r="G218">
        <v>130</v>
      </c>
      <c r="H218">
        <v>90</v>
      </c>
      <c r="I218">
        <v>22032</v>
      </c>
      <c r="J218">
        <v>21288</v>
      </c>
      <c r="K218">
        <v>112</v>
      </c>
      <c r="L218" s="4" t="s">
        <v>30</v>
      </c>
      <c r="M218" s="4" t="s">
        <v>31</v>
      </c>
      <c r="N218">
        <v>0.13498547567175018</v>
      </c>
    </row>
    <row r="219" spans="1:14" hidden="1" x14ac:dyDescent="0.3">
      <c r="A219" s="4" t="s">
        <v>543</v>
      </c>
      <c r="B219" s="4" t="s">
        <v>27</v>
      </c>
      <c r="C219" s="5">
        <v>45491</v>
      </c>
      <c r="D219" s="4" t="s">
        <v>22</v>
      </c>
      <c r="E219" s="4" t="s">
        <v>104</v>
      </c>
      <c r="F219">
        <v>4021</v>
      </c>
      <c r="G219">
        <v>794</v>
      </c>
      <c r="H219">
        <v>77</v>
      </c>
      <c r="I219">
        <v>36189</v>
      </c>
      <c r="J219">
        <v>35505</v>
      </c>
      <c r="K219">
        <v>174</v>
      </c>
      <c r="L219" s="4" t="s">
        <v>37</v>
      </c>
      <c r="M219" s="4"/>
      <c r="N219">
        <v>0.13517919809886983</v>
      </c>
    </row>
    <row r="220" spans="1:14" hidden="1" x14ac:dyDescent="0.3">
      <c r="A220" s="4" t="s">
        <v>227</v>
      </c>
      <c r="B220" s="4" t="s">
        <v>43</v>
      </c>
      <c r="C220" s="5">
        <v>45480</v>
      </c>
      <c r="D220" s="4" t="s">
        <v>35</v>
      </c>
      <c r="E220" s="4" t="s">
        <v>71</v>
      </c>
      <c r="F220">
        <v>302</v>
      </c>
      <c r="G220">
        <v>47</v>
      </c>
      <c r="H220">
        <v>430</v>
      </c>
      <c r="I220">
        <v>5738</v>
      </c>
      <c r="J220">
        <v>4890</v>
      </c>
      <c r="K220">
        <v>25</v>
      </c>
      <c r="L220" s="4" t="s">
        <v>30</v>
      </c>
      <c r="M220" s="4" t="s">
        <v>38</v>
      </c>
      <c r="N220">
        <v>0.13576158940397351</v>
      </c>
    </row>
    <row r="221" spans="1:14" hidden="1" x14ac:dyDescent="0.3">
      <c r="A221" s="4" t="s">
        <v>235</v>
      </c>
      <c r="B221" s="4" t="s">
        <v>14</v>
      </c>
      <c r="C221" s="5">
        <v>45586</v>
      </c>
      <c r="D221" s="4" t="s">
        <v>35</v>
      </c>
      <c r="E221" s="4" t="s">
        <v>149</v>
      </c>
      <c r="F221">
        <v>3801</v>
      </c>
      <c r="G221">
        <v>967</v>
      </c>
      <c r="H221">
        <v>401</v>
      </c>
      <c r="I221">
        <v>38010</v>
      </c>
      <c r="J221">
        <v>37625</v>
      </c>
      <c r="K221">
        <v>236</v>
      </c>
      <c r="L221" s="4" t="s">
        <v>62</v>
      </c>
      <c r="M221" s="4" t="s">
        <v>31</v>
      </c>
      <c r="N221">
        <v>0.13599052880820836</v>
      </c>
    </row>
    <row r="222" spans="1:14" hidden="1" x14ac:dyDescent="0.3">
      <c r="A222" s="4" t="s">
        <v>386</v>
      </c>
      <c r="B222" s="4" t="s">
        <v>14</v>
      </c>
      <c r="C222" s="5">
        <v>45501</v>
      </c>
      <c r="D222" s="4" t="s">
        <v>52</v>
      </c>
      <c r="E222" s="4" t="s">
        <v>132</v>
      </c>
      <c r="F222">
        <v>3215</v>
      </c>
      <c r="G222">
        <v>960</v>
      </c>
      <c r="H222">
        <v>202</v>
      </c>
      <c r="I222">
        <v>32150</v>
      </c>
      <c r="J222">
        <v>31404</v>
      </c>
      <c r="K222">
        <v>251</v>
      </c>
      <c r="L222" s="4" t="s">
        <v>37</v>
      </c>
      <c r="M222" s="4" t="s">
        <v>19</v>
      </c>
      <c r="N222">
        <v>0.13614307931570763</v>
      </c>
    </row>
    <row r="223" spans="1:14" hidden="1" x14ac:dyDescent="0.3">
      <c r="A223" s="4" t="s">
        <v>403</v>
      </c>
      <c r="B223" s="4" t="s">
        <v>33</v>
      </c>
      <c r="C223" s="5">
        <v>45519</v>
      </c>
      <c r="D223" s="4" t="s">
        <v>45</v>
      </c>
      <c r="E223" s="4" t="s">
        <v>88</v>
      </c>
      <c r="F223">
        <v>914</v>
      </c>
      <c r="G223">
        <v>464</v>
      </c>
      <c r="H223">
        <v>246</v>
      </c>
      <c r="I223">
        <v>11882</v>
      </c>
      <c r="J223">
        <v>11500</v>
      </c>
      <c r="K223">
        <v>282</v>
      </c>
      <c r="L223" s="4" t="s">
        <v>62</v>
      </c>
      <c r="M223" s="4" t="s">
        <v>38</v>
      </c>
      <c r="N223">
        <v>0.13667732704931829</v>
      </c>
    </row>
    <row r="224" spans="1:14" hidden="1" x14ac:dyDescent="0.3">
      <c r="A224" s="4" t="s">
        <v>403</v>
      </c>
      <c r="B224" s="4" t="s">
        <v>33</v>
      </c>
      <c r="C224" s="5">
        <v>45519</v>
      </c>
      <c r="D224" s="4" t="s">
        <v>45</v>
      </c>
      <c r="E224" s="4" t="s">
        <v>88</v>
      </c>
      <c r="F224">
        <v>914</v>
      </c>
      <c r="G224">
        <v>464</v>
      </c>
      <c r="H224">
        <v>246</v>
      </c>
      <c r="I224">
        <v>11882</v>
      </c>
      <c r="J224">
        <v>11500</v>
      </c>
      <c r="K224">
        <v>282</v>
      </c>
      <c r="L224" s="4" t="s">
        <v>30</v>
      </c>
      <c r="M224" s="4" t="s">
        <v>38</v>
      </c>
      <c r="N224">
        <v>0.13667732704931829</v>
      </c>
    </row>
    <row r="225" spans="1:14" hidden="1" x14ac:dyDescent="0.3">
      <c r="A225" s="4" t="s">
        <v>403</v>
      </c>
      <c r="B225" s="4" t="s">
        <v>33</v>
      </c>
      <c r="C225" s="5">
        <v>45519</v>
      </c>
      <c r="D225" s="4" t="s">
        <v>45</v>
      </c>
      <c r="E225" s="4" t="s">
        <v>88</v>
      </c>
      <c r="F225">
        <v>914</v>
      </c>
      <c r="G225">
        <v>464</v>
      </c>
      <c r="H225">
        <v>246</v>
      </c>
      <c r="I225">
        <v>11882</v>
      </c>
      <c r="J225">
        <v>11500</v>
      </c>
      <c r="K225">
        <v>282</v>
      </c>
      <c r="L225" s="4" t="s">
        <v>613</v>
      </c>
      <c r="M225" s="4" t="s">
        <v>38</v>
      </c>
      <c r="N225">
        <v>0.13667732704931829</v>
      </c>
    </row>
    <row r="226" spans="1:14" hidden="1" x14ac:dyDescent="0.3">
      <c r="A226" s="4" t="s">
        <v>255</v>
      </c>
      <c r="B226" s="4" t="s">
        <v>27</v>
      </c>
      <c r="C226" s="5">
        <v>45739</v>
      </c>
      <c r="D226" s="4" t="s">
        <v>35</v>
      </c>
      <c r="E226" s="4" t="s">
        <v>154</v>
      </c>
      <c r="F226">
        <v>3655</v>
      </c>
      <c r="G226">
        <v>568</v>
      </c>
      <c r="H226">
        <v>286</v>
      </c>
      <c r="I226">
        <v>32895</v>
      </c>
      <c r="J226">
        <v>32015</v>
      </c>
      <c r="K226">
        <v>199</v>
      </c>
      <c r="L226" s="4" t="s">
        <v>30</v>
      </c>
      <c r="M226" s="4" t="s">
        <v>31</v>
      </c>
      <c r="N226">
        <v>0.13707250341997265</v>
      </c>
    </row>
    <row r="227" spans="1:14" hidden="1" x14ac:dyDescent="0.3">
      <c r="A227" s="4" t="s">
        <v>371</v>
      </c>
      <c r="B227" s="4" t="s">
        <v>43</v>
      </c>
      <c r="C227" s="5">
        <v>45465</v>
      </c>
      <c r="D227" s="4" t="s">
        <v>22</v>
      </c>
      <c r="E227" s="4" t="s">
        <v>56</v>
      </c>
      <c r="F227">
        <v>3828</v>
      </c>
      <c r="G227">
        <v>148</v>
      </c>
      <c r="H227">
        <v>253</v>
      </c>
      <c r="I227">
        <v>30624</v>
      </c>
      <c r="J227">
        <v>30229</v>
      </c>
      <c r="K227">
        <v>235</v>
      </c>
      <c r="L227" s="4" t="s">
        <v>37</v>
      </c>
      <c r="M227" s="4"/>
      <c r="N227">
        <v>0.13809430512016718</v>
      </c>
    </row>
    <row r="228" spans="1:14" hidden="1" x14ac:dyDescent="0.3">
      <c r="A228" s="4" t="s">
        <v>565</v>
      </c>
      <c r="B228" s="4" t="s">
        <v>43</v>
      </c>
      <c r="C228" s="5">
        <v>45530</v>
      </c>
      <c r="D228" s="4" t="s">
        <v>52</v>
      </c>
      <c r="E228" s="4" t="s">
        <v>59</v>
      </c>
      <c r="F228">
        <v>2581</v>
      </c>
      <c r="G228">
        <v>517</v>
      </c>
      <c r="H228">
        <v>117</v>
      </c>
      <c r="I228">
        <v>23229</v>
      </c>
      <c r="J228">
        <v>22331</v>
      </c>
      <c r="K228">
        <v>70</v>
      </c>
      <c r="L228" s="4" t="s">
        <v>62</v>
      </c>
      <c r="M228" s="4" t="s">
        <v>31</v>
      </c>
      <c r="N228">
        <v>0.13840458048129492</v>
      </c>
    </row>
    <row r="229" spans="1:14" hidden="1" x14ac:dyDescent="0.3">
      <c r="A229" s="4" t="s">
        <v>130</v>
      </c>
      <c r="B229" s="4" t="s">
        <v>14</v>
      </c>
      <c r="C229" s="5">
        <v>45723</v>
      </c>
      <c r="D229" s="4" t="s">
        <v>52</v>
      </c>
      <c r="E229" s="4" t="s">
        <v>132</v>
      </c>
      <c r="F229">
        <v>4750</v>
      </c>
      <c r="G229">
        <v>151</v>
      </c>
      <c r="H229">
        <v>415</v>
      </c>
      <c r="I229">
        <v>38000</v>
      </c>
      <c r="J229">
        <v>37792</v>
      </c>
      <c r="K229">
        <v>299</v>
      </c>
      <c r="L229" s="4" t="s">
        <v>37</v>
      </c>
      <c r="M229" s="4" t="s">
        <v>38</v>
      </c>
      <c r="N229">
        <v>0.13989473684210527</v>
      </c>
    </row>
    <row r="230" spans="1:14" hidden="1" x14ac:dyDescent="0.3">
      <c r="A230" s="4" t="s">
        <v>524</v>
      </c>
      <c r="B230" s="4" t="s">
        <v>33</v>
      </c>
      <c r="C230" s="5">
        <v>45743</v>
      </c>
      <c r="D230" s="4" t="s">
        <v>22</v>
      </c>
      <c r="E230" s="4" t="s">
        <v>113</v>
      </c>
      <c r="F230">
        <v>4941</v>
      </c>
      <c r="G230">
        <v>414</v>
      </c>
      <c r="H230">
        <v>266</v>
      </c>
      <c r="I230">
        <v>39528</v>
      </c>
      <c r="J230">
        <v>39154</v>
      </c>
      <c r="K230">
        <v>217</v>
      </c>
      <c r="L230" s="4" t="s">
        <v>30</v>
      </c>
      <c r="M230" s="4" t="s">
        <v>31</v>
      </c>
      <c r="N230">
        <v>0.14220299534507186</v>
      </c>
    </row>
    <row r="231" spans="1:14" hidden="1" x14ac:dyDescent="0.3">
      <c r="A231" s="4" t="s">
        <v>292</v>
      </c>
      <c r="B231" s="4" t="s">
        <v>14</v>
      </c>
      <c r="C231" s="5">
        <v>45543</v>
      </c>
      <c r="D231" s="4" t="s">
        <v>45</v>
      </c>
      <c r="E231" s="4" t="s">
        <v>49</v>
      </c>
      <c r="F231">
        <v>3811</v>
      </c>
      <c r="G231">
        <v>866</v>
      </c>
      <c r="H231">
        <v>216</v>
      </c>
      <c r="I231">
        <v>34299</v>
      </c>
      <c r="J231">
        <v>34088</v>
      </c>
      <c r="K231">
        <v>233</v>
      </c>
      <c r="L231" s="4" t="s">
        <v>30</v>
      </c>
      <c r="M231" s="4" t="s">
        <v>38</v>
      </c>
      <c r="N231">
        <v>0.14265722032712325</v>
      </c>
    </row>
    <row r="232" spans="1:14" hidden="1" x14ac:dyDescent="0.3">
      <c r="A232" s="4" t="s">
        <v>176</v>
      </c>
      <c r="B232" s="4" t="s">
        <v>14</v>
      </c>
      <c r="C232" s="5">
        <v>45540</v>
      </c>
      <c r="D232" s="4" t="s">
        <v>74</v>
      </c>
      <c r="E232" s="4" t="s">
        <v>145</v>
      </c>
      <c r="F232">
        <v>4886</v>
      </c>
      <c r="G232">
        <v>983</v>
      </c>
      <c r="H232">
        <v>409</v>
      </c>
      <c r="I232">
        <v>43974</v>
      </c>
      <c r="J232">
        <v>43239</v>
      </c>
      <c r="K232">
        <v>65</v>
      </c>
      <c r="L232" s="4" t="s">
        <v>30</v>
      </c>
      <c r="M232" s="4" t="s">
        <v>19</v>
      </c>
      <c r="N232">
        <v>0.14276618001546368</v>
      </c>
    </row>
    <row r="233" spans="1:14" hidden="1" x14ac:dyDescent="0.3">
      <c r="A233" s="4" t="s">
        <v>423</v>
      </c>
      <c r="B233" s="4" t="s">
        <v>14</v>
      </c>
      <c r="C233" s="5">
        <v>45655</v>
      </c>
      <c r="D233" s="4" t="s">
        <v>45</v>
      </c>
      <c r="E233" s="4" t="s">
        <v>49</v>
      </c>
      <c r="F233">
        <v>4274</v>
      </c>
      <c r="G233">
        <v>340</v>
      </c>
      <c r="H233">
        <v>281</v>
      </c>
      <c r="I233">
        <v>34192</v>
      </c>
      <c r="J233">
        <v>33446</v>
      </c>
      <c r="K233">
        <v>129</v>
      </c>
      <c r="L233" s="4" t="s">
        <v>30</v>
      </c>
      <c r="M233" s="4" t="s">
        <v>31</v>
      </c>
      <c r="N233">
        <v>0.14316214319138981</v>
      </c>
    </row>
    <row r="234" spans="1:14" hidden="1" x14ac:dyDescent="0.3">
      <c r="A234" s="4" t="s">
        <v>423</v>
      </c>
      <c r="B234" s="4" t="s">
        <v>14</v>
      </c>
      <c r="C234" s="5">
        <v>45655</v>
      </c>
      <c r="D234" s="4" t="s">
        <v>45</v>
      </c>
      <c r="E234" s="4" t="s">
        <v>49</v>
      </c>
      <c r="F234">
        <v>4274</v>
      </c>
      <c r="G234">
        <v>340</v>
      </c>
      <c r="H234">
        <v>281</v>
      </c>
      <c r="I234">
        <v>34192</v>
      </c>
      <c r="J234">
        <v>33446</v>
      </c>
      <c r="K234">
        <v>129</v>
      </c>
      <c r="L234" s="4" t="s">
        <v>607</v>
      </c>
      <c r="M234" s="4" t="s">
        <v>31</v>
      </c>
      <c r="N234">
        <v>0.14316214319138981</v>
      </c>
    </row>
    <row r="235" spans="1:14" hidden="1" x14ac:dyDescent="0.3">
      <c r="A235" s="4" t="s">
        <v>357</v>
      </c>
      <c r="B235" s="4" t="s">
        <v>14</v>
      </c>
      <c r="C235" s="5">
        <v>45704</v>
      </c>
      <c r="D235" s="4" t="s">
        <v>16</v>
      </c>
      <c r="E235" s="4" t="s">
        <v>17</v>
      </c>
      <c r="F235">
        <v>1076</v>
      </c>
      <c r="G235">
        <v>313</v>
      </c>
      <c r="H235">
        <v>306</v>
      </c>
      <c r="I235">
        <v>11836</v>
      </c>
      <c r="J235">
        <v>11596</v>
      </c>
      <c r="K235">
        <v>104</v>
      </c>
      <c r="L235" s="4" t="s">
        <v>62</v>
      </c>
      <c r="M235" s="4" t="s">
        <v>19</v>
      </c>
      <c r="N235">
        <v>0.14320716458262928</v>
      </c>
    </row>
    <row r="236" spans="1:14" hidden="1" x14ac:dyDescent="0.3">
      <c r="A236" s="4" t="s">
        <v>369</v>
      </c>
      <c r="B236" s="4" t="s">
        <v>14</v>
      </c>
      <c r="C236" s="5">
        <v>45631</v>
      </c>
      <c r="D236" s="4" t="s">
        <v>74</v>
      </c>
      <c r="E236" s="4" t="s">
        <v>145</v>
      </c>
      <c r="F236">
        <v>1330</v>
      </c>
      <c r="G236">
        <v>925</v>
      </c>
      <c r="H236">
        <v>35</v>
      </c>
      <c r="I236">
        <v>15960</v>
      </c>
      <c r="J236">
        <v>15379</v>
      </c>
      <c r="K236">
        <v>229</v>
      </c>
      <c r="L236" s="4" t="s">
        <v>62</v>
      </c>
      <c r="M236" s="4" t="s">
        <v>31</v>
      </c>
      <c r="N236">
        <v>0.14348370927318296</v>
      </c>
    </row>
    <row r="237" spans="1:14" hidden="1" x14ac:dyDescent="0.3">
      <c r="A237" s="4" t="s">
        <v>398</v>
      </c>
      <c r="B237" s="4" t="s">
        <v>33</v>
      </c>
      <c r="C237" s="5">
        <v>45625</v>
      </c>
      <c r="D237" s="4" t="s">
        <v>74</v>
      </c>
      <c r="E237" s="4" t="s">
        <v>85</v>
      </c>
      <c r="F237">
        <v>1176</v>
      </c>
      <c r="G237">
        <v>464</v>
      </c>
      <c r="H237">
        <v>394</v>
      </c>
      <c r="I237">
        <v>14112</v>
      </c>
      <c r="J237">
        <v>13588</v>
      </c>
      <c r="K237">
        <v>272</v>
      </c>
      <c r="L237" s="4" t="s">
        <v>37</v>
      </c>
      <c r="M237" s="4"/>
      <c r="N237">
        <v>0.1441326530612245</v>
      </c>
    </row>
    <row r="238" spans="1:14" hidden="1" x14ac:dyDescent="0.3">
      <c r="A238" s="4" t="s">
        <v>69</v>
      </c>
      <c r="B238" s="4" t="s">
        <v>43</v>
      </c>
      <c r="C238" s="5">
        <v>45704</v>
      </c>
      <c r="D238" s="4" t="s">
        <v>35</v>
      </c>
      <c r="E238" s="4" t="s">
        <v>71</v>
      </c>
      <c r="F238">
        <v>4242</v>
      </c>
      <c r="G238">
        <v>555</v>
      </c>
      <c r="H238">
        <v>131</v>
      </c>
      <c r="I238">
        <v>33936</v>
      </c>
      <c r="J238">
        <v>33802</v>
      </c>
      <c r="K238">
        <v>265</v>
      </c>
      <c r="L238" s="4" t="s">
        <v>62</v>
      </c>
      <c r="M238" s="4"/>
      <c r="N238">
        <v>0.14521452145214522</v>
      </c>
    </row>
    <row r="239" spans="1:14" hidden="1" x14ac:dyDescent="0.3">
      <c r="A239" s="4" t="s">
        <v>32</v>
      </c>
      <c r="B239" s="4" t="s">
        <v>33</v>
      </c>
      <c r="C239" s="5">
        <v>45516</v>
      </c>
      <c r="D239" s="4" t="s">
        <v>35</v>
      </c>
      <c r="E239" s="4" t="s">
        <v>36</v>
      </c>
      <c r="F239">
        <v>2404</v>
      </c>
      <c r="G239">
        <v>363</v>
      </c>
      <c r="H239">
        <v>138</v>
      </c>
      <c r="I239">
        <v>19232</v>
      </c>
      <c r="J239">
        <v>18636</v>
      </c>
      <c r="K239">
        <v>128</v>
      </c>
      <c r="L239" s="4" t="s">
        <v>37</v>
      </c>
      <c r="M239" s="4" t="s">
        <v>38</v>
      </c>
      <c r="N239">
        <v>0.15105033277870217</v>
      </c>
    </row>
    <row r="240" spans="1:14" hidden="1" x14ac:dyDescent="0.3">
      <c r="A240" s="4" t="s">
        <v>326</v>
      </c>
      <c r="B240" s="4" t="s">
        <v>33</v>
      </c>
      <c r="C240" s="5">
        <v>45586</v>
      </c>
      <c r="D240" s="4" t="s">
        <v>16</v>
      </c>
      <c r="E240" s="4" t="s">
        <v>82</v>
      </c>
      <c r="F240">
        <v>3256</v>
      </c>
      <c r="G240">
        <v>459</v>
      </c>
      <c r="H240">
        <v>266</v>
      </c>
      <c r="I240">
        <v>26048</v>
      </c>
      <c r="J240">
        <v>25529</v>
      </c>
      <c r="K240">
        <v>143</v>
      </c>
      <c r="L240" s="4" t="s">
        <v>30</v>
      </c>
      <c r="M240" s="4" t="s">
        <v>25</v>
      </c>
      <c r="N240">
        <v>0.15283323095823095</v>
      </c>
    </row>
    <row r="241" spans="1:14" hidden="1" x14ac:dyDescent="0.3">
      <c r="A241" s="4" t="s">
        <v>508</v>
      </c>
      <c r="B241" s="4" t="s">
        <v>27</v>
      </c>
      <c r="C241" s="5">
        <v>45675</v>
      </c>
      <c r="D241" s="4" t="s">
        <v>52</v>
      </c>
      <c r="E241" s="4" t="s">
        <v>53</v>
      </c>
      <c r="F241">
        <v>1206</v>
      </c>
      <c r="G241">
        <v>238</v>
      </c>
      <c r="H241">
        <v>36</v>
      </c>
      <c r="I241">
        <v>9648</v>
      </c>
      <c r="J241">
        <v>9417</v>
      </c>
      <c r="K241">
        <v>237</v>
      </c>
      <c r="L241" s="4" t="s">
        <v>30</v>
      </c>
      <c r="M241" s="4"/>
      <c r="N241">
        <v>0.15339966832504145</v>
      </c>
    </row>
    <row r="242" spans="1:14" hidden="1" x14ac:dyDescent="0.3">
      <c r="A242" s="4" t="s">
        <v>355</v>
      </c>
      <c r="B242" s="4" t="s">
        <v>27</v>
      </c>
      <c r="C242" s="5">
        <v>45715</v>
      </c>
      <c r="D242" s="4" t="s">
        <v>22</v>
      </c>
      <c r="E242" s="4" t="s">
        <v>104</v>
      </c>
      <c r="F242">
        <v>4934</v>
      </c>
      <c r="G242">
        <v>971</v>
      </c>
      <c r="H242">
        <v>156</v>
      </c>
      <c r="I242">
        <v>39472</v>
      </c>
      <c r="J242">
        <v>39025</v>
      </c>
      <c r="K242">
        <v>169</v>
      </c>
      <c r="L242" s="4" t="s">
        <v>30</v>
      </c>
      <c r="M242" s="4" t="s">
        <v>38</v>
      </c>
      <c r="N242">
        <v>0.15355188488042157</v>
      </c>
    </row>
    <row r="243" spans="1:14" hidden="1" x14ac:dyDescent="0.3">
      <c r="A243" s="4" t="s">
        <v>355</v>
      </c>
      <c r="B243" s="4" t="s">
        <v>27</v>
      </c>
      <c r="C243" s="5">
        <v>45715</v>
      </c>
      <c r="D243" s="4" t="s">
        <v>22</v>
      </c>
      <c r="E243" s="4" t="s">
        <v>104</v>
      </c>
      <c r="F243">
        <v>4934</v>
      </c>
      <c r="G243">
        <v>971</v>
      </c>
      <c r="H243">
        <v>156</v>
      </c>
      <c r="I243">
        <v>39472</v>
      </c>
      <c r="J243">
        <v>39025</v>
      </c>
      <c r="K243">
        <v>169</v>
      </c>
      <c r="L243" s="4" t="s">
        <v>613</v>
      </c>
      <c r="M243" s="4" t="s">
        <v>38</v>
      </c>
      <c r="N243">
        <v>0.15355188488042157</v>
      </c>
    </row>
    <row r="244" spans="1:14" hidden="1" x14ac:dyDescent="0.3">
      <c r="A244" s="4" t="s">
        <v>356</v>
      </c>
      <c r="B244" s="4" t="s">
        <v>14</v>
      </c>
      <c r="C244" s="5">
        <v>45637</v>
      </c>
      <c r="D244" s="4" t="s">
        <v>22</v>
      </c>
      <c r="E244" s="4" t="s">
        <v>23</v>
      </c>
      <c r="F244">
        <v>3239</v>
      </c>
      <c r="G244">
        <v>43</v>
      </c>
      <c r="H244">
        <v>211</v>
      </c>
      <c r="I244">
        <v>22673</v>
      </c>
      <c r="J244">
        <v>22171</v>
      </c>
      <c r="K244">
        <v>230</v>
      </c>
      <c r="L244" s="4" t="s">
        <v>30</v>
      </c>
      <c r="M244" s="4" t="s">
        <v>25</v>
      </c>
      <c r="N244">
        <v>0.15405989502933004</v>
      </c>
    </row>
    <row r="245" spans="1:14" hidden="1" x14ac:dyDescent="0.3">
      <c r="A245" s="4" t="s">
        <v>314</v>
      </c>
      <c r="B245" s="4" t="s">
        <v>43</v>
      </c>
      <c r="C245" s="5">
        <v>45488</v>
      </c>
      <c r="D245" s="4" t="s">
        <v>52</v>
      </c>
      <c r="E245" s="4" t="s">
        <v>59</v>
      </c>
      <c r="F245">
        <v>2291</v>
      </c>
      <c r="G245">
        <v>78</v>
      </c>
      <c r="H245">
        <v>485</v>
      </c>
      <c r="I245">
        <v>18328</v>
      </c>
      <c r="J245">
        <v>18101</v>
      </c>
      <c r="K245">
        <v>10</v>
      </c>
      <c r="L245" s="4" t="s">
        <v>37</v>
      </c>
      <c r="M245" s="4" t="s">
        <v>25</v>
      </c>
      <c r="N245">
        <v>0.15571802706241816</v>
      </c>
    </row>
    <row r="246" spans="1:14" hidden="1" x14ac:dyDescent="0.3">
      <c r="A246" s="4" t="s">
        <v>314</v>
      </c>
      <c r="B246" s="4" t="s">
        <v>43</v>
      </c>
      <c r="C246" s="5">
        <v>45488</v>
      </c>
      <c r="D246" s="4" t="s">
        <v>52</v>
      </c>
      <c r="E246" s="4" t="s">
        <v>59</v>
      </c>
      <c r="F246">
        <v>2291</v>
      </c>
      <c r="G246">
        <v>78</v>
      </c>
      <c r="H246">
        <v>485</v>
      </c>
      <c r="I246">
        <v>18328</v>
      </c>
      <c r="J246">
        <v>18101</v>
      </c>
      <c r="K246">
        <v>10</v>
      </c>
      <c r="L246" s="4" t="s">
        <v>607</v>
      </c>
      <c r="M246" s="4" t="s">
        <v>25</v>
      </c>
      <c r="N246">
        <v>0.15571802706241816</v>
      </c>
    </row>
    <row r="247" spans="1:14" hidden="1" x14ac:dyDescent="0.3">
      <c r="A247" s="4" t="s">
        <v>157</v>
      </c>
      <c r="B247" s="4" t="s">
        <v>43</v>
      </c>
      <c r="C247" s="5">
        <v>45660</v>
      </c>
      <c r="D247" s="4" t="s">
        <v>52</v>
      </c>
      <c r="E247" s="4" t="s">
        <v>59</v>
      </c>
      <c r="F247">
        <v>947</v>
      </c>
      <c r="G247">
        <v>338</v>
      </c>
      <c r="H247">
        <v>350</v>
      </c>
      <c r="I247">
        <v>10417</v>
      </c>
      <c r="J247">
        <v>9730</v>
      </c>
      <c r="K247">
        <v>34</v>
      </c>
      <c r="L247" s="4" t="s">
        <v>30</v>
      </c>
      <c r="M247" s="4" t="s">
        <v>38</v>
      </c>
      <c r="N247">
        <v>0.1569549774407219</v>
      </c>
    </row>
    <row r="248" spans="1:14" hidden="1" x14ac:dyDescent="0.3">
      <c r="A248" s="4" t="s">
        <v>491</v>
      </c>
      <c r="B248" s="4" t="s">
        <v>43</v>
      </c>
      <c r="C248" s="5">
        <v>45775</v>
      </c>
      <c r="D248" s="4" t="s">
        <v>45</v>
      </c>
      <c r="E248" s="4" t="s">
        <v>46</v>
      </c>
      <c r="F248">
        <v>2089</v>
      </c>
      <c r="G248">
        <v>476</v>
      </c>
      <c r="H248">
        <v>69</v>
      </c>
      <c r="I248">
        <v>16712</v>
      </c>
      <c r="J248">
        <v>16309</v>
      </c>
      <c r="K248">
        <v>64</v>
      </c>
      <c r="L248" s="4" t="s">
        <v>62</v>
      </c>
      <c r="M248" s="4" t="s">
        <v>31</v>
      </c>
      <c r="N248">
        <v>0.15761129727142173</v>
      </c>
    </row>
    <row r="249" spans="1:14" hidden="1" x14ac:dyDescent="0.3">
      <c r="A249" s="4" t="s">
        <v>442</v>
      </c>
      <c r="B249" s="4" t="s">
        <v>43</v>
      </c>
      <c r="C249" s="5">
        <v>45739</v>
      </c>
      <c r="D249" s="4" t="s">
        <v>74</v>
      </c>
      <c r="E249" s="4" t="s">
        <v>75</v>
      </c>
      <c r="F249">
        <v>4453</v>
      </c>
      <c r="G249">
        <v>111</v>
      </c>
      <c r="H249">
        <v>420</v>
      </c>
      <c r="I249">
        <v>31171</v>
      </c>
      <c r="J249">
        <v>30565</v>
      </c>
      <c r="K249">
        <v>23</v>
      </c>
      <c r="L249" s="4" t="s">
        <v>30</v>
      </c>
      <c r="M249" s="4"/>
      <c r="N249">
        <v>0.15989220750056141</v>
      </c>
    </row>
    <row r="250" spans="1:14" hidden="1" x14ac:dyDescent="0.3">
      <c r="A250" s="4" t="s">
        <v>311</v>
      </c>
      <c r="B250" s="4" t="s">
        <v>14</v>
      </c>
      <c r="C250" s="5">
        <v>45745</v>
      </c>
      <c r="D250" s="4" t="s">
        <v>52</v>
      </c>
      <c r="E250" s="4" t="s">
        <v>132</v>
      </c>
      <c r="F250">
        <v>305</v>
      </c>
      <c r="G250">
        <v>187</v>
      </c>
      <c r="H250">
        <v>243</v>
      </c>
      <c r="I250">
        <v>4575</v>
      </c>
      <c r="J250">
        <v>3704</v>
      </c>
      <c r="K250">
        <v>234</v>
      </c>
      <c r="L250" s="4" t="s">
        <v>62</v>
      </c>
      <c r="M250" s="4" t="s">
        <v>31</v>
      </c>
      <c r="N250">
        <v>0.16065573770491803</v>
      </c>
    </row>
    <row r="251" spans="1:14" hidden="1" x14ac:dyDescent="0.3">
      <c r="A251" s="4" t="s">
        <v>217</v>
      </c>
      <c r="B251" s="4" t="s">
        <v>27</v>
      </c>
      <c r="C251" s="5">
        <v>45580</v>
      </c>
      <c r="D251" s="4" t="s">
        <v>74</v>
      </c>
      <c r="E251" s="4" t="s">
        <v>219</v>
      </c>
      <c r="F251">
        <v>1094</v>
      </c>
      <c r="G251">
        <v>472</v>
      </c>
      <c r="H251">
        <v>21</v>
      </c>
      <c r="I251">
        <v>9846</v>
      </c>
      <c r="J251">
        <v>9609</v>
      </c>
      <c r="K251">
        <v>112</v>
      </c>
      <c r="L251" s="4" t="s">
        <v>37</v>
      </c>
      <c r="M251" s="4"/>
      <c r="N251">
        <v>0.16118220597196831</v>
      </c>
    </row>
    <row r="252" spans="1:14" hidden="1" x14ac:dyDescent="0.3">
      <c r="A252" s="4" t="s">
        <v>173</v>
      </c>
      <c r="B252" s="4" t="s">
        <v>33</v>
      </c>
      <c r="C252" s="5">
        <v>45685</v>
      </c>
      <c r="D252" s="4" t="s">
        <v>74</v>
      </c>
      <c r="E252" s="4" t="s">
        <v>85</v>
      </c>
      <c r="F252">
        <v>904</v>
      </c>
      <c r="G252">
        <v>973</v>
      </c>
      <c r="H252">
        <v>63</v>
      </c>
      <c r="I252">
        <v>11752</v>
      </c>
      <c r="J252">
        <v>11580</v>
      </c>
      <c r="K252">
        <v>84</v>
      </c>
      <c r="L252" s="4" t="s">
        <v>37</v>
      </c>
      <c r="M252" s="4" t="s">
        <v>31</v>
      </c>
      <c r="N252">
        <v>0.1650782845473111</v>
      </c>
    </row>
    <row r="253" spans="1:14" hidden="1" x14ac:dyDescent="0.3">
      <c r="A253" s="4" t="s">
        <v>173</v>
      </c>
      <c r="B253" s="4" t="s">
        <v>33</v>
      </c>
      <c r="C253" s="5">
        <v>45685</v>
      </c>
      <c r="D253" s="4" t="s">
        <v>74</v>
      </c>
      <c r="E253" s="4" t="s">
        <v>85</v>
      </c>
      <c r="F253">
        <v>904</v>
      </c>
      <c r="G253">
        <v>973</v>
      </c>
      <c r="H253">
        <v>63</v>
      </c>
      <c r="I253">
        <v>11752</v>
      </c>
      <c r="J253">
        <v>11580</v>
      </c>
      <c r="K253">
        <v>84</v>
      </c>
      <c r="L253" s="4" t="s">
        <v>30</v>
      </c>
      <c r="M253" s="4" t="s">
        <v>31</v>
      </c>
      <c r="N253">
        <v>0.1650782845473111</v>
      </c>
    </row>
    <row r="254" spans="1:14" hidden="1" x14ac:dyDescent="0.3">
      <c r="A254" s="4" t="s">
        <v>173</v>
      </c>
      <c r="B254" s="4" t="s">
        <v>33</v>
      </c>
      <c r="C254" s="5">
        <v>45685</v>
      </c>
      <c r="D254" s="4" t="s">
        <v>74</v>
      </c>
      <c r="E254" s="4" t="s">
        <v>85</v>
      </c>
      <c r="F254">
        <v>904</v>
      </c>
      <c r="G254">
        <v>973</v>
      </c>
      <c r="H254">
        <v>63</v>
      </c>
      <c r="I254">
        <v>11752</v>
      </c>
      <c r="J254">
        <v>11580</v>
      </c>
      <c r="K254">
        <v>84</v>
      </c>
      <c r="L254" s="4" t="s">
        <v>613</v>
      </c>
      <c r="M254" s="4" t="s">
        <v>31</v>
      </c>
      <c r="N254">
        <v>0.1650782845473111</v>
      </c>
    </row>
    <row r="255" spans="1:14" hidden="1" x14ac:dyDescent="0.3">
      <c r="A255" s="4" t="s">
        <v>161</v>
      </c>
      <c r="B255" s="4" t="s">
        <v>27</v>
      </c>
      <c r="C255" s="5">
        <v>45729</v>
      </c>
      <c r="D255" s="4" t="s">
        <v>45</v>
      </c>
      <c r="E255" s="4" t="s">
        <v>68</v>
      </c>
      <c r="F255">
        <v>1686</v>
      </c>
      <c r="G255">
        <v>904</v>
      </c>
      <c r="H255">
        <v>472</v>
      </c>
      <c r="I255">
        <v>18546</v>
      </c>
      <c r="J255">
        <v>18171</v>
      </c>
      <c r="K255">
        <v>52</v>
      </c>
      <c r="L255" s="4" t="s">
        <v>62</v>
      </c>
      <c r="M255" s="4" t="s">
        <v>25</v>
      </c>
      <c r="N255">
        <v>0.16510298716704411</v>
      </c>
    </row>
    <row r="256" spans="1:14" hidden="1" x14ac:dyDescent="0.3">
      <c r="A256" s="4" t="s">
        <v>559</v>
      </c>
      <c r="B256" s="4" t="s">
        <v>14</v>
      </c>
      <c r="C256" s="5">
        <v>45783</v>
      </c>
      <c r="D256" s="4" t="s">
        <v>52</v>
      </c>
      <c r="E256" s="4" t="s">
        <v>132</v>
      </c>
      <c r="F256">
        <v>1952</v>
      </c>
      <c r="G256">
        <v>344</v>
      </c>
      <c r="H256">
        <v>287</v>
      </c>
      <c r="I256">
        <v>15616</v>
      </c>
      <c r="J256">
        <v>15403</v>
      </c>
      <c r="K256">
        <v>235</v>
      </c>
      <c r="L256" s="4" t="s">
        <v>62</v>
      </c>
      <c r="M256" s="4" t="s">
        <v>25</v>
      </c>
      <c r="N256">
        <v>0.16540727459016394</v>
      </c>
    </row>
    <row r="257" spans="1:14" hidden="1" x14ac:dyDescent="0.3">
      <c r="A257" s="4" t="s">
        <v>559</v>
      </c>
      <c r="B257" s="4" t="s">
        <v>14</v>
      </c>
      <c r="C257" s="5">
        <v>45783</v>
      </c>
      <c r="D257" s="4" t="s">
        <v>52</v>
      </c>
      <c r="E257" s="4" t="s">
        <v>132</v>
      </c>
      <c r="F257">
        <v>1952</v>
      </c>
      <c r="G257">
        <v>344</v>
      </c>
      <c r="H257">
        <v>287</v>
      </c>
      <c r="I257">
        <v>15616</v>
      </c>
      <c r="J257">
        <v>15403</v>
      </c>
      <c r="K257">
        <v>235</v>
      </c>
      <c r="L257" s="4" t="s">
        <v>30</v>
      </c>
      <c r="M257" s="4" t="s">
        <v>25</v>
      </c>
      <c r="N257">
        <v>0.16540727459016394</v>
      </c>
    </row>
    <row r="258" spans="1:14" hidden="1" x14ac:dyDescent="0.3">
      <c r="A258" s="4" t="s">
        <v>559</v>
      </c>
      <c r="B258" s="4" t="s">
        <v>14</v>
      </c>
      <c r="C258" s="5">
        <v>45783</v>
      </c>
      <c r="D258" s="4" t="s">
        <v>52</v>
      </c>
      <c r="E258" s="4" t="s">
        <v>132</v>
      </c>
      <c r="F258">
        <v>1952</v>
      </c>
      <c r="G258">
        <v>344</v>
      </c>
      <c r="H258">
        <v>287</v>
      </c>
      <c r="I258">
        <v>15616</v>
      </c>
      <c r="J258">
        <v>15403</v>
      </c>
      <c r="K258">
        <v>235</v>
      </c>
      <c r="L258" s="4" t="s">
        <v>613</v>
      </c>
      <c r="M258" s="4" t="s">
        <v>25</v>
      </c>
      <c r="N258">
        <v>0.16540727459016394</v>
      </c>
    </row>
    <row r="259" spans="1:14" hidden="1" x14ac:dyDescent="0.3">
      <c r="A259" s="4" t="s">
        <v>146</v>
      </c>
      <c r="B259" s="4" t="s">
        <v>14</v>
      </c>
      <c r="C259" s="5">
        <v>45712</v>
      </c>
      <c r="D259" s="4" t="s">
        <v>45</v>
      </c>
      <c r="E259" s="4" t="s">
        <v>49</v>
      </c>
      <c r="F259">
        <v>2704</v>
      </c>
      <c r="G259">
        <v>752</v>
      </c>
      <c r="H259">
        <v>153</v>
      </c>
      <c r="I259">
        <v>21632</v>
      </c>
      <c r="J259">
        <v>20792</v>
      </c>
      <c r="K259">
        <v>127</v>
      </c>
      <c r="L259" s="4" t="s">
        <v>62</v>
      </c>
      <c r="M259" s="4"/>
      <c r="N259">
        <v>0.16683616863905326</v>
      </c>
    </row>
    <row r="260" spans="1:14" hidden="1" x14ac:dyDescent="0.3">
      <c r="A260" s="4" t="s">
        <v>265</v>
      </c>
      <c r="B260" s="4" t="s">
        <v>14</v>
      </c>
      <c r="C260" s="5">
        <v>45512</v>
      </c>
      <c r="D260" s="4" t="s">
        <v>35</v>
      </c>
      <c r="E260" s="4" t="s">
        <v>149</v>
      </c>
      <c r="F260">
        <v>3649</v>
      </c>
      <c r="G260">
        <v>215</v>
      </c>
      <c r="H260">
        <v>413</v>
      </c>
      <c r="I260">
        <v>25543</v>
      </c>
      <c r="J260">
        <v>24963</v>
      </c>
      <c r="K260">
        <v>167</v>
      </c>
      <c r="L260" s="4" t="s">
        <v>62</v>
      </c>
      <c r="M260" s="4" t="s">
        <v>31</v>
      </c>
      <c r="N260">
        <v>0.16744313510550835</v>
      </c>
    </row>
    <row r="261" spans="1:14" hidden="1" x14ac:dyDescent="0.3">
      <c r="A261" s="4" t="s">
        <v>528</v>
      </c>
      <c r="B261" s="4" t="s">
        <v>43</v>
      </c>
      <c r="C261" s="5">
        <v>45509</v>
      </c>
      <c r="D261" s="4" t="s">
        <v>16</v>
      </c>
      <c r="E261" s="4" t="s">
        <v>65</v>
      </c>
      <c r="F261">
        <v>1741</v>
      </c>
      <c r="G261">
        <v>831</v>
      </c>
      <c r="H261">
        <v>345</v>
      </c>
      <c r="I261">
        <v>17410</v>
      </c>
      <c r="J261">
        <v>16844</v>
      </c>
      <c r="K261">
        <v>58</v>
      </c>
      <c r="L261" s="4" t="s">
        <v>37</v>
      </c>
      <c r="M261" s="4" t="s">
        <v>31</v>
      </c>
      <c r="N261">
        <v>0.16754738655944859</v>
      </c>
    </row>
    <row r="262" spans="1:14" hidden="1" x14ac:dyDescent="0.3">
      <c r="A262" s="4" t="s">
        <v>279</v>
      </c>
      <c r="B262" s="4" t="s">
        <v>27</v>
      </c>
      <c r="C262" s="5">
        <v>45734</v>
      </c>
      <c r="D262" s="4" t="s">
        <v>16</v>
      </c>
      <c r="E262" s="4" t="s">
        <v>29</v>
      </c>
      <c r="F262">
        <v>3704</v>
      </c>
      <c r="G262">
        <v>186</v>
      </c>
      <c r="H262">
        <v>458</v>
      </c>
      <c r="I262">
        <v>25928</v>
      </c>
      <c r="J262">
        <v>25081</v>
      </c>
      <c r="K262">
        <v>131</v>
      </c>
      <c r="L262" s="4" t="s">
        <v>30</v>
      </c>
      <c r="M262" s="4"/>
      <c r="N262">
        <v>0.16769515581610614</v>
      </c>
    </row>
    <row r="263" spans="1:14" hidden="1" x14ac:dyDescent="0.3">
      <c r="A263" s="4" t="s">
        <v>238</v>
      </c>
      <c r="B263" s="4" t="s">
        <v>33</v>
      </c>
      <c r="C263" s="5">
        <v>45603</v>
      </c>
      <c r="D263" s="4" t="s">
        <v>52</v>
      </c>
      <c r="E263" s="4" t="s">
        <v>215</v>
      </c>
      <c r="F263">
        <v>2647</v>
      </c>
      <c r="G263">
        <v>304</v>
      </c>
      <c r="H263">
        <v>170</v>
      </c>
      <c r="I263">
        <v>18529</v>
      </c>
      <c r="J263">
        <v>17841</v>
      </c>
      <c r="K263">
        <v>46</v>
      </c>
      <c r="L263" s="4" t="s">
        <v>62</v>
      </c>
      <c r="M263" s="4" t="s">
        <v>31</v>
      </c>
      <c r="N263">
        <v>0.16843866371633656</v>
      </c>
    </row>
    <row r="264" spans="1:14" hidden="1" x14ac:dyDescent="0.3">
      <c r="A264" s="4" t="s">
        <v>229</v>
      </c>
      <c r="B264" s="4" t="s">
        <v>14</v>
      </c>
      <c r="C264" s="5">
        <v>45667</v>
      </c>
      <c r="D264" s="4" t="s">
        <v>52</v>
      </c>
      <c r="E264" s="4" t="s">
        <v>132</v>
      </c>
      <c r="F264">
        <v>2214</v>
      </c>
      <c r="G264">
        <v>249</v>
      </c>
      <c r="H264">
        <v>152</v>
      </c>
      <c r="I264">
        <v>15498</v>
      </c>
      <c r="J264">
        <v>14800</v>
      </c>
      <c r="K264">
        <v>180</v>
      </c>
      <c r="L264" s="4" t="s">
        <v>37</v>
      </c>
      <c r="M264" s="4"/>
      <c r="N264">
        <v>0.16873144921925409</v>
      </c>
    </row>
    <row r="265" spans="1:14" hidden="1" x14ac:dyDescent="0.3">
      <c r="A265" s="4" t="s">
        <v>143</v>
      </c>
      <c r="B265" s="4" t="s">
        <v>14</v>
      </c>
      <c r="C265" s="5">
        <v>45779</v>
      </c>
      <c r="D265" s="4" t="s">
        <v>74</v>
      </c>
      <c r="E265" s="4" t="s">
        <v>145</v>
      </c>
      <c r="F265">
        <v>1108</v>
      </c>
      <c r="G265">
        <v>177</v>
      </c>
      <c r="H265">
        <v>212</v>
      </c>
      <c r="I265">
        <v>8864</v>
      </c>
      <c r="J265">
        <v>8710</v>
      </c>
      <c r="K265">
        <v>97</v>
      </c>
      <c r="L265" s="4" t="s">
        <v>30</v>
      </c>
      <c r="M265" s="4" t="s">
        <v>38</v>
      </c>
      <c r="N265">
        <v>0.16888537906137185</v>
      </c>
    </row>
    <row r="266" spans="1:14" hidden="1" x14ac:dyDescent="0.3">
      <c r="A266" s="4" t="s">
        <v>105</v>
      </c>
      <c r="B266" s="4" t="s">
        <v>33</v>
      </c>
      <c r="C266" s="5">
        <v>45720</v>
      </c>
      <c r="D266" s="4" t="s">
        <v>74</v>
      </c>
      <c r="E266" s="4" t="s">
        <v>85</v>
      </c>
      <c r="F266">
        <v>432</v>
      </c>
      <c r="G266">
        <v>624</v>
      </c>
      <c r="H266">
        <v>123</v>
      </c>
      <c r="I266">
        <v>6912</v>
      </c>
      <c r="J266">
        <v>6259</v>
      </c>
      <c r="K266">
        <v>79</v>
      </c>
      <c r="L266" s="4" t="s">
        <v>62</v>
      </c>
      <c r="M266" s="4" t="s">
        <v>38</v>
      </c>
      <c r="N266">
        <v>0.17057291666666666</v>
      </c>
    </row>
    <row r="267" spans="1:14" hidden="1" x14ac:dyDescent="0.3">
      <c r="A267" s="4" t="s">
        <v>297</v>
      </c>
      <c r="B267" s="4" t="s">
        <v>14</v>
      </c>
      <c r="C267" s="5">
        <v>45494</v>
      </c>
      <c r="D267" s="4" t="s">
        <v>22</v>
      </c>
      <c r="E267" s="4" t="s">
        <v>23</v>
      </c>
      <c r="F267">
        <v>2147</v>
      </c>
      <c r="G267">
        <v>430</v>
      </c>
      <c r="H267">
        <v>393</v>
      </c>
      <c r="I267">
        <v>17176</v>
      </c>
      <c r="J267">
        <v>16483</v>
      </c>
      <c r="K267">
        <v>170</v>
      </c>
      <c r="L267" s="4" t="s">
        <v>30</v>
      </c>
      <c r="M267" s="4"/>
      <c r="N267">
        <v>0.17291569632044715</v>
      </c>
    </row>
    <row r="268" spans="1:14" hidden="1" x14ac:dyDescent="0.3">
      <c r="A268" s="4" t="s">
        <v>271</v>
      </c>
      <c r="B268" s="4" t="s">
        <v>14</v>
      </c>
      <c r="C268" s="5">
        <v>45570</v>
      </c>
      <c r="D268" s="4" t="s">
        <v>35</v>
      </c>
      <c r="E268" s="4" t="s">
        <v>149</v>
      </c>
      <c r="F268">
        <v>1957</v>
      </c>
      <c r="G268">
        <v>877</v>
      </c>
      <c r="H268">
        <v>238</v>
      </c>
      <c r="I268">
        <v>17613</v>
      </c>
      <c r="J268">
        <v>16865</v>
      </c>
      <c r="K268">
        <v>297</v>
      </c>
      <c r="L268" s="4" t="s">
        <v>62</v>
      </c>
      <c r="M268" s="4" t="s">
        <v>31</v>
      </c>
      <c r="N268">
        <v>0.17441662408448305</v>
      </c>
    </row>
    <row r="269" spans="1:14" hidden="1" x14ac:dyDescent="0.3">
      <c r="A269" s="4" t="s">
        <v>472</v>
      </c>
      <c r="B269" s="4" t="s">
        <v>43</v>
      </c>
      <c r="C269" s="5">
        <v>45675</v>
      </c>
      <c r="D269" s="4" t="s">
        <v>35</v>
      </c>
      <c r="E269" s="4" t="s">
        <v>71</v>
      </c>
      <c r="F269">
        <v>4321</v>
      </c>
      <c r="G269">
        <v>874</v>
      </c>
      <c r="H269">
        <v>172</v>
      </c>
      <c r="I269">
        <v>30247</v>
      </c>
      <c r="J269">
        <v>29254</v>
      </c>
      <c r="K269">
        <v>122</v>
      </c>
      <c r="L269" s="4" t="s">
        <v>30</v>
      </c>
      <c r="M269" s="4" t="s">
        <v>38</v>
      </c>
      <c r="N269">
        <v>0.17743908486792079</v>
      </c>
    </row>
    <row r="270" spans="1:14" hidden="1" x14ac:dyDescent="0.3">
      <c r="A270" s="4" t="s">
        <v>124</v>
      </c>
      <c r="B270" s="4" t="s">
        <v>43</v>
      </c>
      <c r="C270" s="5">
        <v>45663</v>
      </c>
      <c r="D270" s="4" t="s">
        <v>45</v>
      </c>
      <c r="E270" s="4" t="s">
        <v>46</v>
      </c>
      <c r="F270">
        <v>3024</v>
      </c>
      <c r="G270">
        <v>925</v>
      </c>
      <c r="H270">
        <v>350</v>
      </c>
      <c r="I270">
        <v>24192</v>
      </c>
      <c r="J270">
        <v>23518</v>
      </c>
      <c r="K270">
        <v>36</v>
      </c>
      <c r="L270" s="4" t="s">
        <v>37</v>
      </c>
      <c r="M270" s="4" t="s">
        <v>25</v>
      </c>
      <c r="N270">
        <v>0.17770337301587302</v>
      </c>
    </row>
    <row r="271" spans="1:14" hidden="1" x14ac:dyDescent="0.3">
      <c r="A271" s="4" t="s">
        <v>335</v>
      </c>
      <c r="B271" s="4" t="s">
        <v>14</v>
      </c>
      <c r="C271" s="5">
        <v>45658</v>
      </c>
      <c r="D271" s="4" t="s">
        <v>74</v>
      </c>
      <c r="E271" s="4" t="s">
        <v>145</v>
      </c>
      <c r="F271">
        <v>754</v>
      </c>
      <c r="G271">
        <v>197</v>
      </c>
      <c r="H271">
        <v>257</v>
      </c>
      <c r="I271">
        <v>6786</v>
      </c>
      <c r="J271">
        <v>6221</v>
      </c>
      <c r="K271">
        <v>212</v>
      </c>
      <c r="L271" s="4" t="s">
        <v>30</v>
      </c>
      <c r="M271" s="4" t="s">
        <v>31</v>
      </c>
      <c r="N271">
        <v>0.17801355732390214</v>
      </c>
    </row>
    <row r="272" spans="1:14" hidden="1" x14ac:dyDescent="0.3">
      <c r="A272" s="4" t="s">
        <v>42</v>
      </c>
      <c r="B272" s="4" t="s">
        <v>43</v>
      </c>
      <c r="C272" s="5">
        <v>45596</v>
      </c>
      <c r="D272" s="4" t="s">
        <v>45</v>
      </c>
      <c r="E272" s="4" t="s">
        <v>46</v>
      </c>
      <c r="F272">
        <v>2945</v>
      </c>
      <c r="G272">
        <v>930</v>
      </c>
      <c r="H272">
        <v>355</v>
      </c>
      <c r="I272">
        <v>23560</v>
      </c>
      <c r="J272">
        <v>23275</v>
      </c>
      <c r="K272">
        <v>256</v>
      </c>
      <c r="L272" s="4" t="s">
        <v>30</v>
      </c>
      <c r="M272" s="4" t="s">
        <v>25</v>
      </c>
      <c r="N272">
        <v>0.17954159592529711</v>
      </c>
    </row>
    <row r="273" spans="1:14" hidden="1" x14ac:dyDescent="0.3">
      <c r="A273" s="4" t="s">
        <v>557</v>
      </c>
      <c r="B273" s="4" t="s">
        <v>43</v>
      </c>
      <c r="C273" s="5">
        <v>45462</v>
      </c>
      <c r="D273" s="4" t="s">
        <v>45</v>
      </c>
      <c r="E273" s="4" t="s">
        <v>46</v>
      </c>
      <c r="F273">
        <v>4731</v>
      </c>
      <c r="G273">
        <v>173</v>
      </c>
      <c r="H273">
        <v>276</v>
      </c>
      <c r="I273">
        <v>28386</v>
      </c>
      <c r="J273">
        <v>28185</v>
      </c>
      <c r="K273">
        <v>89</v>
      </c>
      <c r="L273" s="4" t="s">
        <v>37</v>
      </c>
      <c r="M273" s="4" t="s">
        <v>31</v>
      </c>
      <c r="N273">
        <v>0.18248432325794406</v>
      </c>
    </row>
    <row r="274" spans="1:14" hidden="1" x14ac:dyDescent="0.3">
      <c r="A274" s="4" t="s">
        <v>133</v>
      </c>
      <c r="B274" s="4" t="s">
        <v>33</v>
      </c>
      <c r="C274" s="5">
        <v>45724</v>
      </c>
      <c r="D274" s="4" t="s">
        <v>16</v>
      </c>
      <c r="E274" s="4" t="s">
        <v>82</v>
      </c>
      <c r="F274">
        <v>456</v>
      </c>
      <c r="G274">
        <v>629</v>
      </c>
      <c r="H274">
        <v>428</v>
      </c>
      <c r="I274">
        <v>8208</v>
      </c>
      <c r="J274">
        <v>7377</v>
      </c>
      <c r="K274">
        <v>205</v>
      </c>
      <c r="L274" s="4" t="s">
        <v>62</v>
      </c>
      <c r="M274" s="4" t="s">
        <v>38</v>
      </c>
      <c r="N274">
        <v>0.18433235867446393</v>
      </c>
    </row>
    <row r="275" spans="1:14" hidden="1" x14ac:dyDescent="0.3">
      <c r="A275" s="4" t="s">
        <v>474</v>
      </c>
      <c r="B275" s="4" t="s">
        <v>43</v>
      </c>
      <c r="C275" s="5">
        <v>45480</v>
      </c>
      <c r="D275" s="4" t="s">
        <v>16</v>
      </c>
      <c r="E275" s="4" t="s">
        <v>65</v>
      </c>
      <c r="F275">
        <v>4767</v>
      </c>
      <c r="G275">
        <v>190</v>
      </c>
      <c r="H275">
        <v>340</v>
      </c>
      <c r="I275">
        <v>28602</v>
      </c>
      <c r="J275">
        <v>28044</v>
      </c>
      <c r="K275">
        <v>210</v>
      </c>
      <c r="L275" s="4" t="s">
        <v>37</v>
      </c>
      <c r="M275" s="4" t="s">
        <v>31</v>
      </c>
      <c r="N275">
        <v>0.18519683938186141</v>
      </c>
    </row>
    <row r="276" spans="1:14" hidden="1" x14ac:dyDescent="0.3">
      <c r="A276" s="4" t="s">
        <v>429</v>
      </c>
      <c r="B276" s="4" t="s">
        <v>14</v>
      </c>
      <c r="C276" s="5">
        <v>45491</v>
      </c>
      <c r="D276" s="4" t="s">
        <v>45</v>
      </c>
      <c r="E276" s="4" t="s">
        <v>49</v>
      </c>
      <c r="F276">
        <v>2120</v>
      </c>
      <c r="G276">
        <v>38</v>
      </c>
      <c r="H276">
        <v>212</v>
      </c>
      <c r="I276">
        <v>12720</v>
      </c>
      <c r="J276">
        <v>12564</v>
      </c>
      <c r="K276">
        <v>21</v>
      </c>
      <c r="L276" s="4" t="s">
        <v>62</v>
      </c>
      <c r="M276" s="4" t="s">
        <v>38</v>
      </c>
      <c r="N276">
        <v>0.18632075471698112</v>
      </c>
    </row>
    <row r="277" spans="1:14" hidden="1" x14ac:dyDescent="0.3">
      <c r="A277" s="4" t="s">
        <v>439</v>
      </c>
      <c r="B277" s="4" t="s">
        <v>43</v>
      </c>
      <c r="C277" s="5">
        <v>45454</v>
      </c>
      <c r="D277" s="4" t="s">
        <v>45</v>
      </c>
      <c r="E277" s="4" t="s">
        <v>46</v>
      </c>
      <c r="F277">
        <v>1869</v>
      </c>
      <c r="G277">
        <v>453</v>
      </c>
      <c r="H277">
        <v>490</v>
      </c>
      <c r="I277">
        <v>14952</v>
      </c>
      <c r="J277">
        <v>14309</v>
      </c>
      <c r="K277">
        <v>275</v>
      </c>
      <c r="L277" s="4" t="s">
        <v>30</v>
      </c>
      <c r="M277" s="4" t="s">
        <v>38</v>
      </c>
      <c r="N277">
        <v>0.18806848582129482</v>
      </c>
    </row>
    <row r="278" spans="1:14" hidden="1" x14ac:dyDescent="0.3">
      <c r="A278" s="4" t="s">
        <v>114</v>
      </c>
      <c r="B278" s="4" t="s">
        <v>14</v>
      </c>
      <c r="C278" s="5">
        <v>45504</v>
      </c>
      <c r="D278" s="4" t="s">
        <v>45</v>
      </c>
      <c r="E278" s="4" t="s">
        <v>49</v>
      </c>
      <c r="F278">
        <v>2278</v>
      </c>
      <c r="G278">
        <v>10</v>
      </c>
      <c r="H278">
        <v>321</v>
      </c>
      <c r="I278">
        <v>13668</v>
      </c>
      <c r="J278">
        <v>12676</v>
      </c>
      <c r="K278">
        <v>275</v>
      </c>
      <c r="L278" s="4" t="s">
        <v>37</v>
      </c>
      <c r="M278" s="4" t="s">
        <v>19</v>
      </c>
      <c r="N278">
        <v>0.19088381621305239</v>
      </c>
    </row>
    <row r="279" spans="1:14" hidden="1" x14ac:dyDescent="0.3">
      <c r="A279" s="4" t="s">
        <v>222</v>
      </c>
      <c r="B279" s="4" t="s">
        <v>33</v>
      </c>
      <c r="C279" s="5">
        <v>45766</v>
      </c>
      <c r="D279" s="4" t="s">
        <v>52</v>
      </c>
      <c r="E279" s="4" t="s">
        <v>215</v>
      </c>
      <c r="F279">
        <v>4177</v>
      </c>
      <c r="G279">
        <v>569</v>
      </c>
      <c r="H279">
        <v>55</v>
      </c>
      <c r="I279">
        <v>25062</v>
      </c>
      <c r="J279">
        <v>24847</v>
      </c>
      <c r="K279">
        <v>230</v>
      </c>
      <c r="L279" s="4" t="s">
        <v>62</v>
      </c>
      <c r="M279" s="4" t="s">
        <v>19</v>
      </c>
      <c r="N279">
        <v>0.19156491900087783</v>
      </c>
    </row>
    <row r="280" spans="1:14" hidden="1" x14ac:dyDescent="0.3">
      <c r="A280" s="4" t="s">
        <v>189</v>
      </c>
      <c r="B280" s="4" t="s">
        <v>33</v>
      </c>
      <c r="C280" s="5">
        <v>45634</v>
      </c>
      <c r="D280" s="4" t="s">
        <v>35</v>
      </c>
      <c r="E280" s="4" t="s">
        <v>36</v>
      </c>
      <c r="F280">
        <v>2610</v>
      </c>
      <c r="G280">
        <v>126</v>
      </c>
      <c r="H280">
        <v>288</v>
      </c>
      <c r="I280">
        <v>15660</v>
      </c>
      <c r="J280">
        <v>15145</v>
      </c>
      <c r="K280">
        <v>73</v>
      </c>
      <c r="L280" s="4" t="s">
        <v>37</v>
      </c>
      <c r="M280" s="4"/>
      <c r="N280">
        <v>0.19310344827586207</v>
      </c>
    </row>
    <row r="281" spans="1:14" hidden="1" x14ac:dyDescent="0.3">
      <c r="A281" s="4" t="s">
        <v>544</v>
      </c>
      <c r="B281" s="4" t="s">
        <v>27</v>
      </c>
      <c r="C281" s="5">
        <v>45560</v>
      </c>
      <c r="D281" s="4" t="s">
        <v>74</v>
      </c>
      <c r="E281" s="4" t="s">
        <v>219</v>
      </c>
      <c r="F281">
        <v>3389</v>
      </c>
      <c r="G281">
        <v>344</v>
      </c>
      <c r="H281">
        <v>229</v>
      </c>
      <c r="I281">
        <v>20334</v>
      </c>
      <c r="J281">
        <v>19443</v>
      </c>
      <c r="K281">
        <v>228</v>
      </c>
      <c r="L281" s="4" t="s">
        <v>62</v>
      </c>
      <c r="M281" s="4" t="s">
        <v>31</v>
      </c>
      <c r="N281">
        <v>0.19484607062063539</v>
      </c>
    </row>
    <row r="282" spans="1:14" hidden="1" x14ac:dyDescent="0.3">
      <c r="A282" s="4" t="s">
        <v>333</v>
      </c>
      <c r="B282" s="4" t="s">
        <v>43</v>
      </c>
      <c r="C282" s="5">
        <v>45769</v>
      </c>
      <c r="D282" s="4" t="s">
        <v>52</v>
      </c>
      <c r="E282" s="4" t="s">
        <v>59</v>
      </c>
      <c r="F282">
        <v>4804</v>
      </c>
      <c r="G282">
        <v>550</v>
      </c>
      <c r="H282">
        <v>270</v>
      </c>
      <c r="I282">
        <v>28824</v>
      </c>
      <c r="J282">
        <v>28370</v>
      </c>
      <c r="K282">
        <v>47</v>
      </c>
      <c r="L282" s="4" t="s">
        <v>37</v>
      </c>
      <c r="M282" s="4" t="s">
        <v>38</v>
      </c>
      <c r="N282">
        <v>0.19511518179295032</v>
      </c>
    </row>
    <row r="283" spans="1:14" hidden="1" x14ac:dyDescent="0.3">
      <c r="A283" s="4" t="s">
        <v>408</v>
      </c>
      <c r="B283" s="4" t="s">
        <v>14</v>
      </c>
      <c r="C283" s="5">
        <v>45549</v>
      </c>
      <c r="D283" s="4" t="s">
        <v>52</v>
      </c>
      <c r="E283" s="4" t="s">
        <v>132</v>
      </c>
      <c r="F283">
        <v>1048</v>
      </c>
      <c r="G283">
        <v>374</v>
      </c>
      <c r="H283">
        <v>450</v>
      </c>
      <c r="I283">
        <v>9432</v>
      </c>
      <c r="J283">
        <v>8882</v>
      </c>
      <c r="K283">
        <v>158</v>
      </c>
      <c r="L283" s="4" t="s">
        <v>30</v>
      </c>
      <c r="M283" s="4" t="s">
        <v>31</v>
      </c>
      <c r="N283">
        <v>0.19847328244274809</v>
      </c>
    </row>
    <row r="284" spans="1:14" hidden="1" x14ac:dyDescent="0.3">
      <c r="A284" s="4" t="s">
        <v>327</v>
      </c>
      <c r="B284" s="4" t="s">
        <v>33</v>
      </c>
      <c r="C284" s="5">
        <v>45762</v>
      </c>
      <c r="D284" s="4" t="s">
        <v>74</v>
      </c>
      <c r="E284" s="4" t="s">
        <v>85</v>
      </c>
      <c r="F284">
        <v>4133</v>
      </c>
      <c r="G284">
        <v>466</v>
      </c>
      <c r="H284">
        <v>327</v>
      </c>
      <c r="I284">
        <v>24798</v>
      </c>
      <c r="J284">
        <v>24620</v>
      </c>
      <c r="K284">
        <v>176</v>
      </c>
      <c r="L284" s="4" t="s">
        <v>37</v>
      </c>
      <c r="M284" s="4" t="s">
        <v>38</v>
      </c>
      <c r="N284">
        <v>0.19864505202032423</v>
      </c>
    </row>
    <row r="285" spans="1:14" hidden="1" x14ac:dyDescent="0.3">
      <c r="A285" s="4" t="s">
        <v>529</v>
      </c>
      <c r="B285" s="4" t="s">
        <v>14</v>
      </c>
      <c r="C285" s="5">
        <v>45450</v>
      </c>
      <c r="D285" s="4" t="s">
        <v>45</v>
      </c>
      <c r="E285" s="4" t="s">
        <v>49</v>
      </c>
      <c r="F285">
        <v>1556</v>
      </c>
      <c r="G285">
        <v>195</v>
      </c>
      <c r="H285">
        <v>131</v>
      </c>
      <c r="I285">
        <v>9336</v>
      </c>
      <c r="J285">
        <v>8875</v>
      </c>
      <c r="K285">
        <v>137</v>
      </c>
      <c r="L285" s="4" t="s">
        <v>30</v>
      </c>
      <c r="M285" s="4" t="s">
        <v>25</v>
      </c>
      <c r="N285">
        <v>0.2015852613538989</v>
      </c>
    </row>
    <row r="286" spans="1:14" hidden="1" x14ac:dyDescent="0.3">
      <c r="A286" s="4" t="s">
        <v>500</v>
      </c>
      <c r="B286" s="4" t="s">
        <v>33</v>
      </c>
      <c r="C286" s="5">
        <v>45509</v>
      </c>
      <c r="D286" s="4" t="s">
        <v>35</v>
      </c>
      <c r="E286" s="4" t="s">
        <v>36</v>
      </c>
      <c r="F286">
        <v>3601</v>
      </c>
      <c r="G286">
        <v>695</v>
      </c>
      <c r="H286">
        <v>75</v>
      </c>
      <c r="I286">
        <v>21606</v>
      </c>
      <c r="J286">
        <v>21454</v>
      </c>
      <c r="K286">
        <v>172</v>
      </c>
      <c r="L286" s="4" t="s">
        <v>37</v>
      </c>
      <c r="M286" s="4" t="s">
        <v>25</v>
      </c>
      <c r="N286">
        <v>0.2023049153013052</v>
      </c>
    </row>
    <row r="287" spans="1:14" hidden="1" x14ac:dyDescent="0.3">
      <c r="A287" s="4" t="s">
        <v>308</v>
      </c>
      <c r="B287" s="4" t="s">
        <v>33</v>
      </c>
      <c r="C287" s="5">
        <v>45484</v>
      </c>
      <c r="D287" s="4" t="s">
        <v>22</v>
      </c>
      <c r="E287" s="4" t="s">
        <v>113</v>
      </c>
      <c r="F287">
        <v>3134</v>
      </c>
      <c r="G287">
        <v>888</v>
      </c>
      <c r="H287">
        <v>444</v>
      </c>
      <c r="I287">
        <v>21938</v>
      </c>
      <c r="J287">
        <v>21337</v>
      </c>
      <c r="K287">
        <v>130</v>
      </c>
      <c r="L287" s="4" t="s">
        <v>37</v>
      </c>
      <c r="M287" s="4" t="s">
        <v>38</v>
      </c>
      <c r="N287">
        <v>0.20357370772176134</v>
      </c>
    </row>
    <row r="288" spans="1:14" hidden="1" x14ac:dyDescent="0.3">
      <c r="A288" s="4" t="s">
        <v>206</v>
      </c>
      <c r="B288" s="4" t="s">
        <v>43</v>
      </c>
      <c r="C288" s="5">
        <v>45720</v>
      </c>
      <c r="D288" s="4" t="s">
        <v>35</v>
      </c>
      <c r="E288" s="4" t="s">
        <v>71</v>
      </c>
      <c r="F288">
        <v>1249</v>
      </c>
      <c r="G288">
        <v>116</v>
      </c>
      <c r="H288">
        <v>420</v>
      </c>
      <c r="I288">
        <v>8743</v>
      </c>
      <c r="J288">
        <v>8538</v>
      </c>
      <c r="K288">
        <v>63</v>
      </c>
      <c r="L288" s="4" t="s">
        <v>30</v>
      </c>
      <c r="M288" s="4"/>
      <c r="N288">
        <v>0.20416333066453163</v>
      </c>
    </row>
    <row r="289" spans="1:14" hidden="1" x14ac:dyDescent="0.3">
      <c r="A289" s="4" t="s">
        <v>522</v>
      </c>
      <c r="B289" s="4" t="s">
        <v>33</v>
      </c>
      <c r="C289" s="5">
        <v>45582</v>
      </c>
      <c r="D289" s="4" t="s">
        <v>74</v>
      </c>
      <c r="E289" s="4" t="s">
        <v>85</v>
      </c>
      <c r="F289">
        <v>3575</v>
      </c>
      <c r="G289">
        <v>749</v>
      </c>
      <c r="H289">
        <v>111</v>
      </c>
      <c r="I289">
        <v>21450</v>
      </c>
      <c r="J289">
        <v>20785</v>
      </c>
      <c r="K289">
        <v>195</v>
      </c>
      <c r="L289" s="4" t="s">
        <v>37</v>
      </c>
      <c r="M289" s="4" t="s">
        <v>25</v>
      </c>
      <c r="N289">
        <v>0.20675990675990677</v>
      </c>
    </row>
    <row r="290" spans="1:14" hidden="1" x14ac:dyDescent="0.3">
      <c r="A290" s="4" t="s">
        <v>225</v>
      </c>
      <c r="B290" s="4" t="s">
        <v>14</v>
      </c>
      <c r="C290" s="5">
        <v>45449</v>
      </c>
      <c r="D290" s="4" t="s">
        <v>74</v>
      </c>
      <c r="E290" s="4" t="s">
        <v>145</v>
      </c>
      <c r="F290">
        <v>1436</v>
      </c>
      <c r="G290">
        <v>765</v>
      </c>
      <c r="H290">
        <v>496</v>
      </c>
      <c r="I290">
        <v>12924</v>
      </c>
      <c r="J290">
        <v>12701</v>
      </c>
      <c r="K290">
        <v>197</v>
      </c>
      <c r="L290" s="4" t="s">
        <v>62</v>
      </c>
      <c r="M290" s="4" t="s">
        <v>31</v>
      </c>
      <c r="N290">
        <v>0.20868152274837512</v>
      </c>
    </row>
    <row r="291" spans="1:14" hidden="1" x14ac:dyDescent="0.3">
      <c r="A291" s="4" t="s">
        <v>310</v>
      </c>
      <c r="B291" s="4" t="s">
        <v>43</v>
      </c>
      <c r="C291" s="5">
        <v>45504</v>
      </c>
      <c r="D291" s="4" t="s">
        <v>74</v>
      </c>
      <c r="E291" s="4" t="s">
        <v>75</v>
      </c>
      <c r="F291">
        <v>3008</v>
      </c>
      <c r="G291">
        <v>94</v>
      </c>
      <c r="H291">
        <v>37</v>
      </c>
      <c r="I291">
        <v>15040</v>
      </c>
      <c r="J291">
        <v>14639</v>
      </c>
      <c r="K291">
        <v>277</v>
      </c>
      <c r="L291" s="4" t="s">
        <v>62</v>
      </c>
      <c r="M291" s="4"/>
      <c r="N291">
        <v>0.20871010638297871</v>
      </c>
    </row>
    <row r="292" spans="1:14" hidden="1" x14ac:dyDescent="0.3">
      <c r="A292" s="4" t="s">
        <v>107</v>
      </c>
      <c r="B292" s="4" t="s">
        <v>33</v>
      </c>
      <c r="C292" s="5">
        <v>45688</v>
      </c>
      <c r="D292" s="4" t="s">
        <v>45</v>
      </c>
      <c r="E292" s="4" t="s">
        <v>88</v>
      </c>
      <c r="F292">
        <v>2566</v>
      </c>
      <c r="G292">
        <v>118</v>
      </c>
      <c r="H292">
        <v>37</v>
      </c>
      <c r="I292">
        <v>12830</v>
      </c>
      <c r="J292">
        <v>12264</v>
      </c>
      <c r="K292">
        <v>221</v>
      </c>
      <c r="L292" s="4" t="s">
        <v>62</v>
      </c>
      <c r="M292" s="4" t="s">
        <v>31</v>
      </c>
      <c r="N292">
        <v>0.21208106001558846</v>
      </c>
    </row>
    <row r="293" spans="1:14" hidden="1" x14ac:dyDescent="0.3">
      <c r="A293" s="4" t="s">
        <v>323</v>
      </c>
      <c r="B293" s="4" t="s">
        <v>27</v>
      </c>
      <c r="C293" s="5">
        <v>45448</v>
      </c>
      <c r="D293" s="4" t="s">
        <v>16</v>
      </c>
      <c r="E293" s="4" t="s">
        <v>29</v>
      </c>
      <c r="F293">
        <v>3065</v>
      </c>
      <c r="G293">
        <v>772</v>
      </c>
      <c r="H293">
        <v>142</v>
      </c>
      <c r="I293">
        <v>18390</v>
      </c>
      <c r="J293">
        <v>17875</v>
      </c>
      <c r="K293">
        <v>200</v>
      </c>
      <c r="L293" s="4" t="s">
        <v>37</v>
      </c>
      <c r="M293" s="4"/>
      <c r="N293">
        <v>0.21636759108210984</v>
      </c>
    </row>
    <row r="294" spans="1:14" hidden="1" x14ac:dyDescent="0.3">
      <c r="A294" s="4" t="s">
        <v>323</v>
      </c>
      <c r="B294" s="4" t="s">
        <v>27</v>
      </c>
      <c r="C294" s="5">
        <v>45448</v>
      </c>
      <c r="D294" s="4" t="s">
        <v>16</v>
      </c>
      <c r="E294" s="4" t="s">
        <v>29</v>
      </c>
      <c r="F294">
        <v>3065</v>
      </c>
      <c r="G294">
        <v>772</v>
      </c>
      <c r="H294">
        <v>142</v>
      </c>
      <c r="I294">
        <v>18390</v>
      </c>
      <c r="J294">
        <v>17875</v>
      </c>
      <c r="K294">
        <v>200</v>
      </c>
      <c r="L294" s="4" t="s">
        <v>613</v>
      </c>
      <c r="M294" s="4"/>
      <c r="N294">
        <v>0.21636759108210984</v>
      </c>
    </row>
    <row r="295" spans="1:14" hidden="1" x14ac:dyDescent="0.3">
      <c r="A295" s="4" t="s">
        <v>346</v>
      </c>
      <c r="B295" s="4" t="s">
        <v>43</v>
      </c>
      <c r="C295" s="5">
        <v>45621</v>
      </c>
      <c r="D295" s="4" t="s">
        <v>35</v>
      </c>
      <c r="E295" s="4" t="s">
        <v>71</v>
      </c>
      <c r="F295">
        <v>2120</v>
      </c>
      <c r="G295">
        <v>158</v>
      </c>
      <c r="H295">
        <v>488</v>
      </c>
      <c r="I295">
        <v>12720</v>
      </c>
      <c r="J295">
        <v>12085</v>
      </c>
      <c r="K295">
        <v>17</v>
      </c>
      <c r="L295" s="4" t="s">
        <v>62</v>
      </c>
      <c r="M295" s="4" t="s">
        <v>25</v>
      </c>
      <c r="N295">
        <v>0.21745283018867925</v>
      </c>
    </row>
    <row r="296" spans="1:14" hidden="1" x14ac:dyDescent="0.3">
      <c r="A296" s="4" t="s">
        <v>137</v>
      </c>
      <c r="B296" s="4" t="s">
        <v>33</v>
      </c>
      <c r="C296" s="5">
        <v>45640</v>
      </c>
      <c r="D296" s="4" t="s">
        <v>45</v>
      </c>
      <c r="E296" s="4" t="s">
        <v>88</v>
      </c>
      <c r="F296">
        <v>2174</v>
      </c>
      <c r="G296">
        <v>658</v>
      </c>
      <c r="H296">
        <v>15</v>
      </c>
      <c r="I296">
        <v>13044</v>
      </c>
      <c r="J296">
        <v>12206</v>
      </c>
      <c r="K296">
        <v>137</v>
      </c>
      <c r="L296" s="4" t="s">
        <v>30</v>
      </c>
      <c r="M296" s="4" t="s">
        <v>31</v>
      </c>
      <c r="N296">
        <v>0.21826126954921804</v>
      </c>
    </row>
    <row r="297" spans="1:14" hidden="1" x14ac:dyDescent="0.3">
      <c r="A297" s="4" t="s">
        <v>135</v>
      </c>
      <c r="B297" s="4" t="s">
        <v>27</v>
      </c>
      <c r="C297" s="5">
        <v>45721</v>
      </c>
      <c r="D297" s="4" t="s">
        <v>16</v>
      </c>
      <c r="E297" s="4" t="s">
        <v>29</v>
      </c>
      <c r="F297">
        <v>1543</v>
      </c>
      <c r="G297">
        <v>820</v>
      </c>
      <c r="H297">
        <v>333</v>
      </c>
      <c r="I297">
        <v>12344</v>
      </c>
      <c r="J297">
        <v>11496</v>
      </c>
      <c r="K297">
        <v>241</v>
      </c>
      <c r="L297" s="4" t="s">
        <v>37</v>
      </c>
      <c r="M297" s="4"/>
      <c r="N297">
        <v>0.21840570317563188</v>
      </c>
    </row>
    <row r="298" spans="1:14" hidden="1" x14ac:dyDescent="0.3">
      <c r="A298" s="4" t="s">
        <v>519</v>
      </c>
      <c r="B298" s="4" t="s">
        <v>33</v>
      </c>
      <c r="C298" s="5">
        <v>45601</v>
      </c>
      <c r="D298" s="4" t="s">
        <v>74</v>
      </c>
      <c r="E298" s="4" t="s">
        <v>85</v>
      </c>
      <c r="F298">
        <v>4561</v>
      </c>
      <c r="G298">
        <v>51</v>
      </c>
      <c r="H298">
        <v>441</v>
      </c>
      <c r="I298">
        <v>22805</v>
      </c>
      <c r="J298">
        <v>21890</v>
      </c>
      <c r="K298">
        <v>45</v>
      </c>
      <c r="L298" s="4" t="s">
        <v>30</v>
      </c>
      <c r="M298" s="4" t="s">
        <v>25</v>
      </c>
      <c r="N298">
        <v>0.22157421618066214</v>
      </c>
    </row>
    <row r="299" spans="1:14" hidden="1" x14ac:dyDescent="0.3">
      <c r="A299" s="4" t="s">
        <v>353</v>
      </c>
      <c r="B299" s="4" t="s">
        <v>33</v>
      </c>
      <c r="C299" s="5">
        <v>45755</v>
      </c>
      <c r="D299" s="4" t="s">
        <v>52</v>
      </c>
      <c r="E299" s="4" t="s">
        <v>215</v>
      </c>
      <c r="F299">
        <v>4501</v>
      </c>
      <c r="G299">
        <v>375</v>
      </c>
      <c r="H299">
        <v>323</v>
      </c>
      <c r="I299">
        <v>22505</v>
      </c>
      <c r="J299">
        <v>21836</v>
      </c>
      <c r="K299">
        <v>132</v>
      </c>
      <c r="L299" s="4" t="s">
        <v>30</v>
      </c>
      <c r="M299" s="4" t="s">
        <v>25</v>
      </c>
      <c r="N299">
        <v>0.23101532992668297</v>
      </c>
    </row>
    <row r="300" spans="1:14" hidden="1" x14ac:dyDescent="0.3">
      <c r="A300" s="4" t="s">
        <v>317</v>
      </c>
      <c r="B300" s="4" t="s">
        <v>14</v>
      </c>
      <c r="C300" s="5">
        <v>45535</v>
      </c>
      <c r="D300" s="4" t="s">
        <v>52</v>
      </c>
      <c r="E300" s="4" t="s">
        <v>132</v>
      </c>
      <c r="F300">
        <v>3170</v>
      </c>
      <c r="G300">
        <v>857</v>
      </c>
      <c r="H300">
        <v>379</v>
      </c>
      <c r="I300">
        <v>19020</v>
      </c>
      <c r="J300">
        <v>18559</v>
      </c>
      <c r="K300">
        <v>240</v>
      </c>
      <c r="L300" s="4" t="s">
        <v>62</v>
      </c>
      <c r="M300" s="4"/>
      <c r="N300">
        <v>0.2316508937960042</v>
      </c>
    </row>
    <row r="301" spans="1:14" hidden="1" x14ac:dyDescent="0.3">
      <c r="A301" s="4" t="s">
        <v>286</v>
      </c>
      <c r="B301" s="4" t="s">
        <v>43</v>
      </c>
      <c r="C301" s="5">
        <v>45586</v>
      </c>
      <c r="D301" s="4" t="s">
        <v>35</v>
      </c>
      <c r="E301" s="4" t="s">
        <v>71</v>
      </c>
      <c r="F301">
        <v>780</v>
      </c>
      <c r="G301">
        <v>928</v>
      </c>
      <c r="H301">
        <v>301</v>
      </c>
      <c r="I301">
        <v>8580</v>
      </c>
      <c r="J301">
        <v>8081</v>
      </c>
      <c r="K301">
        <v>91</v>
      </c>
      <c r="L301" s="4" t="s">
        <v>37</v>
      </c>
      <c r="M301" s="4" t="s">
        <v>31</v>
      </c>
      <c r="N301">
        <v>0.23414918414918415</v>
      </c>
    </row>
    <row r="302" spans="1:14" hidden="1" x14ac:dyDescent="0.3">
      <c r="A302" s="4" t="s">
        <v>289</v>
      </c>
      <c r="B302" s="4" t="s">
        <v>33</v>
      </c>
      <c r="C302" s="5">
        <v>45457</v>
      </c>
      <c r="D302" s="4" t="s">
        <v>35</v>
      </c>
      <c r="E302" s="4" t="s">
        <v>36</v>
      </c>
      <c r="F302">
        <v>4363</v>
      </c>
      <c r="G302">
        <v>649</v>
      </c>
      <c r="H302">
        <v>140</v>
      </c>
      <c r="I302">
        <v>21815</v>
      </c>
      <c r="J302">
        <v>21481</v>
      </c>
      <c r="K302">
        <v>157</v>
      </c>
      <c r="L302" s="4" t="s">
        <v>37</v>
      </c>
      <c r="M302" s="4" t="s">
        <v>19</v>
      </c>
      <c r="N302">
        <v>0.23616777446710979</v>
      </c>
    </row>
    <row r="303" spans="1:14" hidden="1" x14ac:dyDescent="0.3">
      <c r="A303" s="4" t="s">
        <v>481</v>
      </c>
      <c r="B303" s="4" t="s">
        <v>43</v>
      </c>
      <c r="C303" s="5">
        <v>45576</v>
      </c>
      <c r="D303" s="4" t="s">
        <v>52</v>
      </c>
      <c r="E303" s="4" t="s">
        <v>59</v>
      </c>
      <c r="F303">
        <v>400</v>
      </c>
      <c r="G303">
        <v>680</v>
      </c>
      <c r="H303">
        <v>434</v>
      </c>
      <c r="I303">
        <v>6400</v>
      </c>
      <c r="J303">
        <v>5472</v>
      </c>
      <c r="K303">
        <v>160</v>
      </c>
      <c r="L303" s="4" t="s">
        <v>62</v>
      </c>
      <c r="M303" s="4" t="s">
        <v>25</v>
      </c>
      <c r="N303">
        <v>0.23656250000000001</v>
      </c>
    </row>
    <row r="304" spans="1:14" hidden="1" x14ac:dyDescent="0.3">
      <c r="A304" s="4" t="s">
        <v>381</v>
      </c>
      <c r="B304" s="4" t="s">
        <v>27</v>
      </c>
      <c r="C304" s="5">
        <v>45737</v>
      </c>
      <c r="D304" s="4" t="s">
        <v>52</v>
      </c>
      <c r="E304" s="4" t="s">
        <v>53</v>
      </c>
      <c r="F304">
        <v>606</v>
      </c>
      <c r="G304">
        <v>789</v>
      </c>
      <c r="H304">
        <v>470</v>
      </c>
      <c r="I304">
        <v>7878</v>
      </c>
      <c r="J304">
        <v>7389</v>
      </c>
      <c r="K304">
        <v>239</v>
      </c>
      <c r="L304" s="4" t="s">
        <v>37</v>
      </c>
      <c r="M304" s="4" t="s">
        <v>31</v>
      </c>
      <c r="N304">
        <v>0.23673521198273673</v>
      </c>
    </row>
    <row r="305" spans="1:14" hidden="1" x14ac:dyDescent="0.3">
      <c r="A305" s="4" t="s">
        <v>562</v>
      </c>
      <c r="B305" s="4" t="s">
        <v>14</v>
      </c>
      <c r="C305" s="5">
        <v>45650</v>
      </c>
      <c r="D305" s="4" t="s">
        <v>22</v>
      </c>
      <c r="E305" s="4" t="s">
        <v>23</v>
      </c>
      <c r="F305">
        <v>2166</v>
      </c>
      <c r="G305">
        <v>354</v>
      </c>
      <c r="H305">
        <v>117</v>
      </c>
      <c r="I305">
        <v>10830</v>
      </c>
      <c r="J305">
        <v>10245</v>
      </c>
      <c r="K305">
        <v>24</v>
      </c>
      <c r="L305" s="4" t="s">
        <v>37</v>
      </c>
      <c r="M305" s="4" t="s">
        <v>38</v>
      </c>
      <c r="N305">
        <v>0.24349030470914126</v>
      </c>
    </row>
    <row r="306" spans="1:14" hidden="1" x14ac:dyDescent="0.3">
      <c r="A306" s="4" t="s">
        <v>531</v>
      </c>
      <c r="B306" s="4" t="s">
        <v>43</v>
      </c>
      <c r="C306" s="5">
        <v>45753</v>
      </c>
      <c r="D306" s="4" t="s">
        <v>52</v>
      </c>
      <c r="E306" s="4" t="s">
        <v>59</v>
      </c>
      <c r="F306">
        <v>4236</v>
      </c>
      <c r="G306">
        <v>711</v>
      </c>
      <c r="H306">
        <v>298</v>
      </c>
      <c r="I306">
        <v>21180</v>
      </c>
      <c r="J306">
        <v>20516</v>
      </c>
      <c r="K306">
        <v>238</v>
      </c>
      <c r="L306" s="4" t="s">
        <v>62</v>
      </c>
      <c r="M306" s="4" t="s">
        <v>19</v>
      </c>
      <c r="N306">
        <v>0.24763928234183191</v>
      </c>
    </row>
    <row r="307" spans="1:14" hidden="1" x14ac:dyDescent="0.3">
      <c r="A307" s="4" t="s">
        <v>470</v>
      </c>
      <c r="B307" s="4" t="s">
        <v>27</v>
      </c>
      <c r="C307" s="5">
        <v>45712</v>
      </c>
      <c r="D307" s="4" t="s">
        <v>22</v>
      </c>
      <c r="E307" s="4" t="s">
        <v>104</v>
      </c>
      <c r="F307">
        <v>4188</v>
      </c>
      <c r="G307">
        <v>942</v>
      </c>
      <c r="H307">
        <v>118</v>
      </c>
      <c r="I307">
        <v>20940</v>
      </c>
      <c r="J307">
        <v>20471</v>
      </c>
      <c r="K307">
        <v>102</v>
      </c>
      <c r="L307" s="4" t="s">
        <v>62</v>
      </c>
      <c r="M307" s="4"/>
      <c r="N307">
        <v>0.25062082139446035</v>
      </c>
    </row>
    <row r="308" spans="1:14" hidden="1" x14ac:dyDescent="0.3">
      <c r="A308" s="4" t="s">
        <v>513</v>
      </c>
      <c r="B308" s="4" t="s">
        <v>14</v>
      </c>
      <c r="C308" s="5">
        <v>45708</v>
      </c>
      <c r="D308" s="4" t="s">
        <v>45</v>
      </c>
      <c r="E308" s="4" t="s">
        <v>49</v>
      </c>
      <c r="F308">
        <v>1877</v>
      </c>
      <c r="G308">
        <v>745</v>
      </c>
      <c r="H308">
        <v>225</v>
      </c>
      <c r="I308">
        <v>11262</v>
      </c>
      <c r="J308">
        <v>10967</v>
      </c>
      <c r="K308">
        <v>41</v>
      </c>
      <c r="L308" s="4" t="s">
        <v>37</v>
      </c>
      <c r="M308" s="4" t="s">
        <v>38</v>
      </c>
      <c r="N308">
        <v>0.25279701651571657</v>
      </c>
    </row>
    <row r="309" spans="1:14" hidden="1" x14ac:dyDescent="0.3">
      <c r="A309" s="4" t="s">
        <v>450</v>
      </c>
      <c r="B309" s="4" t="s">
        <v>33</v>
      </c>
      <c r="C309" s="5">
        <v>45511</v>
      </c>
      <c r="D309" s="4" t="s">
        <v>45</v>
      </c>
      <c r="E309" s="4" t="s">
        <v>88</v>
      </c>
      <c r="F309">
        <v>1741</v>
      </c>
      <c r="G309">
        <v>164</v>
      </c>
      <c r="H309">
        <v>318</v>
      </c>
      <c r="I309">
        <v>8705</v>
      </c>
      <c r="J309">
        <v>8272</v>
      </c>
      <c r="K309">
        <v>121</v>
      </c>
      <c r="L309" s="4" t="s">
        <v>30</v>
      </c>
      <c r="M309" s="4"/>
      <c r="N309">
        <v>0.25537047673750718</v>
      </c>
    </row>
    <row r="310" spans="1:14" hidden="1" x14ac:dyDescent="0.3">
      <c r="A310" s="4" t="s">
        <v>440</v>
      </c>
      <c r="B310" s="4" t="s">
        <v>14</v>
      </c>
      <c r="C310" s="5">
        <v>45685</v>
      </c>
      <c r="D310" s="4" t="s">
        <v>16</v>
      </c>
      <c r="E310" s="4" t="s">
        <v>17</v>
      </c>
      <c r="F310">
        <v>1188</v>
      </c>
      <c r="G310">
        <v>470</v>
      </c>
      <c r="H310">
        <v>174</v>
      </c>
      <c r="I310">
        <v>7128</v>
      </c>
      <c r="J310">
        <v>6145</v>
      </c>
      <c r="K310">
        <v>270</v>
      </c>
      <c r="L310" s="4" t="s">
        <v>30</v>
      </c>
      <c r="M310" s="4" t="s">
        <v>38</v>
      </c>
      <c r="N310">
        <v>0.25701459034792368</v>
      </c>
    </row>
    <row r="311" spans="1:14" hidden="1" x14ac:dyDescent="0.3">
      <c r="A311" s="4" t="s">
        <v>502</v>
      </c>
      <c r="B311" s="4" t="s">
        <v>43</v>
      </c>
      <c r="C311" s="5">
        <v>45698</v>
      </c>
      <c r="D311" s="4" t="s">
        <v>22</v>
      </c>
      <c r="E311" s="4" t="s">
        <v>56</v>
      </c>
      <c r="F311">
        <v>562</v>
      </c>
      <c r="G311">
        <v>158</v>
      </c>
      <c r="H311">
        <v>149</v>
      </c>
      <c r="I311">
        <v>3372</v>
      </c>
      <c r="J311">
        <v>2940</v>
      </c>
      <c r="K311">
        <v>93</v>
      </c>
      <c r="L311" s="4" t="s">
        <v>30</v>
      </c>
      <c r="M311" s="4" t="s">
        <v>19</v>
      </c>
      <c r="N311">
        <v>0.25771055753262156</v>
      </c>
    </row>
    <row r="312" spans="1:14" hidden="1" x14ac:dyDescent="0.3">
      <c r="A312" s="4" t="s">
        <v>477</v>
      </c>
      <c r="B312" s="4" t="s">
        <v>27</v>
      </c>
      <c r="C312" s="5">
        <v>45590</v>
      </c>
      <c r="D312" s="4" t="s">
        <v>74</v>
      </c>
      <c r="E312" s="4" t="s">
        <v>219</v>
      </c>
      <c r="F312">
        <v>4661</v>
      </c>
      <c r="G312">
        <v>935</v>
      </c>
      <c r="H312">
        <v>433</v>
      </c>
      <c r="I312">
        <v>23305</v>
      </c>
      <c r="J312">
        <v>22583</v>
      </c>
      <c r="K312">
        <v>63</v>
      </c>
      <c r="L312" s="4" t="s">
        <v>62</v>
      </c>
      <c r="M312" s="4" t="s">
        <v>31</v>
      </c>
      <c r="N312">
        <v>0.25869984981763572</v>
      </c>
    </row>
    <row r="313" spans="1:14" hidden="1" x14ac:dyDescent="0.3">
      <c r="A313" s="4" t="s">
        <v>486</v>
      </c>
      <c r="B313" s="4" t="s">
        <v>43</v>
      </c>
      <c r="C313" s="5">
        <v>45690</v>
      </c>
      <c r="D313" s="4" t="s">
        <v>35</v>
      </c>
      <c r="E313" s="4" t="s">
        <v>71</v>
      </c>
      <c r="F313">
        <v>886</v>
      </c>
      <c r="G313">
        <v>126</v>
      </c>
      <c r="H313">
        <v>153</v>
      </c>
      <c r="I313">
        <v>4430</v>
      </c>
      <c r="J313">
        <v>4037</v>
      </c>
      <c r="K313">
        <v>212</v>
      </c>
      <c r="L313" s="4" t="s">
        <v>37</v>
      </c>
      <c r="M313" s="4"/>
      <c r="N313">
        <v>0.26297968397291194</v>
      </c>
    </row>
    <row r="314" spans="1:14" hidden="1" x14ac:dyDescent="0.3">
      <c r="A314" s="4" t="s">
        <v>509</v>
      </c>
      <c r="B314" s="4" t="s">
        <v>33</v>
      </c>
      <c r="C314" s="5">
        <v>45524</v>
      </c>
      <c r="D314" s="4" t="s">
        <v>16</v>
      </c>
      <c r="E314" s="4" t="s">
        <v>82</v>
      </c>
      <c r="F314">
        <v>2603</v>
      </c>
      <c r="G314">
        <v>690</v>
      </c>
      <c r="H314">
        <v>205</v>
      </c>
      <c r="I314">
        <v>13015</v>
      </c>
      <c r="J314">
        <v>12130</v>
      </c>
      <c r="K314">
        <v>20</v>
      </c>
      <c r="L314" s="4" t="s">
        <v>62</v>
      </c>
      <c r="M314" s="4" t="s">
        <v>25</v>
      </c>
      <c r="N314">
        <v>0.26876680752977333</v>
      </c>
    </row>
    <row r="315" spans="1:14" hidden="1" x14ac:dyDescent="0.3">
      <c r="A315" s="4" t="s">
        <v>236</v>
      </c>
      <c r="B315" s="4" t="s">
        <v>33</v>
      </c>
      <c r="C315" s="5">
        <v>45637</v>
      </c>
      <c r="D315" s="4" t="s">
        <v>74</v>
      </c>
      <c r="E315" s="4" t="s">
        <v>85</v>
      </c>
      <c r="F315">
        <v>1431</v>
      </c>
      <c r="G315">
        <v>951</v>
      </c>
      <c r="H315">
        <v>26</v>
      </c>
      <c r="I315">
        <v>8586</v>
      </c>
      <c r="J315">
        <v>8396</v>
      </c>
      <c r="K315">
        <v>150</v>
      </c>
      <c r="L315" s="4" t="s">
        <v>37</v>
      </c>
      <c r="M315" s="4" t="s">
        <v>31</v>
      </c>
      <c r="N315">
        <v>0.28045655718611695</v>
      </c>
    </row>
    <row r="316" spans="1:14" hidden="1" x14ac:dyDescent="0.3">
      <c r="A316" s="4" t="s">
        <v>111</v>
      </c>
      <c r="B316" s="4" t="s">
        <v>33</v>
      </c>
      <c r="C316" s="5">
        <v>45642</v>
      </c>
      <c r="D316" s="4" t="s">
        <v>22</v>
      </c>
      <c r="E316" s="4" t="s">
        <v>113</v>
      </c>
      <c r="F316">
        <v>438</v>
      </c>
      <c r="G316">
        <v>153</v>
      </c>
      <c r="H316">
        <v>275</v>
      </c>
      <c r="I316">
        <v>3066</v>
      </c>
      <c r="J316">
        <v>2701</v>
      </c>
      <c r="K316">
        <v>282</v>
      </c>
      <c r="L316" s="4" t="s">
        <v>30</v>
      </c>
      <c r="M316" s="4" t="s">
        <v>25</v>
      </c>
      <c r="N316">
        <v>0.28245270711024134</v>
      </c>
    </row>
    <row r="317" spans="1:14" hidden="1" x14ac:dyDescent="0.3">
      <c r="A317" s="4" t="s">
        <v>384</v>
      </c>
      <c r="B317" s="4" t="s">
        <v>33</v>
      </c>
      <c r="C317" s="5">
        <v>45643</v>
      </c>
      <c r="D317" s="4" t="s">
        <v>35</v>
      </c>
      <c r="E317" s="4" t="s">
        <v>36</v>
      </c>
      <c r="F317">
        <v>360</v>
      </c>
      <c r="G317">
        <v>590</v>
      </c>
      <c r="H317">
        <v>393</v>
      </c>
      <c r="I317">
        <v>4680</v>
      </c>
      <c r="J317">
        <v>4322</v>
      </c>
      <c r="K317">
        <v>208</v>
      </c>
      <c r="L317" s="4" t="s">
        <v>62</v>
      </c>
      <c r="M317" s="4" t="s">
        <v>25</v>
      </c>
      <c r="N317">
        <v>0.28696581196581195</v>
      </c>
    </row>
    <row r="318" spans="1:14" hidden="1" x14ac:dyDescent="0.3">
      <c r="A318" s="4" t="s">
        <v>185</v>
      </c>
      <c r="B318" s="4" t="s">
        <v>14</v>
      </c>
      <c r="C318" s="5">
        <v>45499</v>
      </c>
      <c r="D318" s="4" t="s">
        <v>45</v>
      </c>
      <c r="E318" s="4" t="s">
        <v>49</v>
      </c>
      <c r="F318">
        <v>432</v>
      </c>
      <c r="G318">
        <v>171</v>
      </c>
      <c r="H318">
        <v>280</v>
      </c>
      <c r="I318">
        <v>3024</v>
      </c>
      <c r="J318">
        <v>2285</v>
      </c>
      <c r="K318">
        <v>184</v>
      </c>
      <c r="L318" s="4" t="s">
        <v>37</v>
      </c>
      <c r="M318" s="4" t="s">
        <v>19</v>
      </c>
      <c r="N318">
        <v>0.29199735449735448</v>
      </c>
    </row>
    <row r="319" spans="1:14" hidden="1" x14ac:dyDescent="0.3">
      <c r="A319" s="4" t="s">
        <v>419</v>
      </c>
      <c r="B319" s="4" t="s">
        <v>33</v>
      </c>
      <c r="C319" s="5">
        <v>45658</v>
      </c>
      <c r="D319" s="4" t="s">
        <v>45</v>
      </c>
      <c r="E319" s="4" t="s">
        <v>88</v>
      </c>
      <c r="F319">
        <v>2234</v>
      </c>
      <c r="G319">
        <v>653</v>
      </c>
      <c r="H319">
        <v>432</v>
      </c>
      <c r="I319">
        <v>11170</v>
      </c>
      <c r="J319">
        <v>10569</v>
      </c>
      <c r="K319">
        <v>198</v>
      </c>
      <c r="L319" s="4" t="s">
        <v>62</v>
      </c>
      <c r="M319" s="4" t="s">
        <v>31</v>
      </c>
      <c r="N319">
        <v>0.29713518352730528</v>
      </c>
    </row>
    <row r="320" spans="1:14" hidden="1" x14ac:dyDescent="0.3">
      <c r="A320" s="4" t="s">
        <v>546</v>
      </c>
      <c r="B320" s="4" t="s">
        <v>33</v>
      </c>
      <c r="C320" s="5">
        <v>45519</v>
      </c>
      <c r="D320" s="4" t="s">
        <v>16</v>
      </c>
      <c r="E320" s="4" t="s">
        <v>82</v>
      </c>
      <c r="F320">
        <v>1164</v>
      </c>
      <c r="G320">
        <v>616</v>
      </c>
      <c r="H320">
        <v>324</v>
      </c>
      <c r="I320">
        <v>6984</v>
      </c>
      <c r="J320">
        <v>6636</v>
      </c>
      <c r="K320">
        <v>82</v>
      </c>
      <c r="L320" s="4" t="s">
        <v>37</v>
      </c>
      <c r="M320" s="4" t="s">
        <v>19</v>
      </c>
      <c r="N320">
        <v>0.30126002290950743</v>
      </c>
    </row>
    <row r="321" spans="1:14" hidden="1" x14ac:dyDescent="0.3">
      <c r="A321" s="4" t="s">
        <v>284</v>
      </c>
      <c r="B321" s="4" t="s">
        <v>33</v>
      </c>
      <c r="C321" s="5">
        <v>45695</v>
      </c>
      <c r="D321" s="4" t="s">
        <v>16</v>
      </c>
      <c r="E321" s="4" t="s">
        <v>82</v>
      </c>
      <c r="F321">
        <v>1970</v>
      </c>
      <c r="G321">
        <v>675</v>
      </c>
      <c r="H321">
        <v>478</v>
      </c>
      <c r="I321">
        <v>9850</v>
      </c>
      <c r="J321">
        <v>8924</v>
      </c>
      <c r="K321">
        <v>117</v>
      </c>
      <c r="L321" s="4" t="s">
        <v>62</v>
      </c>
      <c r="M321" s="4"/>
      <c r="N321">
        <v>0.31705583756345179</v>
      </c>
    </row>
    <row r="322" spans="1:14" hidden="1" x14ac:dyDescent="0.3">
      <c r="A322" s="4" t="s">
        <v>337</v>
      </c>
      <c r="B322" s="4" t="s">
        <v>33</v>
      </c>
      <c r="C322" s="5">
        <v>45574</v>
      </c>
      <c r="D322" s="4" t="s">
        <v>45</v>
      </c>
      <c r="E322" s="4" t="s">
        <v>88</v>
      </c>
      <c r="F322">
        <v>985</v>
      </c>
      <c r="G322">
        <v>932</v>
      </c>
      <c r="H322">
        <v>287</v>
      </c>
      <c r="I322">
        <v>6895</v>
      </c>
      <c r="J322">
        <v>6757</v>
      </c>
      <c r="K322">
        <v>64</v>
      </c>
      <c r="L322" s="4" t="s">
        <v>62</v>
      </c>
      <c r="M322" s="4" t="s">
        <v>38</v>
      </c>
      <c r="N322">
        <v>0.31965192168237855</v>
      </c>
    </row>
    <row r="323" spans="1:14" hidden="1" x14ac:dyDescent="0.3">
      <c r="A323" s="4" t="s">
        <v>447</v>
      </c>
      <c r="B323" s="4" t="s">
        <v>43</v>
      </c>
      <c r="C323" s="5">
        <v>45790</v>
      </c>
      <c r="D323" s="4" t="s">
        <v>52</v>
      </c>
      <c r="E323" s="4" t="s">
        <v>59</v>
      </c>
      <c r="F323">
        <v>602</v>
      </c>
      <c r="G323">
        <v>594</v>
      </c>
      <c r="H323">
        <v>156</v>
      </c>
      <c r="I323">
        <v>4214</v>
      </c>
      <c r="J323">
        <v>3363</v>
      </c>
      <c r="K323">
        <v>164</v>
      </c>
      <c r="L323" s="4" t="s">
        <v>30</v>
      </c>
      <c r="M323" s="4" t="s">
        <v>31</v>
      </c>
      <c r="N323">
        <v>0.32083531086853345</v>
      </c>
    </row>
    <row r="324" spans="1:14" hidden="1" x14ac:dyDescent="0.3">
      <c r="A324" s="4" t="s">
        <v>287</v>
      </c>
      <c r="B324" s="4" t="s">
        <v>33</v>
      </c>
      <c r="C324" s="5">
        <v>45502</v>
      </c>
      <c r="D324" s="4" t="s">
        <v>35</v>
      </c>
      <c r="E324" s="4" t="s">
        <v>36</v>
      </c>
      <c r="F324">
        <v>498</v>
      </c>
      <c r="G324">
        <v>701</v>
      </c>
      <c r="H324">
        <v>412</v>
      </c>
      <c r="I324">
        <v>4980</v>
      </c>
      <c r="J324">
        <v>4185</v>
      </c>
      <c r="K324">
        <v>185</v>
      </c>
      <c r="L324" s="4" t="s">
        <v>62</v>
      </c>
      <c r="M324" s="4"/>
      <c r="N324">
        <v>0.32349397590361445</v>
      </c>
    </row>
    <row r="325" spans="1:14" hidden="1" x14ac:dyDescent="0.3">
      <c r="A325" s="4" t="s">
        <v>290</v>
      </c>
      <c r="B325" s="4" t="s">
        <v>27</v>
      </c>
      <c r="C325" s="5">
        <v>45753</v>
      </c>
      <c r="D325" s="4" t="s">
        <v>45</v>
      </c>
      <c r="E325" s="4" t="s">
        <v>68</v>
      </c>
      <c r="F325">
        <v>736</v>
      </c>
      <c r="G325">
        <v>771</v>
      </c>
      <c r="H325">
        <v>225</v>
      </c>
      <c r="I325">
        <v>5152</v>
      </c>
      <c r="J325">
        <v>4706</v>
      </c>
      <c r="K325">
        <v>19</v>
      </c>
      <c r="L325" s="4" t="s">
        <v>37</v>
      </c>
      <c r="M325" s="4" t="s">
        <v>19</v>
      </c>
      <c r="N325">
        <v>0.33618012422360249</v>
      </c>
    </row>
    <row r="326" spans="1:14" hidden="1" x14ac:dyDescent="0.3">
      <c r="A326" s="4" t="s">
        <v>251</v>
      </c>
      <c r="B326" s="4" t="s">
        <v>14</v>
      </c>
      <c r="C326" s="5">
        <v>45553</v>
      </c>
      <c r="D326" s="4" t="s">
        <v>16</v>
      </c>
      <c r="E326" s="4" t="s">
        <v>17</v>
      </c>
      <c r="F326">
        <v>1000</v>
      </c>
      <c r="G326">
        <v>978</v>
      </c>
      <c r="H326">
        <v>162</v>
      </c>
      <c r="I326">
        <v>6000</v>
      </c>
      <c r="J326">
        <v>5221</v>
      </c>
      <c r="K326">
        <v>223</v>
      </c>
      <c r="L326" s="4" t="s">
        <v>37</v>
      </c>
      <c r="M326" s="4" t="s">
        <v>25</v>
      </c>
      <c r="N326">
        <v>0.35666666666666669</v>
      </c>
    </row>
    <row r="327" spans="1:14" hidden="1" x14ac:dyDescent="0.3">
      <c r="A327" s="4" t="s">
        <v>159</v>
      </c>
      <c r="B327" s="4" t="s">
        <v>27</v>
      </c>
      <c r="C327" s="5">
        <v>45712</v>
      </c>
      <c r="D327" s="4" t="s">
        <v>45</v>
      </c>
      <c r="E327" s="4" t="s">
        <v>68</v>
      </c>
      <c r="F327">
        <v>804</v>
      </c>
      <c r="G327">
        <v>639</v>
      </c>
      <c r="H327">
        <v>43</v>
      </c>
      <c r="I327">
        <v>4020</v>
      </c>
      <c r="J327">
        <v>3144</v>
      </c>
      <c r="K327">
        <v>11</v>
      </c>
      <c r="L327" s="4" t="s">
        <v>37</v>
      </c>
      <c r="M327" s="4"/>
      <c r="N327">
        <v>0.36965174129353234</v>
      </c>
    </row>
    <row r="328" spans="1:14" hidden="1" x14ac:dyDescent="0.3">
      <c r="A328" s="4" t="s">
        <v>159</v>
      </c>
      <c r="B328" s="4" t="s">
        <v>27</v>
      </c>
      <c r="C328" s="5">
        <v>45712</v>
      </c>
      <c r="D328" s="4" t="s">
        <v>45</v>
      </c>
      <c r="E328" s="4" t="s">
        <v>68</v>
      </c>
      <c r="F328">
        <v>804</v>
      </c>
      <c r="G328">
        <v>639</v>
      </c>
      <c r="H328">
        <v>43</v>
      </c>
      <c r="I328">
        <v>4020</v>
      </c>
      <c r="J328">
        <v>3144</v>
      </c>
      <c r="K328">
        <v>11</v>
      </c>
      <c r="L328" s="4" t="s">
        <v>614</v>
      </c>
      <c r="M328" s="4"/>
      <c r="N328">
        <v>0.36965174129353234</v>
      </c>
    </row>
    <row r="329" spans="1:14" hidden="1" x14ac:dyDescent="0.3">
      <c r="A329" s="4" t="s">
        <v>434</v>
      </c>
      <c r="B329" s="4" t="s">
        <v>33</v>
      </c>
      <c r="C329" s="5">
        <v>45649</v>
      </c>
      <c r="D329" s="4" t="s">
        <v>52</v>
      </c>
      <c r="E329" s="4" t="s">
        <v>215</v>
      </c>
      <c r="F329">
        <v>521</v>
      </c>
      <c r="G329">
        <v>746</v>
      </c>
      <c r="H329">
        <v>315</v>
      </c>
      <c r="I329">
        <v>4168</v>
      </c>
      <c r="J329">
        <v>3399</v>
      </c>
      <c r="K329">
        <v>282</v>
      </c>
      <c r="L329" s="4" t="s">
        <v>62</v>
      </c>
      <c r="M329" s="4" t="s">
        <v>25</v>
      </c>
      <c r="N329">
        <v>0.37955854126679461</v>
      </c>
    </row>
    <row r="330" spans="1:14" x14ac:dyDescent="0.3">
      <c r="A330" s="4" t="s">
        <v>192</v>
      </c>
      <c r="B330" s="4" t="s">
        <v>43</v>
      </c>
      <c r="C330" s="5">
        <v>45749</v>
      </c>
      <c r="D330" s="4" t="s">
        <v>74</v>
      </c>
      <c r="E330" s="4" t="s">
        <v>75</v>
      </c>
      <c r="F330">
        <v>199</v>
      </c>
      <c r="G330">
        <v>772</v>
      </c>
      <c r="H330">
        <v>400</v>
      </c>
      <c r="I330">
        <v>3582</v>
      </c>
      <c r="J330">
        <v>2988</v>
      </c>
      <c r="K330">
        <v>43</v>
      </c>
      <c r="L330" s="4" t="s">
        <v>30</v>
      </c>
      <c r="M330" s="4"/>
      <c r="N330">
        <v>0.38274706867671693</v>
      </c>
    </row>
    <row r="331" spans="1:14" x14ac:dyDescent="0.3">
      <c r="A331" s="4" t="s">
        <v>428</v>
      </c>
      <c r="B331" s="4" t="s">
        <v>27</v>
      </c>
      <c r="C331" s="5">
        <v>45707</v>
      </c>
      <c r="D331" s="4" t="s">
        <v>52</v>
      </c>
      <c r="E331" s="4" t="s">
        <v>53</v>
      </c>
      <c r="F331">
        <v>257</v>
      </c>
      <c r="G331">
        <v>966</v>
      </c>
      <c r="H331">
        <v>398</v>
      </c>
      <c r="I331">
        <v>3341</v>
      </c>
      <c r="J331">
        <v>2753</v>
      </c>
      <c r="K331">
        <v>287</v>
      </c>
      <c r="L331" s="4" t="s">
        <v>62</v>
      </c>
      <c r="M331" s="4" t="s">
        <v>19</v>
      </c>
      <c r="N331">
        <v>0.48518407662376534</v>
      </c>
    </row>
    <row r="332" spans="1:14" x14ac:dyDescent="0.3">
      <c r="A332" s="4" t="s">
        <v>320</v>
      </c>
      <c r="B332" s="4" t="s">
        <v>27</v>
      </c>
      <c r="C332" s="5">
        <v>45567</v>
      </c>
      <c r="D332" s="4" t="s">
        <v>45</v>
      </c>
      <c r="E332" s="4" t="s">
        <v>68</v>
      </c>
      <c r="F332">
        <v>80</v>
      </c>
      <c r="G332">
        <v>362</v>
      </c>
      <c r="H332">
        <v>80</v>
      </c>
      <c r="I332">
        <v>1040</v>
      </c>
      <c r="J332">
        <v>349</v>
      </c>
      <c r="K332">
        <v>117</v>
      </c>
      <c r="L332" s="4" t="s">
        <v>30</v>
      </c>
      <c r="M332" s="4" t="s">
        <v>31</v>
      </c>
      <c r="N332">
        <v>0.50192307692307692</v>
      </c>
    </row>
    <row r="333" spans="1:14" x14ac:dyDescent="0.3">
      <c r="A333" s="4" t="s">
        <v>511</v>
      </c>
      <c r="B333" s="4" t="s">
        <v>14</v>
      </c>
      <c r="C333" s="5">
        <v>45687</v>
      </c>
      <c r="D333" s="4" t="s">
        <v>52</v>
      </c>
      <c r="E333" s="4" t="s">
        <v>132</v>
      </c>
      <c r="F333">
        <v>59</v>
      </c>
      <c r="G333">
        <v>163</v>
      </c>
      <c r="H333">
        <v>93</v>
      </c>
      <c r="I333">
        <v>590</v>
      </c>
      <c r="J333">
        <v>475</v>
      </c>
      <c r="K333">
        <v>293</v>
      </c>
      <c r="L333" s="4" t="s">
        <v>30</v>
      </c>
      <c r="M333" s="4" t="s">
        <v>25</v>
      </c>
      <c r="N333">
        <v>0.53389830508474578</v>
      </c>
    </row>
    <row r="334" spans="1:14" x14ac:dyDescent="0.3">
      <c r="A334" s="4" t="s">
        <v>178</v>
      </c>
      <c r="B334" s="4" t="s">
        <v>14</v>
      </c>
      <c r="C334" s="5">
        <v>45618</v>
      </c>
      <c r="D334" s="4" t="s">
        <v>45</v>
      </c>
      <c r="E334" s="4" t="s">
        <v>49</v>
      </c>
      <c r="F334">
        <v>53</v>
      </c>
      <c r="G334">
        <v>81</v>
      </c>
      <c r="H334">
        <v>379</v>
      </c>
      <c r="I334">
        <v>954</v>
      </c>
      <c r="J334">
        <v>7</v>
      </c>
      <c r="K334">
        <v>148</v>
      </c>
      <c r="L334" s="4" t="s">
        <v>30</v>
      </c>
      <c r="M334" s="4" t="s">
        <v>31</v>
      </c>
      <c r="N334">
        <v>0.53773584905660377</v>
      </c>
    </row>
    <row r="335" spans="1:14" x14ac:dyDescent="0.3">
      <c r="A335" s="4" t="s">
        <v>372</v>
      </c>
      <c r="B335" s="4" t="s">
        <v>33</v>
      </c>
      <c r="C335" s="5">
        <v>45674</v>
      </c>
      <c r="D335" s="4" t="s">
        <v>16</v>
      </c>
      <c r="E335" s="4" t="s">
        <v>82</v>
      </c>
      <c r="F335">
        <v>142</v>
      </c>
      <c r="G335">
        <v>784</v>
      </c>
      <c r="H335">
        <v>183</v>
      </c>
      <c r="I335">
        <v>1704</v>
      </c>
      <c r="J335">
        <v>995</v>
      </c>
      <c r="K335">
        <v>154</v>
      </c>
      <c r="L335" s="4" t="s">
        <v>62</v>
      </c>
      <c r="M335" s="4" t="s">
        <v>38</v>
      </c>
      <c r="N335">
        <v>0.6508215962441315</v>
      </c>
    </row>
    <row r="336" spans="1:14" x14ac:dyDescent="0.3">
      <c r="A336" s="4" t="s">
        <v>378</v>
      </c>
      <c r="B336" s="4" t="s">
        <v>33</v>
      </c>
      <c r="C336" s="5">
        <v>45603</v>
      </c>
      <c r="D336" s="4" t="s">
        <v>74</v>
      </c>
      <c r="E336" s="4" t="s">
        <v>85</v>
      </c>
      <c r="F336">
        <v>129</v>
      </c>
      <c r="G336">
        <v>643</v>
      </c>
      <c r="H336">
        <v>136</v>
      </c>
      <c r="I336">
        <v>1290</v>
      </c>
      <c r="J336">
        <v>839</v>
      </c>
      <c r="K336">
        <v>238</v>
      </c>
      <c r="L336" s="4" t="s">
        <v>30</v>
      </c>
      <c r="M336" s="4" t="s">
        <v>38</v>
      </c>
      <c r="N336">
        <v>0.70387596899224802</v>
      </c>
    </row>
    <row r="337" spans="1:14" x14ac:dyDescent="0.3">
      <c r="A337" s="4" t="s">
        <v>459</v>
      </c>
      <c r="B337" s="4" t="s">
        <v>14</v>
      </c>
      <c r="C337" s="5">
        <v>45776</v>
      </c>
      <c r="D337" s="4" t="s">
        <v>35</v>
      </c>
      <c r="E337" s="4" t="s">
        <v>149</v>
      </c>
      <c r="F337">
        <v>249</v>
      </c>
      <c r="G337">
        <v>592</v>
      </c>
      <c r="H337">
        <v>230</v>
      </c>
      <c r="I337">
        <v>1494</v>
      </c>
      <c r="J337">
        <v>1044</v>
      </c>
      <c r="K337">
        <v>201</v>
      </c>
      <c r="L337" s="4" t="s">
        <v>37</v>
      </c>
      <c r="M337" s="4" t="s">
        <v>38</v>
      </c>
      <c r="N337">
        <v>0.7168674698795181</v>
      </c>
    </row>
    <row r="338" spans="1:14" x14ac:dyDescent="0.3">
      <c r="A338" s="4" t="s">
        <v>169</v>
      </c>
      <c r="B338" s="4" t="s">
        <v>33</v>
      </c>
      <c r="C338" s="5">
        <v>45762</v>
      </c>
      <c r="D338" s="4" t="s">
        <v>16</v>
      </c>
      <c r="E338" s="4" t="s">
        <v>82</v>
      </c>
      <c r="F338">
        <v>103</v>
      </c>
      <c r="G338">
        <v>770</v>
      </c>
      <c r="H338">
        <v>19</v>
      </c>
      <c r="I338">
        <v>1030</v>
      </c>
      <c r="J338">
        <v>410</v>
      </c>
      <c r="K338">
        <v>262</v>
      </c>
      <c r="L338" s="4" t="s">
        <v>30</v>
      </c>
      <c r="M338" s="4" t="s">
        <v>38</v>
      </c>
      <c r="N338">
        <v>0.86601941747572819</v>
      </c>
    </row>
    <row r="339" spans="1:14" x14ac:dyDescent="0.3">
      <c r="A339" s="4" t="s">
        <v>441</v>
      </c>
      <c r="B339" s="4" t="s">
        <v>33</v>
      </c>
      <c r="C339" s="5">
        <v>45445</v>
      </c>
      <c r="D339" s="4" t="s">
        <v>35</v>
      </c>
      <c r="E339" s="4" t="s">
        <v>36</v>
      </c>
      <c r="F339">
        <v>84</v>
      </c>
      <c r="G339">
        <v>897</v>
      </c>
      <c r="H339">
        <v>85</v>
      </c>
      <c r="I339">
        <v>588</v>
      </c>
      <c r="J339">
        <v>8</v>
      </c>
      <c r="K339">
        <v>12</v>
      </c>
      <c r="L339" s="4" t="s">
        <v>37</v>
      </c>
      <c r="M339" s="4"/>
      <c r="N339">
        <v>1.8129251700680271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87ED-44BE-4AB5-9048-F0B9FD319316}">
  <dimension ref="A1:N340"/>
  <sheetViews>
    <sheetView topLeftCell="E1" workbookViewId="0">
      <selection activeCell="N2" sqref="N2"/>
    </sheetView>
  </sheetViews>
  <sheetFormatPr defaultColWidth="19" defaultRowHeight="14.4" x14ac:dyDescent="0.3"/>
  <sheetData>
    <row r="1" spans="1:14" x14ac:dyDescent="0.3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612</v>
      </c>
      <c r="M1" s="7" t="s">
        <v>12</v>
      </c>
      <c r="N1" s="21" t="s">
        <v>615</v>
      </c>
    </row>
    <row r="2" spans="1:14" x14ac:dyDescent="0.3">
      <c r="A2" s="13" t="s">
        <v>13</v>
      </c>
      <c r="B2" s="14" t="s">
        <v>14</v>
      </c>
      <c r="C2" s="15">
        <v>45649</v>
      </c>
      <c r="D2" s="14" t="s">
        <v>16</v>
      </c>
      <c r="E2" s="14" t="s">
        <v>17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14" t="s">
        <v>62</v>
      </c>
      <c r="M2" s="16" t="s">
        <v>19</v>
      </c>
      <c r="N2">
        <f t="shared" ref="N2:N65" si="0">(F2+G2+H2)/I2</f>
        <v>9.0759753593429152E-2</v>
      </c>
    </row>
    <row r="3" spans="1:14" x14ac:dyDescent="0.3">
      <c r="A3" s="17" t="s">
        <v>13</v>
      </c>
      <c r="B3" s="18" t="s">
        <v>14</v>
      </c>
      <c r="C3" s="19">
        <v>45649</v>
      </c>
      <c r="D3" s="18" t="s">
        <v>16</v>
      </c>
      <c r="E3" s="18" t="s">
        <v>17</v>
      </c>
      <c r="F3" s="9">
        <v>1461</v>
      </c>
      <c r="G3" s="9">
        <v>184</v>
      </c>
      <c r="H3" s="9">
        <v>344</v>
      </c>
      <c r="I3" s="9">
        <v>21915</v>
      </c>
      <c r="J3" s="9">
        <v>21675</v>
      </c>
      <c r="K3" s="9">
        <v>15</v>
      </c>
      <c r="L3" s="18" t="s">
        <v>613</v>
      </c>
      <c r="M3" s="20" t="s">
        <v>19</v>
      </c>
      <c r="N3">
        <f t="shared" si="0"/>
        <v>9.0759753593429152E-2</v>
      </c>
    </row>
    <row r="4" spans="1:14" x14ac:dyDescent="0.3">
      <c r="A4" s="13" t="s">
        <v>20</v>
      </c>
      <c r="B4" s="14" t="s">
        <v>14</v>
      </c>
      <c r="C4" s="15">
        <v>45750</v>
      </c>
      <c r="D4" s="14" t="s">
        <v>22</v>
      </c>
      <c r="E4" s="14" t="s">
        <v>23</v>
      </c>
      <c r="F4" s="8">
        <v>4054</v>
      </c>
      <c r="G4" s="8">
        <v>389</v>
      </c>
      <c r="H4" s="8">
        <v>493</v>
      </c>
      <c r="I4" s="8">
        <v>64864</v>
      </c>
      <c r="J4" s="8">
        <v>64383</v>
      </c>
      <c r="K4" s="8">
        <v>117</v>
      </c>
      <c r="L4" s="14" t="s">
        <v>30</v>
      </c>
      <c r="M4" s="16" t="s">
        <v>25</v>
      </c>
      <c r="N4">
        <f t="shared" si="0"/>
        <v>7.6097681302417369E-2</v>
      </c>
    </row>
    <row r="5" spans="1:14" x14ac:dyDescent="0.3">
      <c r="A5" s="17" t="s">
        <v>20</v>
      </c>
      <c r="B5" s="18" t="s">
        <v>14</v>
      </c>
      <c r="C5" s="19">
        <v>45750</v>
      </c>
      <c r="D5" s="18" t="s">
        <v>22</v>
      </c>
      <c r="E5" s="18" t="s">
        <v>23</v>
      </c>
      <c r="F5" s="9">
        <v>4054</v>
      </c>
      <c r="G5" s="9">
        <v>389</v>
      </c>
      <c r="H5" s="9">
        <v>493</v>
      </c>
      <c r="I5" s="9">
        <v>64864</v>
      </c>
      <c r="J5" s="9">
        <v>64383</v>
      </c>
      <c r="K5" s="9">
        <v>117</v>
      </c>
      <c r="L5" s="18" t="s">
        <v>614</v>
      </c>
      <c r="M5" s="20" t="s">
        <v>25</v>
      </c>
      <c r="N5">
        <f t="shared" si="0"/>
        <v>7.6097681302417369E-2</v>
      </c>
    </row>
    <row r="6" spans="1:14" x14ac:dyDescent="0.3">
      <c r="A6" s="13" t="s">
        <v>26</v>
      </c>
      <c r="B6" s="14" t="s">
        <v>27</v>
      </c>
      <c r="C6" s="15">
        <v>45789</v>
      </c>
      <c r="D6" s="14" t="s">
        <v>16</v>
      </c>
      <c r="E6" s="14" t="s">
        <v>29</v>
      </c>
      <c r="F6" s="8">
        <v>2795</v>
      </c>
      <c r="G6" s="8">
        <v>105</v>
      </c>
      <c r="H6" s="8">
        <v>49</v>
      </c>
      <c r="I6" s="8">
        <v>53105</v>
      </c>
      <c r="J6" s="8">
        <v>52307</v>
      </c>
      <c r="K6" s="8">
        <v>204</v>
      </c>
      <c r="L6" s="14" t="s">
        <v>30</v>
      </c>
      <c r="M6" s="16" t="s">
        <v>31</v>
      </c>
      <c r="N6">
        <f t="shared" si="0"/>
        <v>5.5531494209584788E-2</v>
      </c>
    </row>
    <row r="7" spans="1:14" x14ac:dyDescent="0.3">
      <c r="A7" s="17" t="s">
        <v>32</v>
      </c>
      <c r="B7" s="18" t="s">
        <v>33</v>
      </c>
      <c r="C7" s="19">
        <v>45516</v>
      </c>
      <c r="D7" s="18" t="s">
        <v>35</v>
      </c>
      <c r="E7" s="18" t="s">
        <v>36</v>
      </c>
      <c r="F7" s="9">
        <v>2404</v>
      </c>
      <c r="G7" s="9">
        <v>363</v>
      </c>
      <c r="H7" s="9">
        <v>138</v>
      </c>
      <c r="I7" s="9">
        <v>19232</v>
      </c>
      <c r="J7" s="9">
        <v>18636</v>
      </c>
      <c r="K7" s="9">
        <v>128</v>
      </c>
      <c r="L7" s="18" t="s">
        <v>37</v>
      </c>
      <c r="M7" s="20" t="s">
        <v>38</v>
      </c>
      <c r="N7">
        <f t="shared" si="0"/>
        <v>0.15105033277870217</v>
      </c>
    </row>
    <row r="8" spans="1:14" x14ac:dyDescent="0.3">
      <c r="A8" s="13" t="s">
        <v>39</v>
      </c>
      <c r="B8" s="14" t="s">
        <v>27</v>
      </c>
      <c r="C8" s="15">
        <v>45469</v>
      </c>
      <c r="D8" s="14" t="s">
        <v>16</v>
      </c>
      <c r="E8" s="14" t="s">
        <v>29</v>
      </c>
      <c r="F8" s="8">
        <v>3557</v>
      </c>
      <c r="G8" s="8">
        <v>687</v>
      </c>
      <c r="H8" s="8">
        <v>424</v>
      </c>
      <c r="I8" s="8">
        <v>71140</v>
      </c>
      <c r="J8" s="8">
        <v>70701</v>
      </c>
      <c r="K8" s="8">
        <v>224</v>
      </c>
      <c r="L8" s="14" t="s">
        <v>37</v>
      </c>
      <c r="M8" s="16" t="s">
        <v>19</v>
      </c>
      <c r="N8">
        <f t="shared" si="0"/>
        <v>6.5617093055946027E-2</v>
      </c>
    </row>
    <row r="9" spans="1:14" x14ac:dyDescent="0.3">
      <c r="A9" s="17" t="s">
        <v>39</v>
      </c>
      <c r="B9" s="18" t="s">
        <v>27</v>
      </c>
      <c r="C9" s="19">
        <v>45469</v>
      </c>
      <c r="D9" s="18" t="s">
        <v>16</v>
      </c>
      <c r="E9" s="18" t="s">
        <v>29</v>
      </c>
      <c r="F9" s="9">
        <v>3557</v>
      </c>
      <c r="G9" s="9">
        <v>687</v>
      </c>
      <c r="H9" s="9">
        <v>424</v>
      </c>
      <c r="I9" s="9">
        <v>71140</v>
      </c>
      <c r="J9" s="9">
        <v>70701</v>
      </c>
      <c r="K9" s="9">
        <v>224</v>
      </c>
      <c r="L9" s="18" t="s">
        <v>30</v>
      </c>
      <c r="M9" s="20" t="s">
        <v>19</v>
      </c>
      <c r="N9">
        <f t="shared" si="0"/>
        <v>6.5617093055946027E-2</v>
      </c>
    </row>
    <row r="10" spans="1:14" x14ac:dyDescent="0.3">
      <c r="A10" s="13" t="s">
        <v>42</v>
      </c>
      <c r="B10" s="14" t="s">
        <v>43</v>
      </c>
      <c r="C10" s="15">
        <v>45596</v>
      </c>
      <c r="D10" s="14" t="s">
        <v>45</v>
      </c>
      <c r="E10" s="14" t="s">
        <v>46</v>
      </c>
      <c r="F10" s="8">
        <v>2945</v>
      </c>
      <c r="G10" s="8">
        <v>930</v>
      </c>
      <c r="H10" s="8">
        <v>355</v>
      </c>
      <c r="I10" s="8">
        <v>23560</v>
      </c>
      <c r="J10" s="8">
        <v>23275</v>
      </c>
      <c r="K10" s="8">
        <v>256</v>
      </c>
      <c r="L10" s="14" t="s">
        <v>30</v>
      </c>
      <c r="M10" s="16" t="s">
        <v>25</v>
      </c>
      <c r="N10">
        <f t="shared" si="0"/>
        <v>0.17954159592529711</v>
      </c>
    </row>
    <row r="11" spans="1:14" x14ac:dyDescent="0.3">
      <c r="A11" s="17" t="s">
        <v>47</v>
      </c>
      <c r="B11" s="18" t="s">
        <v>14</v>
      </c>
      <c r="C11" s="19">
        <v>45467</v>
      </c>
      <c r="D11" s="18" t="s">
        <v>45</v>
      </c>
      <c r="E11" s="18" t="s">
        <v>49</v>
      </c>
      <c r="F11" s="9">
        <v>3860</v>
      </c>
      <c r="G11" s="9">
        <v>201</v>
      </c>
      <c r="H11" s="9">
        <v>279</v>
      </c>
      <c r="I11" s="9">
        <v>61760</v>
      </c>
      <c r="J11" s="9">
        <v>61660</v>
      </c>
      <c r="K11" s="9">
        <v>235</v>
      </c>
      <c r="L11" s="18" t="s">
        <v>30</v>
      </c>
      <c r="M11" s="20" t="s">
        <v>25</v>
      </c>
      <c r="N11">
        <f t="shared" si="0"/>
        <v>7.0272020725388601E-2</v>
      </c>
    </row>
    <row r="12" spans="1:14" x14ac:dyDescent="0.3">
      <c r="A12" s="13" t="s">
        <v>50</v>
      </c>
      <c r="B12" s="14" t="s">
        <v>27</v>
      </c>
      <c r="C12" s="15">
        <v>45486</v>
      </c>
      <c r="D12" s="14" t="s">
        <v>52</v>
      </c>
      <c r="E12" s="14" t="s">
        <v>53</v>
      </c>
      <c r="F12" s="8">
        <v>3929</v>
      </c>
      <c r="G12" s="8">
        <v>262</v>
      </c>
      <c r="H12" s="8">
        <v>278</v>
      </c>
      <c r="I12" s="8">
        <v>43219</v>
      </c>
      <c r="J12" s="8">
        <v>42841</v>
      </c>
      <c r="K12" s="8">
        <v>39</v>
      </c>
      <c r="L12" s="14" t="s">
        <v>37</v>
      </c>
      <c r="M12" s="16" t="s">
        <v>38</v>
      </c>
      <c r="N12">
        <f t="shared" si="0"/>
        <v>0.10340359564080613</v>
      </c>
    </row>
    <row r="13" spans="1:14" x14ac:dyDescent="0.3">
      <c r="A13" s="17" t="s">
        <v>54</v>
      </c>
      <c r="B13" s="18" t="s">
        <v>43</v>
      </c>
      <c r="C13" s="19">
        <v>45534</v>
      </c>
      <c r="D13" s="18" t="s">
        <v>22</v>
      </c>
      <c r="E13" s="18" t="s">
        <v>56</v>
      </c>
      <c r="F13" s="9">
        <v>3784</v>
      </c>
      <c r="G13" s="9">
        <v>808</v>
      </c>
      <c r="H13" s="9">
        <v>404</v>
      </c>
      <c r="I13" s="9">
        <v>56760</v>
      </c>
      <c r="J13" s="9">
        <v>56343</v>
      </c>
      <c r="K13" s="9">
        <v>131</v>
      </c>
      <c r="L13" s="18" t="s">
        <v>30</v>
      </c>
      <c r="M13" s="20" t="s">
        <v>25</v>
      </c>
      <c r="N13">
        <f t="shared" si="0"/>
        <v>8.8019732205778717E-2</v>
      </c>
    </row>
    <row r="14" spans="1:14" x14ac:dyDescent="0.3">
      <c r="A14" s="13" t="s">
        <v>57</v>
      </c>
      <c r="B14" s="14" t="s">
        <v>43</v>
      </c>
      <c r="C14" s="15">
        <v>45727</v>
      </c>
      <c r="D14" s="14" t="s">
        <v>52</v>
      </c>
      <c r="E14" s="14" t="s">
        <v>59</v>
      </c>
      <c r="F14" s="8">
        <v>4241</v>
      </c>
      <c r="G14" s="8">
        <v>902</v>
      </c>
      <c r="H14" s="8">
        <v>47</v>
      </c>
      <c r="I14" s="8">
        <v>72097</v>
      </c>
      <c r="J14" s="8">
        <v>71598</v>
      </c>
      <c r="K14" s="8">
        <v>167</v>
      </c>
      <c r="L14" s="14" t="s">
        <v>30</v>
      </c>
      <c r="M14" s="16" t="s">
        <v>25</v>
      </c>
      <c r="N14">
        <f t="shared" si="0"/>
        <v>7.198635172059864E-2</v>
      </c>
    </row>
    <row r="15" spans="1:14" x14ac:dyDescent="0.3">
      <c r="A15" s="17" t="s">
        <v>60</v>
      </c>
      <c r="B15" s="18" t="s">
        <v>33</v>
      </c>
      <c r="C15" s="19">
        <v>45690</v>
      </c>
      <c r="D15" s="18" t="s">
        <v>35</v>
      </c>
      <c r="E15" s="18" t="s">
        <v>36</v>
      </c>
      <c r="F15" s="9">
        <v>1792</v>
      </c>
      <c r="G15" s="9">
        <v>614</v>
      </c>
      <c r="H15" s="9">
        <v>497</v>
      </c>
      <c r="I15" s="9">
        <v>25088</v>
      </c>
      <c r="J15" s="9">
        <v>24675</v>
      </c>
      <c r="K15" s="9">
        <v>65</v>
      </c>
      <c r="L15" s="18" t="s">
        <v>62</v>
      </c>
      <c r="M15" s="20" t="s">
        <v>38</v>
      </c>
      <c r="N15">
        <f t="shared" si="0"/>
        <v>0.11571269132653061</v>
      </c>
    </row>
    <row r="16" spans="1:14" x14ac:dyDescent="0.3">
      <c r="A16" s="13" t="s">
        <v>63</v>
      </c>
      <c r="B16" s="14" t="s">
        <v>43</v>
      </c>
      <c r="C16" s="15">
        <v>45494</v>
      </c>
      <c r="D16" s="14" t="s">
        <v>16</v>
      </c>
      <c r="E16" s="14" t="s">
        <v>65</v>
      </c>
      <c r="F16" s="8">
        <v>1946</v>
      </c>
      <c r="G16" s="8">
        <v>686</v>
      </c>
      <c r="H16" s="8">
        <v>377</v>
      </c>
      <c r="I16" s="8">
        <v>23352</v>
      </c>
      <c r="J16" s="8">
        <v>22982</v>
      </c>
      <c r="K16" s="8">
        <v>213</v>
      </c>
      <c r="L16" s="14" t="s">
        <v>62</v>
      </c>
      <c r="M16" s="16" t="s">
        <v>31</v>
      </c>
      <c r="N16">
        <f t="shared" si="0"/>
        <v>0.12885405960945528</v>
      </c>
    </row>
    <row r="17" spans="1:14" x14ac:dyDescent="0.3">
      <c r="A17" s="17" t="s">
        <v>66</v>
      </c>
      <c r="B17" s="18" t="s">
        <v>27</v>
      </c>
      <c r="C17" s="19">
        <v>45614</v>
      </c>
      <c r="D17" s="18" t="s">
        <v>45</v>
      </c>
      <c r="E17" s="18" t="s">
        <v>68</v>
      </c>
      <c r="F17" s="9">
        <v>1171</v>
      </c>
      <c r="G17" s="9">
        <v>286</v>
      </c>
      <c r="H17" s="9">
        <v>231</v>
      </c>
      <c r="I17" s="9">
        <v>22249</v>
      </c>
      <c r="J17" s="9">
        <v>21282</v>
      </c>
      <c r="K17" s="9">
        <v>114</v>
      </c>
      <c r="L17" s="18" t="s">
        <v>37</v>
      </c>
      <c r="M17" s="20" t="s">
        <v>19</v>
      </c>
      <c r="N17">
        <f t="shared" si="0"/>
        <v>7.5868578363072495E-2</v>
      </c>
    </row>
    <row r="18" spans="1:14" x14ac:dyDescent="0.3">
      <c r="A18" s="13" t="s">
        <v>69</v>
      </c>
      <c r="B18" s="14" t="s">
        <v>43</v>
      </c>
      <c r="C18" s="15">
        <v>45704</v>
      </c>
      <c r="D18" s="14" t="s">
        <v>35</v>
      </c>
      <c r="E18" s="14" t="s">
        <v>71</v>
      </c>
      <c r="F18" s="8">
        <v>4242</v>
      </c>
      <c r="G18" s="8">
        <v>555</v>
      </c>
      <c r="H18" s="8">
        <v>131</v>
      </c>
      <c r="I18" s="8">
        <v>33936</v>
      </c>
      <c r="J18" s="8">
        <v>33802</v>
      </c>
      <c r="K18" s="8">
        <v>265</v>
      </c>
      <c r="L18" s="14" t="s">
        <v>62</v>
      </c>
      <c r="M18" s="16"/>
      <c r="N18">
        <f t="shared" si="0"/>
        <v>0.14521452145214522</v>
      </c>
    </row>
    <row r="19" spans="1:14" x14ac:dyDescent="0.3">
      <c r="A19" s="17" t="s">
        <v>72</v>
      </c>
      <c r="B19" s="18" t="s">
        <v>43</v>
      </c>
      <c r="C19" s="19">
        <v>45589</v>
      </c>
      <c r="D19" s="18" t="s">
        <v>74</v>
      </c>
      <c r="E19" s="18" t="s">
        <v>75</v>
      </c>
      <c r="F19" s="9">
        <v>3888</v>
      </c>
      <c r="G19" s="9">
        <v>604</v>
      </c>
      <c r="H19" s="9">
        <v>128</v>
      </c>
      <c r="I19" s="9">
        <v>77760</v>
      </c>
      <c r="J19" s="9">
        <v>77167</v>
      </c>
      <c r="K19" s="9">
        <v>20</v>
      </c>
      <c r="L19" s="18" t="s">
        <v>62</v>
      </c>
      <c r="M19" s="20" t="s">
        <v>19</v>
      </c>
      <c r="N19">
        <f t="shared" si="0"/>
        <v>5.941358024691358E-2</v>
      </c>
    </row>
    <row r="20" spans="1:14" x14ac:dyDescent="0.3">
      <c r="A20" s="13" t="s">
        <v>76</v>
      </c>
      <c r="B20" s="14" t="s">
        <v>43</v>
      </c>
      <c r="C20" s="15">
        <v>45530</v>
      </c>
      <c r="D20" s="14" t="s">
        <v>22</v>
      </c>
      <c r="E20" s="14" t="s">
        <v>56</v>
      </c>
      <c r="F20" s="8">
        <v>3452</v>
      </c>
      <c r="G20" s="8">
        <v>377</v>
      </c>
      <c r="H20" s="8">
        <v>360</v>
      </c>
      <c r="I20" s="8">
        <v>55232</v>
      </c>
      <c r="J20" s="8">
        <v>55075</v>
      </c>
      <c r="K20" s="8">
        <v>87</v>
      </c>
      <c r="L20" s="14" t="s">
        <v>62</v>
      </c>
      <c r="M20" s="16" t="s">
        <v>31</v>
      </c>
      <c r="N20">
        <f t="shared" si="0"/>
        <v>7.5843713789107758E-2</v>
      </c>
    </row>
    <row r="21" spans="1:14" x14ac:dyDescent="0.3">
      <c r="A21" s="17" t="s">
        <v>78</v>
      </c>
      <c r="B21" s="18" t="s">
        <v>43</v>
      </c>
      <c r="C21" s="19">
        <v>45782</v>
      </c>
      <c r="D21" s="18" t="s">
        <v>22</v>
      </c>
      <c r="E21" s="18" t="s">
        <v>56</v>
      </c>
      <c r="F21" s="9">
        <v>4441</v>
      </c>
      <c r="G21" s="9">
        <v>511</v>
      </c>
      <c r="H21" s="9">
        <v>70</v>
      </c>
      <c r="I21" s="9">
        <v>53292</v>
      </c>
      <c r="J21" s="9">
        <v>53082</v>
      </c>
      <c r="K21" s="9">
        <v>159</v>
      </c>
      <c r="L21" s="18" t="s">
        <v>37</v>
      </c>
      <c r="M21" s="20" t="s">
        <v>38</v>
      </c>
      <c r="N21">
        <f t="shared" si="0"/>
        <v>9.4235532537716729E-2</v>
      </c>
    </row>
    <row r="22" spans="1:14" x14ac:dyDescent="0.3">
      <c r="A22" s="13" t="s">
        <v>80</v>
      </c>
      <c r="B22" s="14" t="s">
        <v>33</v>
      </c>
      <c r="C22" s="15">
        <v>45523</v>
      </c>
      <c r="D22" s="14" t="s">
        <v>16</v>
      </c>
      <c r="E22" s="14" t="s">
        <v>82</v>
      </c>
      <c r="F22" s="8">
        <v>3000</v>
      </c>
      <c r="G22" s="8">
        <v>382</v>
      </c>
      <c r="H22" s="8">
        <v>325</v>
      </c>
      <c r="I22" s="8">
        <v>36000</v>
      </c>
      <c r="J22" s="8">
        <v>35819</v>
      </c>
      <c r="K22" s="8">
        <v>19</v>
      </c>
      <c r="L22" s="14" t="s">
        <v>62</v>
      </c>
      <c r="M22" s="16" t="s">
        <v>19</v>
      </c>
      <c r="N22">
        <f t="shared" si="0"/>
        <v>0.10297222222222223</v>
      </c>
    </row>
    <row r="23" spans="1:14" x14ac:dyDescent="0.3">
      <c r="A23" s="17" t="s">
        <v>83</v>
      </c>
      <c r="B23" s="18" t="s">
        <v>33</v>
      </c>
      <c r="C23" s="19">
        <v>45466</v>
      </c>
      <c r="D23" s="18" t="s">
        <v>74</v>
      </c>
      <c r="E23" s="18" t="s">
        <v>85</v>
      </c>
      <c r="F23" s="9">
        <v>1071</v>
      </c>
      <c r="G23" s="9">
        <v>519</v>
      </c>
      <c r="H23" s="9">
        <v>22</v>
      </c>
      <c r="I23" s="9">
        <v>16065</v>
      </c>
      <c r="J23" s="9">
        <v>15865</v>
      </c>
      <c r="K23" s="9">
        <v>103</v>
      </c>
      <c r="L23" s="18" t="s">
        <v>30</v>
      </c>
      <c r="M23" s="20" t="s">
        <v>38</v>
      </c>
      <c r="N23">
        <f t="shared" si="0"/>
        <v>0.10034235916588857</v>
      </c>
    </row>
    <row r="24" spans="1:14" x14ac:dyDescent="0.3">
      <c r="A24" s="13" t="s">
        <v>86</v>
      </c>
      <c r="B24" s="14" t="s">
        <v>33</v>
      </c>
      <c r="C24" s="15">
        <v>45544</v>
      </c>
      <c r="D24" s="14" t="s">
        <v>45</v>
      </c>
      <c r="E24" s="14" t="s">
        <v>88</v>
      </c>
      <c r="F24" s="8">
        <v>4054</v>
      </c>
      <c r="G24" s="8">
        <v>488</v>
      </c>
      <c r="H24" s="8">
        <v>373</v>
      </c>
      <c r="I24" s="8">
        <v>77026</v>
      </c>
      <c r="J24" s="8">
        <v>76881</v>
      </c>
      <c r="K24" s="8">
        <v>25</v>
      </c>
      <c r="L24" s="14" t="s">
        <v>30</v>
      </c>
      <c r="M24" s="16" t="s">
        <v>19</v>
      </c>
      <c r="N24">
        <f t="shared" si="0"/>
        <v>6.3809622724794221E-2</v>
      </c>
    </row>
    <row r="25" spans="1:14" x14ac:dyDescent="0.3">
      <c r="A25" s="17" t="s">
        <v>89</v>
      </c>
      <c r="B25" s="18" t="s">
        <v>33</v>
      </c>
      <c r="C25" s="19">
        <v>45661</v>
      </c>
      <c r="D25" s="18" t="s">
        <v>16</v>
      </c>
      <c r="E25" s="18" t="s">
        <v>82</v>
      </c>
      <c r="F25" s="9">
        <v>4838</v>
      </c>
      <c r="G25" s="9">
        <v>640</v>
      </c>
      <c r="H25" s="9">
        <v>128</v>
      </c>
      <c r="I25" s="9">
        <v>72570</v>
      </c>
      <c r="J25" s="9">
        <v>72396</v>
      </c>
      <c r="K25" s="9">
        <v>83</v>
      </c>
      <c r="L25" s="18" t="s">
        <v>62</v>
      </c>
      <c r="M25" s="20" t="s">
        <v>38</v>
      </c>
      <c r="N25">
        <f t="shared" si="0"/>
        <v>7.7249552156538517E-2</v>
      </c>
    </row>
    <row r="26" spans="1:14" x14ac:dyDescent="0.3">
      <c r="A26" s="13" t="s">
        <v>91</v>
      </c>
      <c r="B26" s="14" t="s">
        <v>43</v>
      </c>
      <c r="C26" s="15">
        <v>45715</v>
      </c>
      <c r="D26" s="14" t="s">
        <v>22</v>
      </c>
      <c r="E26" s="14" t="s">
        <v>56</v>
      </c>
      <c r="F26" s="8">
        <v>1570</v>
      </c>
      <c r="G26" s="8">
        <v>187</v>
      </c>
      <c r="H26" s="8">
        <v>260</v>
      </c>
      <c r="I26" s="8">
        <v>25120</v>
      </c>
      <c r="J26" s="8">
        <v>24613</v>
      </c>
      <c r="K26" s="8">
        <v>133</v>
      </c>
      <c r="L26" s="14" t="s">
        <v>30</v>
      </c>
      <c r="M26" s="16" t="s">
        <v>38</v>
      </c>
      <c r="N26">
        <f t="shared" si="0"/>
        <v>8.0294585987261149E-2</v>
      </c>
    </row>
    <row r="27" spans="1:14" x14ac:dyDescent="0.3">
      <c r="A27" s="17" t="s">
        <v>93</v>
      </c>
      <c r="B27" s="18" t="s">
        <v>43</v>
      </c>
      <c r="C27" s="19">
        <v>45602</v>
      </c>
      <c r="D27" s="18" t="s">
        <v>74</v>
      </c>
      <c r="E27" s="18" t="s">
        <v>75</v>
      </c>
      <c r="F27" s="9">
        <v>1606</v>
      </c>
      <c r="G27" s="9">
        <v>547</v>
      </c>
      <c r="H27" s="9">
        <v>316</v>
      </c>
      <c r="I27" s="9">
        <v>32120</v>
      </c>
      <c r="J27" s="9">
        <v>31736</v>
      </c>
      <c r="K27" s="9">
        <v>225</v>
      </c>
      <c r="L27" s="18" t="s">
        <v>30</v>
      </c>
      <c r="M27" s="20" t="s">
        <v>25</v>
      </c>
      <c r="N27">
        <f t="shared" si="0"/>
        <v>7.6867995018679955E-2</v>
      </c>
    </row>
    <row r="28" spans="1:14" x14ac:dyDescent="0.3">
      <c r="A28" s="13" t="s">
        <v>93</v>
      </c>
      <c r="B28" s="14" t="s">
        <v>43</v>
      </c>
      <c r="C28" s="15">
        <v>45602</v>
      </c>
      <c r="D28" s="14" t="s">
        <v>74</v>
      </c>
      <c r="E28" s="14" t="s">
        <v>75</v>
      </c>
      <c r="F28" s="8">
        <v>1606</v>
      </c>
      <c r="G28" s="8">
        <v>547</v>
      </c>
      <c r="H28" s="8">
        <v>316</v>
      </c>
      <c r="I28" s="8">
        <v>32120</v>
      </c>
      <c r="J28" s="8">
        <v>31736</v>
      </c>
      <c r="K28" s="8">
        <v>225</v>
      </c>
      <c r="L28" s="14" t="s">
        <v>613</v>
      </c>
      <c r="M28" s="16" t="s">
        <v>25</v>
      </c>
      <c r="N28">
        <f t="shared" si="0"/>
        <v>7.6867995018679955E-2</v>
      </c>
    </row>
    <row r="29" spans="1:14" x14ac:dyDescent="0.3">
      <c r="A29" s="17" t="s">
        <v>96</v>
      </c>
      <c r="B29" s="18" t="s">
        <v>43</v>
      </c>
      <c r="C29" s="19">
        <v>45680</v>
      </c>
      <c r="D29" s="18" t="s">
        <v>74</v>
      </c>
      <c r="E29" s="18" t="s">
        <v>75</v>
      </c>
      <c r="F29" s="9">
        <v>3961</v>
      </c>
      <c r="G29" s="9">
        <v>761</v>
      </c>
      <c r="H29" s="9">
        <v>131</v>
      </c>
      <c r="I29" s="9">
        <v>67337</v>
      </c>
      <c r="J29" s="9">
        <v>66615</v>
      </c>
      <c r="K29" s="9">
        <v>161</v>
      </c>
      <c r="L29" s="18" t="s">
        <v>62</v>
      </c>
      <c r="M29" s="20" t="s">
        <v>31</v>
      </c>
      <c r="N29">
        <f t="shared" si="0"/>
        <v>7.2070332803659209E-2</v>
      </c>
    </row>
    <row r="30" spans="1:14" x14ac:dyDescent="0.3">
      <c r="A30" s="13" t="s">
        <v>98</v>
      </c>
      <c r="B30" s="14" t="s">
        <v>14</v>
      </c>
      <c r="C30" s="15">
        <v>45757</v>
      </c>
      <c r="D30" s="14" t="s">
        <v>45</v>
      </c>
      <c r="E30" s="14" t="s">
        <v>49</v>
      </c>
      <c r="F30" s="8">
        <v>3128</v>
      </c>
      <c r="G30" s="8">
        <v>211</v>
      </c>
      <c r="H30" s="8">
        <v>197</v>
      </c>
      <c r="I30" s="8">
        <v>59432</v>
      </c>
      <c r="J30" s="8">
        <v>59182</v>
      </c>
      <c r="K30" s="8">
        <v>238</v>
      </c>
      <c r="L30" s="14" t="s">
        <v>37</v>
      </c>
      <c r="M30" s="16"/>
      <c r="N30">
        <f t="shared" si="0"/>
        <v>5.9496567505720827E-2</v>
      </c>
    </row>
    <row r="31" spans="1:14" x14ac:dyDescent="0.3">
      <c r="A31" s="17" t="s">
        <v>100</v>
      </c>
      <c r="B31" s="18" t="s">
        <v>27</v>
      </c>
      <c r="C31" s="19">
        <v>45752</v>
      </c>
      <c r="D31" s="18" t="s">
        <v>16</v>
      </c>
      <c r="E31" s="18" t="s">
        <v>29</v>
      </c>
      <c r="F31" s="9">
        <v>3009</v>
      </c>
      <c r="G31" s="9">
        <v>413</v>
      </c>
      <c r="H31" s="9">
        <v>358</v>
      </c>
      <c r="I31" s="9">
        <v>42126</v>
      </c>
      <c r="J31" s="9">
        <v>41309</v>
      </c>
      <c r="K31" s="9">
        <v>211</v>
      </c>
      <c r="L31" s="18" t="s">
        <v>62</v>
      </c>
      <c r="M31" s="20" t="s">
        <v>25</v>
      </c>
      <c r="N31">
        <f t="shared" si="0"/>
        <v>8.9730807577268201E-2</v>
      </c>
    </row>
    <row r="32" spans="1:14" x14ac:dyDescent="0.3">
      <c r="A32" s="13" t="s">
        <v>102</v>
      </c>
      <c r="B32" s="14" t="s">
        <v>27</v>
      </c>
      <c r="C32" s="15">
        <v>45552</v>
      </c>
      <c r="D32" s="14" t="s">
        <v>22</v>
      </c>
      <c r="E32" s="14" t="s">
        <v>104</v>
      </c>
      <c r="F32" s="8">
        <v>2076</v>
      </c>
      <c r="G32" s="8">
        <v>195</v>
      </c>
      <c r="H32" s="8">
        <v>104</v>
      </c>
      <c r="I32" s="8">
        <v>33216</v>
      </c>
      <c r="J32" s="8">
        <v>32244</v>
      </c>
      <c r="K32" s="8">
        <v>51</v>
      </c>
      <c r="L32" s="14" t="s">
        <v>62</v>
      </c>
      <c r="M32" s="16" t="s">
        <v>38</v>
      </c>
      <c r="N32">
        <f t="shared" si="0"/>
        <v>7.1501685934489398E-2</v>
      </c>
    </row>
    <row r="33" spans="1:14" x14ac:dyDescent="0.3">
      <c r="A33" s="17" t="s">
        <v>105</v>
      </c>
      <c r="B33" s="18" t="s">
        <v>33</v>
      </c>
      <c r="C33" s="19">
        <v>45720</v>
      </c>
      <c r="D33" s="18" t="s">
        <v>74</v>
      </c>
      <c r="E33" s="18" t="s">
        <v>85</v>
      </c>
      <c r="F33" s="9">
        <v>432</v>
      </c>
      <c r="G33" s="9">
        <v>624</v>
      </c>
      <c r="H33" s="9">
        <v>123</v>
      </c>
      <c r="I33" s="9">
        <v>6912</v>
      </c>
      <c r="J33" s="9">
        <v>6259</v>
      </c>
      <c r="K33" s="9">
        <v>79</v>
      </c>
      <c r="L33" s="18" t="s">
        <v>62</v>
      </c>
      <c r="M33" s="20" t="s">
        <v>38</v>
      </c>
      <c r="N33">
        <f t="shared" si="0"/>
        <v>0.17057291666666666</v>
      </c>
    </row>
    <row r="34" spans="1:14" x14ac:dyDescent="0.3">
      <c r="A34" s="13" t="s">
        <v>107</v>
      </c>
      <c r="B34" s="14" t="s">
        <v>33</v>
      </c>
      <c r="C34" s="15">
        <v>45688</v>
      </c>
      <c r="D34" s="14" t="s">
        <v>45</v>
      </c>
      <c r="E34" s="14" t="s">
        <v>88</v>
      </c>
      <c r="F34" s="8">
        <v>2566</v>
      </c>
      <c r="G34" s="8">
        <v>118</v>
      </c>
      <c r="H34" s="8">
        <v>37</v>
      </c>
      <c r="I34" s="8">
        <v>12830</v>
      </c>
      <c r="J34" s="8">
        <v>12264</v>
      </c>
      <c r="K34" s="8">
        <v>221</v>
      </c>
      <c r="L34" s="14" t="s">
        <v>62</v>
      </c>
      <c r="M34" s="16" t="s">
        <v>31</v>
      </c>
      <c r="N34">
        <f t="shared" si="0"/>
        <v>0.21208106001558846</v>
      </c>
    </row>
    <row r="35" spans="1:14" x14ac:dyDescent="0.3">
      <c r="A35" s="17" t="s">
        <v>109</v>
      </c>
      <c r="B35" s="18" t="s">
        <v>33</v>
      </c>
      <c r="C35" s="19">
        <v>45713</v>
      </c>
      <c r="D35" s="18" t="s">
        <v>74</v>
      </c>
      <c r="E35" s="18" t="s">
        <v>85</v>
      </c>
      <c r="F35" s="9">
        <v>3095</v>
      </c>
      <c r="G35" s="9">
        <v>39</v>
      </c>
      <c r="H35" s="9">
        <v>78</v>
      </c>
      <c r="I35" s="9">
        <v>55710</v>
      </c>
      <c r="J35" s="9">
        <v>54808</v>
      </c>
      <c r="K35" s="9">
        <v>93</v>
      </c>
      <c r="L35" s="18" t="s">
        <v>37</v>
      </c>
      <c r="M35" s="20"/>
      <c r="N35">
        <f t="shared" si="0"/>
        <v>5.7655717106444085E-2</v>
      </c>
    </row>
    <row r="36" spans="1:14" x14ac:dyDescent="0.3">
      <c r="A36" s="13" t="s">
        <v>111</v>
      </c>
      <c r="B36" s="14" t="s">
        <v>33</v>
      </c>
      <c r="C36" s="15">
        <v>45642</v>
      </c>
      <c r="D36" s="14" t="s">
        <v>22</v>
      </c>
      <c r="E36" s="14" t="s">
        <v>113</v>
      </c>
      <c r="F36" s="8">
        <v>438</v>
      </c>
      <c r="G36" s="8">
        <v>153</v>
      </c>
      <c r="H36" s="8">
        <v>275</v>
      </c>
      <c r="I36" s="8">
        <v>3066</v>
      </c>
      <c r="J36" s="8">
        <v>2701</v>
      </c>
      <c r="K36" s="8">
        <v>282</v>
      </c>
      <c r="L36" s="14" t="s">
        <v>30</v>
      </c>
      <c r="M36" s="16" t="s">
        <v>25</v>
      </c>
      <c r="N36">
        <f t="shared" si="0"/>
        <v>0.28245270711024134</v>
      </c>
    </row>
    <row r="37" spans="1:14" x14ac:dyDescent="0.3">
      <c r="A37" s="17" t="s">
        <v>114</v>
      </c>
      <c r="B37" s="18" t="s">
        <v>14</v>
      </c>
      <c r="C37" s="19">
        <v>45504</v>
      </c>
      <c r="D37" s="18" t="s">
        <v>45</v>
      </c>
      <c r="E37" s="18" t="s">
        <v>49</v>
      </c>
      <c r="F37" s="9">
        <v>2278</v>
      </c>
      <c r="G37" s="9">
        <v>10</v>
      </c>
      <c r="H37" s="9">
        <v>321</v>
      </c>
      <c r="I37" s="9">
        <v>13668</v>
      </c>
      <c r="J37" s="9">
        <v>12676</v>
      </c>
      <c r="K37" s="9">
        <v>275</v>
      </c>
      <c r="L37" s="18" t="s">
        <v>37</v>
      </c>
      <c r="M37" s="20" t="s">
        <v>19</v>
      </c>
      <c r="N37">
        <f t="shared" si="0"/>
        <v>0.19088381621305239</v>
      </c>
    </row>
    <row r="38" spans="1:14" x14ac:dyDescent="0.3">
      <c r="A38" s="13" t="s">
        <v>116</v>
      </c>
      <c r="B38" s="14" t="s">
        <v>43</v>
      </c>
      <c r="C38" s="15">
        <v>45525</v>
      </c>
      <c r="D38" s="14" t="s">
        <v>52</v>
      </c>
      <c r="E38" s="14" t="s">
        <v>59</v>
      </c>
      <c r="F38" s="8">
        <v>1407</v>
      </c>
      <c r="G38" s="8">
        <v>400</v>
      </c>
      <c r="H38" s="8">
        <v>351</v>
      </c>
      <c r="I38" s="8">
        <v>16884</v>
      </c>
      <c r="J38" s="8">
        <v>15954</v>
      </c>
      <c r="K38" s="8">
        <v>113</v>
      </c>
      <c r="L38" s="14" t="s">
        <v>30</v>
      </c>
      <c r="M38" s="16" t="s">
        <v>19</v>
      </c>
      <c r="N38">
        <f t="shared" si="0"/>
        <v>0.12781331438047855</v>
      </c>
    </row>
    <row r="39" spans="1:14" x14ac:dyDescent="0.3">
      <c r="A39" s="17" t="s">
        <v>118</v>
      </c>
      <c r="B39" s="18" t="s">
        <v>43</v>
      </c>
      <c r="C39" s="19">
        <v>45742</v>
      </c>
      <c r="D39" s="18" t="s">
        <v>22</v>
      </c>
      <c r="E39" s="18" t="s">
        <v>56</v>
      </c>
      <c r="F39" s="9">
        <v>1652</v>
      </c>
      <c r="G39" s="9">
        <v>89</v>
      </c>
      <c r="H39" s="9">
        <v>357</v>
      </c>
      <c r="I39" s="9">
        <v>29736</v>
      </c>
      <c r="J39" s="9">
        <v>28771</v>
      </c>
      <c r="K39" s="9">
        <v>215</v>
      </c>
      <c r="L39" s="18" t="s">
        <v>30</v>
      </c>
      <c r="M39" s="20" t="s">
        <v>31</v>
      </c>
      <c r="N39">
        <f t="shared" si="0"/>
        <v>7.055421038471886E-2</v>
      </c>
    </row>
    <row r="40" spans="1:14" x14ac:dyDescent="0.3">
      <c r="A40" s="13" t="s">
        <v>120</v>
      </c>
      <c r="B40" s="14" t="s">
        <v>33</v>
      </c>
      <c r="C40" s="15">
        <v>45626</v>
      </c>
      <c r="D40" s="14" t="s">
        <v>74</v>
      </c>
      <c r="E40" s="14" t="s">
        <v>85</v>
      </c>
      <c r="F40" s="8">
        <v>3775</v>
      </c>
      <c r="G40" s="8">
        <v>16</v>
      </c>
      <c r="H40" s="8">
        <v>239</v>
      </c>
      <c r="I40" s="8">
        <v>33975</v>
      </c>
      <c r="J40" s="8">
        <v>33310</v>
      </c>
      <c r="K40" s="8">
        <v>271</v>
      </c>
      <c r="L40" s="14" t="s">
        <v>62</v>
      </c>
      <c r="M40" s="16" t="s">
        <v>25</v>
      </c>
      <c r="N40">
        <f t="shared" si="0"/>
        <v>0.11861662987490802</v>
      </c>
    </row>
    <row r="41" spans="1:14" x14ac:dyDescent="0.3">
      <c r="A41" s="17" t="s">
        <v>122</v>
      </c>
      <c r="B41" s="18" t="s">
        <v>33</v>
      </c>
      <c r="C41" s="19">
        <v>45766</v>
      </c>
      <c r="D41" s="18" t="s">
        <v>35</v>
      </c>
      <c r="E41" s="18" t="s">
        <v>36</v>
      </c>
      <c r="F41" s="9">
        <v>4518</v>
      </c>
      <c r="G41" s="9">
        <v>285</v>
      </c>
      <c r="H41" s="9">
        <v>383</v>
      </c>
      <c r="I41" s="9">
        <v>67770</v>
      </c>
      <c r="J41" s="9">
        <v>67621</v>
      </c>
      <c r="K41" s="9">
        <v>31</v>
      </c>
      <c r="L41" s="18" t="s">
        <v>37</v>
      </c>
      <c r="M41" s="20" t="s">
        <v>25</v>
      </c>
      <c r="N41">
        <f t="shared" si="0"/>
        <v>7.6523535487678915E-2</v>
      </c>
    </row>
    <row r="42" spans="1:14" x14ac:dyDescent="0.3">
      <c r="A42" s="13" t="s">
        <v>124</v>
      </c>
      <c r="B42" s="14" t="s">
        <v>43</v>
      </c>
      <c r="C42" s="15">
        <v>45663</v>
      </c>
      <c r="D42" s="14" t="s">
        <v>45</v>
      </c>
      <c r="E42" s="14" t="s">
        <v>46</v>
      </c>
      <c r="F42" s="8">
        <v>3024</v>
      </c>
      <c r="G42" s="8">
        <v>925</v>
      </c>
      <c r="H42" s="8">
        <v>350</v>
      </c>
      <c r="I42" s="8">
        <v>24192</v>
      </c>
      <c r="J42" s="8">
        <v>23518</v>
      </c>
      <c r="K42" s="8">
        <v>36</v>
      </c>
      <c r="L42" s="14" t="s">
        <v>37</v>
      </c>
      <c r="M42" s="16" t="s">
        <v>25</v>
      </c>
      <c r="N42">
        <f t="shared" si="0"/>
        <v>0.17770337301587302</v>
      </c>
    </row>
    <row r="43" spans="1:14" x14ac:dyDescent="0.3">
      <c r="A43" s="17" t="s">
        <v>126</v>
      </c>
      <c r="B43" s="18" t="s">
        <v>27</v>
      </c>
      <c r="C43" s="19">
        <v>45705</v>
      </c>
      <c r="D43" s="18" t="s">
        <v>16</v>
      </c>
      <c r="E43" s="18" t="s">
        <v>29</v>
      </c>
      <c r="F43" s="9">
        <v>3138</v>
      </c>
      <c r="G43" s="9">
        <v>123</v>
      </c>
      <c r="H43" s="9">
        <v>291</v>
      </c>
      <c r="I43" s="9">
        <v>28242</v>
      </c>
      <c r="J43" s="9">
        <v>27550</v>
      </c>
      <c r="K43" s="9">
        <v>87</v>
      </c>
      <c r="L43" s="18" t="s">
        <v>30</v>
      </c>
      <c r="M43" s="20" t="s">
        <v>38</v>
      </c>
      <c r="N43">
        <f t="shared" si="0"/>
        <v>0.12577012959422137</v>
      </c>
    </row>
    <row r="44" spans="1:14" x14ac:dyDescent="0.3">
      <c r="A44" s="13" t="s">
        <v>128</v>
      </c>
      <c r="B44" s="14" t="s">
        <v>43</v>
      </c>
      <c r="C44" s="15">
        <v>45621</v>
      </c>
      <c r="D44" s="14" t="s">
        <v>52</v>
      </c>
      <c r="E44" s="14" t="s">
        <v>59</v>
      </c>
      <c r="F44" s="8">
        <v>3564</v>
      </c>
      <c r="G44" s="8">
        <v>629</v>
      </c>
      <c r="H44" s="8">
        <v>177</v>
      </c>
      <c r="I44" s="8">
        <v>60588</v>
      </c>
      <c r="J44" s="8">
        <v>59627</v>
      </c>
      <c r="K44" s="8">
        <v>92</v>
      </c>
      <c r="L44" s="14" t="s">
        <v>30</v>
      </c>
      <c r="M44" s="16"/>
      <c r="N44">
        <f t="shared" si="0"/>
        <v>7.2126493695121141E-2</v>
      </c>
    </row>
    <row r="45" spans="1:14" x14ac:dyDescent="0.3">
      <c r="A45" s="17" t="s">
        <v>130</v>
      </c>
      <c r="B45" s="18" t="s">
        <v>14</v>
      </c>
      <c r="C45" s="19">
        <v>45723</v>
      </c>
      <c r="D45" s="18" t="s">
        <v>52</v>
      </c>
      <c r="E45" s="18" t="s">
        <v>132</v>
      </c>
      <c r="F45" s="9">
        <v>4750</v>
      </c>
      <c r="G45" s="9">
        <v>151</v>
      </c>
      <c r="H45" s="9">
        <v>415</v>
      </c>
      <c r="I45" s="9">
        <v>38000</v>
      </c>
      <c r="J45" s="9">
        <v>37792</v>
      </c>
      <c r="K45" s="9">
        <v>299</v>
      </c>
      <c r="L45" s="18" t="s">
        <v>37</v>
      </c>
      <c r="M45" s="20" t="s">
        <v>38</v>
      </c>
      <c r="N45">
        <f t="shared" si="0"/>
        <v>0.13989473684210527</v>
      </c>
    </row>
    <row r="46" spans="1:14" x14ac:dyDescent="0.3">
      <c r="A46" s="13" t="s">
        <v>133</v>
      </c>
      <c r="B46" s="14" t="s">
        <v>33</v>
      </c>
      <c r="C46" s="15">
        <v>45724</v>
      </c>
      <c r="D46" s="14" t="s">
        <v>16</v>
      </c>
      <c r="E46" s="14" t="s">
        <v>82</v>
      </c>
      <c r="F46" s="8">
        <v>456</v>
      </c>
      <c r="G46" s="8">
        <v>629</v>
      </c>
      <c r="H46" s="8">
        <v>428</v>
      </c>
      <c r="I46" s="8">
        <v>8208</v>
      </c>
      <c r="J46" s="8">
        <v>7377</v>
      </c>
      <c r="K46" s="8">
        <v>205</v>
      </c>
      <c r="L46" s="14" t="s">
        <v>62</v>
      </c>
      <c r="M46" s="16" t="s">
        <v>38</v>
      </c>
      <c r="N46">
        <f t="shared" si="0"/>
        <v>0.18433235867446393</v>
      </c>
    </row>
    <row r="47" spans="1:14" x14ac:dyDescent="0.3">
      <c r="A47" s="17" t="s">
        <v>135</v>
      </c>
      <c r="B47" s="18" t="s">
        <v>27</v>
      </c>
      <c r="C47" s="19">
        <v>45721</v>
      </c>
      <c r="D47" s="18" t="s">
        <v>16</v>
      </c>
      <c r="E47" s="18" t="s">
        <v>29</v>
      </c>
      <c r="F47" s="9">
        <v>1543</v>
      </c>
      <c r="G47" s="9">
        <v>820</v>
      </c>
      <c r="H47" s="9">
        <v>333</v>
      </c>
      <c r="I47" s="9">
        <v>12344</v>
      </c>
      <c r="J47" s="9">
        <v>11496</v>
      </c>
      <c r="K47" s="9">
        <v>241</v>
      </c>
      <c r="L47" s="18" t="s">
        <v>37</v>
      </c>
      <c r="M47" s="20"/>
      <c r="N47">
        <f t="shared" si="0"/>
        <v>0.21840570317563188</v>
      </c>
    </row>
    <row r="48" spans="1:14" x14ac:dyDescent="0.3">
      <c r="A48" s="13" t="s">
        <v>137</v>
      </c>
      <c r="B48" s="14" t="s">
        <v>33</v>
      </c>
      <c r="C48" s="15">
        <v>45640</v>
      </c>
      <c r="D48" s="14" t="s">
        <v>45</v>
      </c>
      <c r="E48" s="14" t="s">
        <v>88</v>
      </c>
      <c r="F48" s="8">
        <v>2174</v>
      </c>
      <c r="G48" s="8">
        <v>658</v>
      </c>
      <c r="H48" s="8">
        <v>15</v>
      </c>
      <c r="I48" s="8">
        <v>13044</v>
      </c>
      <c r="J48" s="8">
        <v>12206</v>
      </c>
      <c r="K48" s="8">
        <v>137</v>
      </c>
      <c r="L48" s="14" t="s">
        <v>30</v>
      </c>
      <c r="M48" s="16" t="s">
        <v>31</v>
      </c>
      <c r="N48">
        <f t="shared" si="0"/>
        <v>0.21826126954921804</v>
      </c>
    </row>
    <row r="49" spans="1:14" x14ac:dyDescent="0.3">
      <c r="A49" s="17" t="s">
        <v>139</v>
      </c>
      <c r="B49" s="18" t="s">
        <v>14</v>
      </c>
      <c r="C49" s="19">
        <v>45718</v>
      </c>
      <c r="D49" s="18" t="s">
        <v>52</v>
      </c>
      <c r="E49" s="18" t="s">
        <v>132</v>
      </c>
      <c r="F49" s="9">
        <v>2358</v>
      </c>
      <c r="G49" s="9">
        <v>784</v>
      </c>
      <c r="H49" s="9">
        <v>344</v>
      </c>
      <c r="I49" s="9">
        <v>35370</v>
      </c>
      <c r="J49" s="9">
        <v>34475</v>
      </c>
      <c r="K49" s="9">
        <v>216</v>
      </c>
      <c r="L49" s="18" t="s">
        <v>30</v>
      </c>
      <c r="M49" s="20"/>
      <c r="N49">
        <f t="shared" si="0"/>
        <v>9.8558100084817649E-2</v>
      </c>
    </row>
    <row r="50" spans="1:14" x14ac:dyDescent="0.3">
      <c r="A50" s="13" t="s">
        <v>141</v>
      </c>
      <c r="B50" s="14" t="s">
        <v>43</v>
      </c>
      <c r="C50" s="15">
        <v>45597</v>
      </c>
      <c r="D50" s="14" t="s">
        <v>74</v>
      </c>
      <c r="E50" s="14" t="s">
        <v>75</v>
      </c>
      <c r="F50" s="8">
        <v>3371</v>
      </c>
      <c r="G50" s="8">
        <v>106</v>
      </c>
      <c r="H50" s="8">
        <v>327</v>
      </c>
      <c r="I50" s="8">
        <v>50565</v>
      </c>
      <c r="J50" s="8">
        <v>49816</v>
      </c>
      <c r="K50" s="8">
        <v>176</v>
      </c>
      <c r="L50" s="14" t="s">
        <v>62</v>
      </c>
      <c r="M50" s="16" t="s">
        <v>19</v>
      </c>
      <c r="N50">
        <f t="shared" si="0"/>
        <v>7.5229902106199939E-2</v>
      </c>
    </row>
    <row r="51" spans="1:14" x14ac:dyDescent="0.3">
      <c r="A51" s="17" t="s">
        <v>143</v>
      </c>
      <c r="B51" s="18" t="s">
        <v>14</v>
      </c>
      <c r="C51" s="19">
        <v>45779</v>
      </c>
      <c r="D51" s="18" t="s">
        <v>74</v>
      </c>
      <c r="E51" s="18" t="s">
        <v>145</v>
      </c>
      <c r="F51" s="9">
        <v>1108</v>
      </c>
      <c r="G51" s="9">
        <v>177</v>
      </c>
      <c r="H51" s="9">
        <v>212</v>
      </c>
      <c r="I51" s="9">
        <v>8864</v>
      </c>
      <c r="J51" s="9">
        <v>8710</v>
      </c>
      <c r="K51" s="9">
        <v>97</v>
      </c>
      <c r="L51" s="18" t="s">
        <v>30</v>
      </c>
      <c r="M51" s="20" t="s">
        <v>38</v>
      </c>
      <c r="N51">
        <f t="shared" si="0"/>
        <v>0.16888537906137185</v>
      </c>
    </row>
    <row r="52" spans="1:14" x14ac:dyDescent="0.3">
      <c r="A52" s="13" t="s">
        <v>146</v>
      </c>
      <c r="B52" s="14" t="s">
        <v>14</v>
      </c>
      <c r="C52" s="15">
        <v>45712</v>
      </c>
      <c r="D52" s="14" t="s">
        <v>45</v>
      </c>
      <c r="E52" s="14" t="s">
        <v>49</v>
      </c>
      <c r="F52" s="8">
        <v>2704</v>
      </c>
      <c r="G52" s="8">
        <v>752</v>
      </c>
      <c r="H52" s="8">
        <v>153</v>
      </c>
      <c r="I52" s="8">
        <v>21632</v>
      </c>
      <c r="J52" s="8">
        <v>20792</v>
      </c>
      <c r="K52" s="8">
        <v>127</v>
      </c>
      <c r="L52" s="14" t="s">
        <v>62</v>
      </c>
      <c r="M52" s="16"/>
      <c r="N52">
        <f t="shared" si="0"/>
        <v>0.16683616863905326</v>
      </c>
    </row>
    <row r="53" spans="1:14" x14ac:dyDescent="0.3">
      <c r="A53" s="17" t="s">
        <v>148</v>
      </c>
      <c r="B53" s="18" t="s">
        <v>14</v>
      </c>
      <c r="C53" s="19">
        <v>45727</v>
      </c>
      <c r="D53" s="18" t="s">
        <v>35</v>
      </c>
      <c r="E53" s="18" t="s">
        <v>149</v>
      </c>
      <c r="F53" s="9">
        <v>1950</v>
      </c>
      <c r="G53" s="9">
        <v>295</v>
      </c>
      <c r="H53" s="9">
        <v>478</v>
      </c>
      <c r="I53" s="9">
        <v>37050</v>
      </c>
      <c r="J53" s="9">
        <v>36272</v>
      </c>
      <c r="K53" s="9">
        <v>119</v>
      </c>
      <c r="L53" s="18" t="s">
        <v>30</v>
      </c>
      <c r="M53" s="20"/>
      <c r="N53">
        <f t="shared" si="0"/>
        <v>7.349527665317139E-2</v>
      </c>
    </row>
    <row r="54" spans="1:14" x14ac:dyDescent="0.3">
      <c r="A54" s="13" t="s">
        <v>150</v>
      </c>
      <c r="B54" s="14" t="s">
        <v>14</v>
      </c>
      <c r="C54" s="15">
        <v>45453</v>
      </c>
      <c r="D54" s="14" t="s">
        <v>35</v>
      </c>
      <c r="E54" s="14" t="s">
        <v>149</v>
      </c>
      <c r="F54" s="8">
        <v>2164</v>
      </c>
      <c r="G54" s="8">
        <v>549</v>
      </c>
      <c r="H54" s="8">
        <v>274</v>
      </c>
      <c r="I54" s="8">
        <v>28132</v>
      </c>
      <c r="J54" s="8">
        <v>27361</v>
      </c>
      <c r="K54" s="8">
        <v>177</v>
      </c>
      <c r="L54" s="14" t="s">
        <v>30</v>
      </c>
      <c r="M54" s="16" t="s">
        <v>38</v>
      </c>
      <c r="N54">
        <f t="shared" si="0"/>
        <v>0.10617801791554102</v>
      </c>
    </row>
    <row r="55" spans="1:14" x14ac:dyDescent="0.3">
      <c r="A55" s="17" t="s">
        <v>152</v>
      </c>
      <c r="B55" s="18" t="s">
        <v>27</v>
      </c>
      <c r="C55" s="19">
        <v>45476</v>
      </c>
      <c r="D55" s="18" t="s">
        <v>35</v>
      </c>
      <c r="E55" s="18" t="s">
        <v>154</v>
      </c>
      <c r="F55" s="9">
        <v>2754</v>
      </c>
      <c r="G55" s="9">
        <v>130</v>
      </c>
      <c r="H55" s="9">
        <v>90</v>
      </c>
      <c r="I55" s="9">
        <v>22032</v>
      </c>
      <c r="J55" s="9">
        <v>21288</v>
      </c>
      <c r="K55" s="9">
        <v>112</v>
      </c>
      <c r="L55" s="18" t="s">
        <v>30</v>
      </c>
      <c r="M55" s="20" t="s">
        <v>31</v>
      </c>
      <c r="N55">
        <f t="shared" si="0"/>
        <v>0.13498547567175018</v>
      </c>
    </row>
    <row r="56" spans="1:14" x14ac:dyDescent="0.3">
      <c r="A56" s="13" t="s">
        <v>155</v>
      </c>
      <c r="B56" s="14" t="s">
        <v>43</v>
      </c>
      <c r="C56" s="15">
        <v>45456</v>
      </c>
      <c r="D56" s="14" t="s">
        <v>45</v>
      </c>
      <c r="E56" s="14" t="s">
        <v>46</v>
      </c>
      <c r="F56" s="8">
        <v>2200</v>
      </c>
      <c r="G56" s="8">
        <v>504</v>
      </c>
      <c r="H56" s="8">
        <v>239</v>
      </c>
      <c r="I56" s="8">
        <v>37400</v>
      </c>
      <c r="J56" s="8">
        <v>36938</v>
      </c>
      <c r="K56" s="8">
        <v>225</v>
      </c>
      <c r="L56" s="14" t="s">
        <v>62</v>
      </c>
      <c r="M56" s="16" t="s">
        <v>25</v>
      </c>
      <c r="N56">
        <f t="shared" si="0"/>
        <v>7.8689839572192513E-2</v>
      </c>
    </row>
    <row r="57" spans="1:14" x14ac:dyDescent="0.3">
      <c r="A57" s="17" t="s">
        <v>157</v>
      </c>
      <c r="B57" s="18" t="s">
        <v>43</v>
      </c>
      <c r="C57" s="19">
        <v>45660</v>
      </c>
      <c r="D57" s="18" t="s">
        <v>52</v>
      </c>
      <c r="E57" s="18" t="s">
        <v>59</v>
      </c>
      <c r="F57" s="9">
        <v>947</v>
      </c>
      <c r="G57" s="9">
        <v>338</v>
      </c>
      <c r="H57" s="9">
        <v>350</v>
      </c>
      <c r="I57" s="9">
        <v>10417</v>
      </c>
      <c r="J57" s="9">
        <v>9730</v>
      </c>
      <c r="K57" s="9">
        <v>34</v>
      </c>
      <c r="L57" s="18" t="s">
        <v>30</v>
      </c>
      <c r="M57" s="20" t="s">
        <v>38</v>
      </c>
      <c r="N57">
        <f t="shared" si="0"/>
        <v>0.1569549774407219</v>
      </c>
    </row>
    <row r="58" spans="1:14" x14ac:dyDescent="0.3">
      <c r="A58" s="13" t="s">
        <v>159</v>
      </c>
      <c r="B58" s="14" t="s">
        <v>27</v>
      </c>
      <c r="C58" s="15">
        <v>45712</v>
      </c>
      <c r="D58" s="14" t="s">
        <v>45</v>
      </c>
      <c r="E58" s="14" t="s">
        <v>68</v>
      </c>
      <c r="F58" s="8">
        <v>804</v>
      </c>
      <c r="G58" s="8">
        <v>639</v>
      </c>
      <c r="H58" s="8">
        <v>43</v>
      </c>
      <c r="I58" s="8">
        <v>4020</v>
      </c>
      <c r="J58" s="8">
        <v>3144</v>
      </c>
      <c r="K58" s="8">
        <v>11</v>
      </c>
      <c r="L58" s="14" t="s">
        <v>37</v>
      </c>
      <c r="M58" s="16"/>
      <c r="N58">
        <f t="shared" si="0"/>
        <v>0.36965174129353234</v>
      </c>
    </row>
    <row r="59" spans="1:14" x14ac:dyDescent="0.3">
      <c r="A59" s="17" t="s">
        <v>159</v>
      </c>
      <c r="B59" s="18" t="s">
        <v>27</v>
      </c>
      <c r="C59" s="19">
        <v>45712</v>
      </c>
      <c r="D59" s="18" t="s">
        <v>45</v>
      </c>
      <c r="E59" s="18" t="s">
        <v>68</v>
      </c>
      <c r="F59" s="9">
        <v>804</v>
      </c>
      <c r="G59" s="9">
        <v>639</v>
      </c>
      <c r="H59" s="9">
        <v>43</v>
      </c>
      <c r="I59" s="9">
        <v>4020</v>
      </c>
      <c r="J59" s="9">
        <v>3144</v>
      </c>
      <c r="K59" s="9">
        <v>11</v>
      </c>
      <c r="L59" s="18" t="s">
        <v>614</v>
      </c>
      <c r="M59" s="20"/>
      <c r="N59">
        <f t="shared" si="0"/>
        <v>0.36965174129353234</v>
      </c>
    </row>
    <row r="60" spans="1:14" x14ac:dyDescent="0.3">
      <c r="A60" s="13" t="s">
        <v>161</v>
      </c>
      <c r="B60" s="14" t="s">
        <v>27</v>
      </c>
      <c r="C60" s="15">
        <v>45729</v>
      </c>
      <c r="D60" s="14" t="s">
        <v>45</v>
      </c>
      <c r="E60" s="14" t="s">
        <v>68</v>
      </c>
      <c r="F60" s="8">
        <v>1686</v>
      </c>
      <c r="G60" s="8">
        <v>904</v>
      </c>
      <c r="H60" s="8">
        <v>472</v>
      </c>
      <c r="I60" s="8">
        <v>18546</v>
      </c>
      <c r="J60" s="8">
        <v>18171</v>
      </c>
      <c r="K60" s="8">
        <v>52</v>
      </c>
      <c r="L60" s="14" t="s">
        <v>62</v>
      </c>
      <c r="M60" s="16" t="s">
        <v>25</v>
      </c>
      <c r="N60">
        <f t="shared" si="0"/>
        <v>0.16510298716704411</v>
      </c>
    </row>
    <row r="61" spans="1:14" x14ac:dyDescent="0.3">
      <c r="A61" s="17" t="s">
        <v>163</v>
      </c>
      <c r="B61" s="18" t="s">
        <v>43</v>
      </c>
      <c r="C61" s="19">
        <v>45460</v>
      </c>
      <c r="D61" s="18" t="s">
        <v>52</v>
      </c>
      <c r="E61" s="18" t="s">
        <v>59</v>
      </c>
      <c r="F61" s="9">
        <v>1226</v>
      </c>
      <c r="G61" s="9">
        <v>119</v>
      </c>
      <c r="H61" s="9">
        <v>7</v>
      </c>
      <c r="I61" s="9">
        <v>14712</v>
      </c>
      <c r="J61" s="9">
        <v>14049</v>
      </c>
      <c r="K61" s="9">
        <v>123</v>
      </c>
      <c r="L61" s="18" t="s">
        <v>37</v>
      </c>
      <c r="M61" s="20" t="s">
        <v>38</v>
      </c>
      <c r="N61">
        <f t="shared" si="0"/>
        <v>9.1897770527460579E-2</v>
      </c>
    </row>
    <row r="62" spans="1:14" x14ac:dyDescent="0.3">
      <c r="A62" s="13" t="s">
        <v>165</v>
      </c>
      <c r="B62" s="14" t="s">
        <v>43</v>
      </c>
      <c r="C62" s="15">
        <v>45644</v>
      </c>
      <c r="D62" s="14" t="s">
        <v>45</v>
      </c>
      <c r="E62" s="14" t="s">
        <v>46</v>
      </c>
      <c r="F62" s="8">
        <v>2946</v>
      </c>
      <c r="G62" s="8">
        <v>498</v>
      </c>
      <c r="H62" s="8">
        <v>367</v>
      </c>
      <c r="I62" s="8">
        <v>29460</v>
      </c>
      <c r="J62" s="8">
        <v>28527</v>
      </c>
      <c r="K62" s="8">
        <v>60</v>
      </c>
      <c r="L62" s="14" t="s">
        <v>62</v>
      </c>
      <c r="M62" s="16" t="s">
        <v>31</v>
      </c>
      <c r="N62">
        <f t="shared" si="0"/>
        <v>0.12936184657162253</v>
      </c>
    </row>
    <row r="63" spans="1:14" x14ac:dyDescent="0.3">
      <c r="A63" s="17" t="s">
        <v>167</v>
      </c>
      <c r="B63" s="18" t="s">
        <v>14</v>
      </c>
      <c r="C63" s="19">
        <v>45586</v>
      </c>
      <c r="D63" s="18" t="s">
        <v>74</v>
      </c>
      <c r="E63" s="18" t="s">
        <v>145</v>
      </c>
      <c r="F63" s="9">
        <v>2825</v>
      </c>
      <c r="G63" s="9">
        <v>535</v>
      </c>
      <c r="H63" s="9">
        <v>295</v>
      </c>
      <c r="I63" s="9">
        <v>45200</v>
      </c>
      <c r="J63" s="9">
        <v>44739</v>
      </c>
      <c r="K63" s="9">
        <v>169</v>
      </c>
      <c r="L63" s="18" t="s">
        <v>30</v>
      </c>
      <c r="M63" s="20" t="s">
        <v>19</v>
      </c>
      <c r="N63">
        <f t="shared" si="0"/>
        <v>8.0862831858407078E-2</v>
      </c>
    </row>
    <row r="64" spans="1:14" x14ac:dyDescent="0.3">
      <c r="A64" s="13" t="s">
        <v>169</v>
      </c>
      <c r="B64" s="14" t="s">
        <v>33</v>
      </c>
      <c r="C64" s="15">
        <v>45762</v>
      </c>
      <c r="D64" s="14" t="s">
        <v>16</v>
      </c>
      <c r="E64" s="14" t="s">
        <v>82</v>
      </c>
      <c r="F64" s="8">
        <v>103</v>
      </c>
      <c r="G64" s="8">
        <v>770</v>
      </c>
      <c r="H64" s="8">
        <v>19</v>
      </c>
      <c r="I64" s="8">
        <v>1030</v>
      </c>
      <c r="J64" s="8">
        <v>410</v>
      </c>
      <c r="K64" s="8">
        <v>262</v>
      </c>
      <c r="L64" s="14" t="s">
        <v>30</v>
      </c>
      <c r="M64" s="16" t="s">
        <v>38</v>
      </c>
      <c r="N64">
        <f t="shared" si="0"/>
        <v>0.86601941747572819</v>
      </c>
    </row>
    <row r="65" spans="1:14" x14ac:dyDescent="0.3">
      <c r="A65" s="17" t="s">
        <v>171</v>
      </c>
      <c r="B65" s="18" t="s">
        <v>33</v>
      </c>
      <c r="C65" s="19">
        <v>45465</v>
      </c>
      <c r="D65" s="18" t="s">
        <v>22</v>
      </c>
      <c r="E65" s="18" t="s">
        <v>113</v>
      </c>
      <c r="F65" s="9">
        <v>2180</v>
      </c>
      <c r="G65" s="9">
        <v>263</v>
      </c>
      <c r="H65" s="9">
        <v>387</v>
      </c>
      <c r="I65" s="9">
        <v>30520</v>
      </c>
      <c r="J65" s="9">
        <v>30059</v>
      </c>
      <c r="K65" s="9">
        <v>174</v>
      </c>
      <c r="L65" s="18" t="s">
        <v>37</v>
      </c>
      <c r="M65" s="20"/>
      <c r="N65">
        <f t="shared" si="0"/>
        <v>9.2726081258191345E-2</v>
      </c>
    </row>
    <row r="66" spans="1:14" x14ac:dyDescent="0.3">
      <c r="A66" s="13" t="s">
        <v>173</v>
      </c>
      <c r="B66" s="14" t="s">
        <v>33</v>
      </c>
      <c r="C66" s="15">
        <v>45685</v>
      </c>
      <c r="D66" s="14" t="s">
        <v>74</v>
      </c>
      <c r="E66" s="14" t="s">
        <v>85</v>
      </c>
      <c r="F66" s="8">
        <v>904</v>
      </c>
      <c r="G66" s="8">
        <v>973</v>
      </c>
      <c r="H66" s="8">
        <v>63</v>
      </c>
      <c r="I66" s="8">
        <v>11752</v>
      </c>
      <c r="J66" s="8">
        <v>11580</v>
      </c>
      <c r="K66" s="8">
        <v>84</v>
      </c>
      <c r="L66" s="14" t="s">
        <v>37</v>
      </c>
      <c r="M66" s="16" t="s">
        <v>31</v>
      </c>
      <c r="N66">
        <f t="shared" ref="N66:N129" si="1">(F66+G66+H66)/I66</f>
        <v>0.1650782845473111</v>
      </c>
    </row>
    <row r="67" spans="1:14" x14ac:dyDescent="0.3">
      <c r="A67" s="17" t="s">
        <v>173</v>
      </c>
      <c r="B67" s="18" t="s">
        <v>33</v>
      </c>
      <c r="C67" s="19">
        <v>45685</v>
      </c>
      <c r="D67" s="18" t="s">
        <v>74</v>
      </c>
      <c r="E67" s="18" t="s">
        <v>85</v>
      </c>
      <c r="F67" s="9">
        <v>904</v>
      </c>
      <c r="G67" s="9">
        <v>973</v>
      </c>
      <c r="H67" s="9">
        <v>63</v>
      </c>
      <c r="I67" s="9">
        <v>11752</v>
      </c>
      <c r="J67" s="9">
        <v>11580</v>
      </c>
      <c r="K67" s="9">
        <v>84</v>
      </c>
      <c r="L67" s="18" t="s">
        <v>30</v>
      </c>
      <c r="M67" s="20" t="s">
        <v>31</v>
      </c>
      <c r="N67">
        <f t="shared" si="1"/>
        <v>0.1650782845473111</v>
      </c>
    </row>
    <row r="68" spans="1:14" x14ac:dyDescent="0.3">
      <c r="A68" s="13" t="s">
        <v>173</v>
      </c>
      <c r="B68" s="14" t="s">
        <v>33</v>
      </c>
      <c r="C68" s="15">
        <v>45685</v>
      </c>
      <c r="D68" s="14" t="s">
        <v>74</v>
      </c>
      <c r="E68" s="14" t="s">
        <v>85</v>
      </c>
      <c r="F68" s="8">
        <v>904</v>
      </c>
      <c r="G68" s="8">
        <v>973</v>
      </c>
      <c r="H68" s="8">
        <v>63</v>
      </c>
      <c r="I68" s="8">
        <v>11752</v>
      </c>
      <c r="J68" s="8">
        <v>11580</v>
      </c>
      <c r="K68" s="8">
        <v>84</v>
      </c>
      <c r="L68" s="14" t="s">
        <v>613</v>
      </c>
      <c r="M68" s="16" t="s">
        <v>31</v>
      </c>
      <c r="N68">
        <f t="shared" si="1"/>
        <v>0.1650782845473111</v>
      </c>
    </row>
    <row r="69" spans="1:14" x14ac:dyDescent="0.3">
      <c r="A69" s="17" t="s">
        <v>176</v>
      </c>
      <c r="B69" s="18" t="s">
        <v>14</v>
      </c>
      <c r="C69" s="19">
        <v>45540</v>
      </c>
      <c r="D69" s="18" t="s">
        <v>74</v>
      </c>
      <c r="E69" s="18" t="s">
        <v>145</v>
      </c>
      <c r="F69" s="9">
        <v>4886</v>
      </c>
      <c r="G69" s="9">
        <v>983</v>
      </c>
      <c r="H69" s="9">
        <v>409</v>
      </c>
      <c r="I69" s="9">
        <v>43974</v>
      </c>
      <c r="J69" s="9">
        <v>43239</v>
      </c>
      <c r="K69" s="9">
        <v>65</v>
      </c>
      <c r="L69" s="18" t="s">
        <v>30</v>
      </c>
      <c r="M69" s="20" t="s">
        <v>19</v>
      </c>
      <c r="N69">
        <f t="shared" si="1"/>
        <v>0.14276618001546368</v>
      </c>
    </row>
    <row r="70" spans="1:14" x14ac:dyDescent="0.3">
      <c r="A70" s="13" t="s">
        <v>178</v>
      </c>
      <c r="B70" s="14" t="s">
        <v>14</v>
      </c>
      <c r="C70" s="15">
        <v>45618</v>
      </c>
      <c r="D70" s="14" t="s">
        <v>45</v>
      </c>
      <c r="E70" s="14" t="s">
        <v>49</v>
      </c>
      <c r="F70" s="8">
        <v>53</v>
      </c>
      <c r="G70" s="8">
        <v>81</v>
      </c>
      <c r="H70" s="8">
        <v>379</v>
      </c>
      <c r="I70" s="8">
        <v>954</v>
      </c>
      <c r="J70" s="8">
        <v>7</v>
      </c>
      <c r="K70" s="8">
        <v>148</v>
      </c>
      <c r="L70" s="14" t="s">
        <v>30</v>
      </c>
      <c r="M70" s="16" t="s">
        <v>31</v>
      </c>
      <c r="N70">
        <f t="shared" si="1"/>
        <v>0.53773584905660377</v>
      </c>
    </row>
    <row r="71" spans="1:14" x14ac:dyDescent="0.3">
      <c r="A71" s="17" t="s">
        <v>180</v>
      </c>
      <c r="B71" s="18" t="s">
        <v>14</v>
      </c>
      <c r="C71" s="19">
        <v>45504</v>
      </c>
      <c r="D71" s="18" t="s">
        <v>45</v>
      </c>
      <c r="E71" s="18" t="s">
        <v>49</v>
      </c>
      <c r="F71" s="9">
        <v>4507</v>
      </c>
      <c r="G71" s="9">
        <v>217</v>
      </c>
      <c r="H71" s="9">
        <v>13</v>
      </c>
      <c r="I71" s="9">
        <v>90140</v>
      </c>
      <c r="J71" s="9">
        <v>89591</v>
      </c>
      <c r="K71" s="9">
        <v>125</v>
      </c>
      <c r="L71" s="18" t="s">
        <v>62</v>
      </c>
      <c r="M71" s="20" t="s">
        <v>31</v>
      </c>
      <c r="N71">
        <f t="shared" si="1"/>
        <v>5.2551586421122697E-2</v>
      </c>
    </row>
    <row r="72" spans="1:14" x14ac:dyDescent="0.3">
      <c r="A72" s="13" t="s">
        <v>181</v>
      </c>
      <c r="B72" s="14" t="s">
        <v>43</v>
      </c>
      <c r="C72" s="15">
        <v>45521</v>
      </c>
      <c r="D72" s="14" t="s">
        <v>52</v>
      </c>
      <c r="E72" s="14" t="s">
        <v>59</v>
      </c>
      <c r="F72" s="8">
        <v>2878</v>
      </c>
      <c r="G72" s="8">
        <v>248</v>
      </c>
      <c r="H72" s="8">
        <v>416</v>
      </c>
      <c r="I72" s="8">
        <v>43170</v>
      </c>
      <c r="J72" s="8">
        <v>42667</v>
      </c>
      <c r="K72" s="8">
        <v>75</v>
      </c>
      <c r="L72" s="14" t="s">
        <v>62</v>
      </c>
      <c r="M72" s="16" t="s">
        <v>31</v>
      </c>
      <c r="N72">
        <f t="shared" si="1"/>
        <v>8.2047718322909427E-2</v>
      </c>
    </row>
    <row r="73" spans="1:14" x14ac:dyDescent="0.3">
      <c r="A73" s="17" t="s">
        <v>183</v>
      </c>
      <c r="B73" s="18" t="s">
        <v>33</v>
      </c>
      <c r="C73" s="19">
        <v>45744</v>
      </c>
      <c r="D73" s="18" t="s">
        <v>35</v>
      </c>
      <c r="E73" s="18" t="s">
        <v>36</v>
      </c>
      <c r="F73" s="9">
        <v>1881</v>
      </c>
      <c r="G73" s="9">
        <v>501</v>
      </c>
      <c r="H73" s="9">
        <v>99</v>
      </c>
      <c r="I73" s="9">
        <v>20691</v>
      </c>
      <c r="J73" s="9">
        <v>19987</v>
      </c>
      <c r="K73" s="9">
        <v>289</v>
      </c>
      <c r="L73" s="18" t="s">
        <v>37</v>
      </c>
      <c r="M73" s="20"/>
      <c r="N73">
        <f t="shared" si="1"/>
        <v>0.11990720603160794</v>
      </c>
    </row>
    <row r="74" spans="1:14" x14ac:dyDescent="0.3">
      <c r="A74" s="13" t="s">
        <v>185</v>
      </c>
      <c r="B74" s="14" t="s">
        <v>14</v>
      </c>
      <c r="C74" s="15">
        <v>45499</v>
      </c>
      <c r="D74" s="14" t="s">
        <v>45</v>
      </c>
      <c r="E74" s="14" t="s">
        <v>49</v>
      </c>
      <c r="F74" s="8">
        <v>432</v>
      </c>
      <c r="G74" s="8">
        <v>171</v>
      </c>
      <c r="H74" s="8">
        <v>280</v>
      </c>
      <c r="I74" s="8">
        <v>3024</v>
      </c>
      <c r="J74" s="8">
        <v>2285</v>
      </c>
      <c r="K74" s="8">
        <v>184</v>
      </c>
      <c r="L74" s="14" t="s">
        <v>37</v>
      </c>
      <c r="M74" s="16" t="s">
        <v>19</v>
      </c>
      <c r="N74">
        <f t="shared" si="1"/>
        <v>0.29199735449735448</v>
      </c>
    </row>
    <row r="75" spans="1:14" x14ac:dyDescent="0.3">
      <c r="A75" s="17" t="s">
        <v>187</v>
      </c>
      <c r="B75" s="18" t="s">
        <v>43</v>
      </c>
      <c r="C75" s="19">
        <v>45745</v>
      </c>
      <c r="D75" s="18" t="s">
        <v>45</v>
      </c>
      <c r="E75" s="18" t="s">
        <v>46</v>
      </c>
      <c r="F75" s="9">
        <v>4712</v>
      </c>
      <c r="G75" s="9">
        <v>568</v>
      </c>
      <c r="H75" s="9">
        <v>127</v>
      </c>
      <c r="I75" s="9">
        <v>84816</v>
      </c>
      <c r="J75" s="9">
        <v>84691</v>
      </c>
      <c r="K75" s="9">
        <v>100</v>
      </c>
      <c r="L75" s="18" t="s">
        <v>37</v>
      </c>
      <c r="M75" s="20" t="s">
        <v>31</v>
      </c>
      <c r="N75">
        <f t="shared" si="1"/>
        <v>6.3749764195434822E-2</v>
      </c>
    </row>
    <row r="76" spans="1:14" x14ac:dyDescent="0.3">
      <c r="A76" s="13" t="s">
        <v>189</v>
      </c>
      <c r="B76" s="14" t="s">
        <v>33</v>
      </c>
      <c r="C76" s="15">
        <v>45634</v>
      </c>
      <c r="D76" s="14" t="s">
        <v>35</v>
      </c>
      <c r="E76" s="14" t="s">
        <v>36</v>
      </c>
      <c r="F76" s="8">
        <v>2610</v>
      </c>
      <c r="G76" s="8">
        <v>126</v>
      </c>
      <c r="H76" s="8">
        <v>288</v>
      </c>
      <c r="I76" s="8">
        <v>15660</v>
      </c>
      <c r="J76" s="8">
        <v>15145</v>
      </c>
      <c r="K76" s="8">
        <v>73</v>
      </c>
      <c r="L76" s="14" t="s">
        <v>37</v>
      </c>
      <c r="M76" s="16"/>
      <c r="N76">
        <f t="shared" si="1"/>
        <v>0.19310344827586207</v>
      </c>
    </row>
    <row r="77" spans="1:14" x14ac:dyDescent="0.3">
      <c r="A77" s="17" t="s">
        <v>191</v>
      </c>
      <c r="B77" s="18" t="s">
        <v>14</v>
      </c>
      <c r="C77" s="19">
        <v>45724</v>
      </c>
      <c r="D77" s="18" t="s">
        <v>22</v>
      </c>
      <c r="E77" s="18" t="s">
        <v>23</v>
      </c>
      <c r="F77" s="9">
        <v>1292</v>
      </c>
      <c r="G77" s="9">
        <v>626</v>
      </c>
      <c r="H77" s="9">
        <v>496</v>
      </c>
      <c r="I77" s="9">
        <v>25840</v>
      </c>
      <c r="J77" s="9">
        <v>24916</v>
      </c>
      <c r="K77" s="9">
        <v>149</v>
      </c>
      <c r="L77" s="18" t="s">
        <v>62</v>
      </c>
      <c r="M77" s="20" t="s">
        <v>31</v>
      </c>
      <c r="N77">
        <f t="shared" si="1"/>
        <v>9.3421052631578946E-2</v>
      </c>
    </row>
    <row r="78" spans="1:14" x14ac:dyDescent="0.3">
      <c r="A78" s="13" t="s">
        <v>192</v>
      </c>
      <c r="B78" s="14" t="s">
        <v>43</v>
      </c>
      <c r="C78" s="15">
        <v>45749</v>
      </c>
      <c r="D78" s="14" t="s">
        <v>74</v>
      </c>
      <c r="E78" s="14" t="s">
        <v>75</v>
      </c>
      <c r="F78" s="8">
        <v>199</v>
      </c>
      <c r="G78" s="8">
        <v>772</v>
      </c>
      <c r="H78" s="8">
        <v>400</v>
      </c>
      <c r="I78" s="8">
        <v>3582</v>
      </c>
      <c r="J78" s="8">
        <v>2988</v>
      </c>
      <c r="K78" s="8">
        <v>43</v>
      </c>
      <c r="L78" s="14" t="s">
        <v>30</v>
      </c>
      <c r="M78" s="16"/>
      <c r="N78">
        <f t="shared" si="1"/>
        <v>0.38274706867671693</v>
      </c>
    </row>
    <row r="79" spans="1:14" x14ac:dyDescent="0.3">
      <c r="A79" s="17" t="s">
        <v>194</v>
      </c>
      <c r="B79" s="18" t="s">
        <v>27</v>
      </c>
      <c r="C79" s="19">
        <v>45537</v>
      </c>
      <c r="D79" s="18" t="s">
        <v>45</v>
      </c>
      <c r="E79" s="18" t="s">
        <v>68</v>
      </c>
      <c r="F79" s="9">
        <v>2551</v>
      </c>
      <c r="G79" s="9">
        <v>915</v>
      </c>
      <c r="H79" s="9">
        <v>205</v>
      </c>
      <c r="I79" s="9">
        <v>30612</v>
      </c>
      <c r="J79" s="9">
        <v>30360</v>
      </c>
      <c r="K79" s="9">
        <v>227</v>
      </c>
      <c r="L79" s="18" t="s">
        <v>30</v>
      </c>
      <c r="M79" s="20" t="s">
        <v>25</v>
      </c>
      <c r="N79">
        <f t="shared" si="1"/>
        <v>0.1199202926956749</v>
      </c>
    </row>
    <row r="80" spans="1:14" x14ac:dyDescent="0.3">
      <c r="A80" s="13" t="s">
        <v>196</v>
      </c>
      <c r="B80" s="14" t="s">
        <v>27</v>
      </c>
      <c r="C80" s="15">
        <v>45719</v>
      </c>
      <c r="D80" s="14" t="s">
        <v>16</v>
      </c>
      <c r="E80" s="14" t="s">
        <v>29</v>
      </c>
      <c r="F80" s="8">
        <v>296</v>
      </c>
      <c r="G80" s="8">
        <v>60</v>
      </c>
      <c r="H80" s="8">
        <v>141</v>
      </c>
      <c r="I80" s="8">
        <v>5624</v>
      </c>
      <c r="J80" s="8">
        <v>5239</v>
      </c>
      <c r="K80" s="8">
        <v>88</v>
      </c>
      <c r="L80" s="14" t="s">
        <v>37</v>
      </c>
      <c r="M80" s="16" t="s">
        <v>25</v>
      </c>
      <c r="N80">
        <f t="shared" si="1"/>
        <v>8.837126600284495E-2</v>
      </c>
    </row>
    <row r="81" spans="1:14" x14ac:dyDescent="0.3">
      <c r="A81" s="17" t="s">
        <v>198</v>
      </c>
      <c r="B81" s="18" t="s">
        <v>43</v>
      </c>
      <c r="C81" s="19">
        <v>45583</v>
      </c>
      <c r="D81" s="18" t="s">
        <v>35</v>
      </c>
      <c r="E81" s="18" t="s">
        <v>71</v>
      </c>
      <c r="F81" s="9">
        <v>4126</v>
      </c>
      <c r="G81" s="9">
        <v>426</v>
      </c>
      <c r="H81" s="9">
        <v>486</v>
      </c>
      <c r="I81" s="9">
        <v>78394</v>
      </c>
      <c r="J81" s="9">
        <v>77798</v>
      </c>
      <c r="K81" s="9">
        <v>88</v>
      </c>
      <c r="L81" s="18" t="s">
        <v>62</v>
      </c>
      <c r="M81" s="20" t="s">
        <v>38</v>
      </c>
      <c r="N81">
        <f t="shared" si="1"/>
        <v>6.4265122330790625E-2</v>
      </c>
    </row>
    <row r="82" spans="1:14" x14ac:dyDescent="0.3">
      <c r="A82" s="13" t="s">
        <v>200</v>
      </c>
      <c r="B82" s="14" t="s">
        <v>27</v>
      </c>
      <c r="C82" s="15">
        <v>45593</v>
      </c>
      <c r="D82" s="14" t="s">
        <v>16</v>
      </c>
      <c r="E82" s="14" t="s">
        <v>29</v>
      </c>
      <c r="F82" s="8">
        <v>1855</v>
      </c>
      <c r="G82" s="8">
        <v>200</v>
      </c>
      <c r="H82" s="8">
        <v>174</v>
      </c>
      <c r="I82" s="8">
        <v>16695</v>
      </c>
      <c r="J82" s="8">
        <v>16330</v>
      </c>
      <c r="K82" s="8">
        <v>123</v>
      </c>
      <c r="L82" s="14" t="s">
        <v>30</v>
      </c>
      <c r="M82" s="16" t="s">
        <v>31</v>
      </c>
      <c r="N82">
        <f t="shared" si="1"/>
        <v>0.13351302785265048</v>
      </c>
    </row>
    <row r="83" spans="1:14" x14ac:dyDescent="0.3">
      <c r="A83" s="17" t="s">
        <v>202</v>
      </c>
      <c r="B83" s="18" t="s">
        <v>33</v>
      </c>
      <c r="C83" s="19">
        <v>45505</v>
      </c>
      <c r="D83" s="18" t="s">
        <v>16</v>
      </c>
      <c r="E83" s="18" t="s">
        <v>82</v>
      </c>
      <c r="F83" s="9">
        <v>1674</v>
      </c>
      <c r="G83" s="9">
        <v>929</v>
      </c>
      <c r="H83" s="9">
        <v>37</v>
      </c>
      <c r="I83" s="9">
        <v>21762</v>
      </c>
      <c r="J83" s="9">
        <v>20998</v>
      </c>
      <c r="K83" s="9">
        <v>255</v>
      </c>
      <c r="L83" s="18" t="s">
        <v>30</v>
      </c>
      <c r="M83" s="20" t="s">
        <v>38</v>
      </c>
      <c r="N83">
        <f t="shared" si="1"/>
        <v>0.12131237937689551</v>
      </c>
    </row>
    <row r="84" spans="1:14" x14ac:dyDescent="0.3">
      <c r="A84" s="13" t="s">
        <v>204</v>
      </c>
      <c r="B84" s="14" t="s">
        <v>14</v>
      </c>
      <c r="C84" s="15">
        <v>45603</v>
      </c>
      <c r="D84" s="14" t="s">
        <v>35</v>
      </c>
      <c r="E84" s="14" t="s">
        <v>149</v>
      </c>
      <c r="F84" s="8">
        <v>1121</v>
      </c>
      <c r="G84" s="8">
        <v>135</v>
      </c>
      <c r="H84" s="8">
        <v>18</v>
      </c>
      <c r="I84" s="8">
        <v>15694</v>
      </c>
      <c r="J84" s="8">
        <v>14957</v>
      </c>
      <c r="K84" s="8">
        <v>99</v>
      </c>
      <c r="L84" s="14" t="s">
        <v>30</v>
      </c>
      <c r="M84" s="16" t="s">
        <v>38</v>
      </c>
      <c r="N84">
        <f t="shared" si="1"/>
        <v>8.1177520071364848E-2</v>
      </c>
    </row>
    <row r="85" spans="1:14" x14ac:dyDescent="0.3">
      <c r="A85" s="17" t="s">
        <v>206</v>
      </c>
      <c r="B85" s="18" t="s">
        <v>43</v>
      </c>
      <c r="C85" s="19">
        <v>45720</v>
      </c>
      <c r="D85" s="18" t="s">
        <v>35</v>
      </c>
      <c r="E85" s="18" t="s">
        <v>71</v>
      </c>
      <c r="F85" s="9">
        <v>1249</v>
      </c>
      <c r="G85" s="9">
        <v>116</v>
      </c>
      <c r="H85" s="9">
        <v>420</v>
      </c>
      <c r="I85" s="9">
        <v>8743</v>
      </c>
      <c r="J85" s="9">
        <v>8538</v>
      </c>
      <c r="K85" s="9">
        <v>63</v>
      </c>
      <c r="L85" s="18" t="s">
        <v>30</v>
      </c>
      <c r="M85" s="20"/>
      <c r="N85">
        <f t="shared" si="1"/>
        <v>0.20416333066453163</v>
      </c>
    </row>
    <row r="86" spans="1:14" x14ac:dyDescent="0.3">
      <c r="A86" s="13" t="s">
        <v>207</v>
      </c>
      <c r="B86" s="14" t="s">
        <v>14</v>
      </c>
      <c r="C86" s="15">
        <v>45460</v>
      </c>
      <c r="D86" s="14" t="s">
        <v>52</v>
      </c>
      <c r="E86" s="14" t="s">
        <v>132</v>
      </c>
      <c r="F86" s="8">
        <v>954</v>
      </c>
      <c r="G86" s="8">
        <v>324</v>
      </c>
      <c r="H86" s="8">
        <v>288</v>
      </c>
      <c r="I86" s="8">
        <v>19080</v>
      </c>
      <c r="J86" s="8">
        <v>18859</v>
      </c>
      <c r="K86" s="8">
        <v>21</v>
      </c>
      <c r="L86" s="14" t="s">
        <v>62</v>
      </c>
      <c r="M86" s="16" t="s">
        <v>38</v>
      </c>
      <c r="N86">
        <f t="shared" si="1"/>
        <v>8.2075471698113203E-2</v>
      </c>
    </row>
    <row r="87" spans="1:14" x14ac:dyDescent="0.3">
      <c r="A87" s="17" t="s">
        <v>208</v>
      </c>
      <c r="B87" s="18" t="s">
        <v>33</v>
      </c>
      <c r="C87" s="19">
        <v>45574</v>
      </c>
      <c r="D87" s="18" t="s">
        <v>45</v>
      </c>
      <c r="E87" s="18" t="s">
        <v>88</v>
      </c>
      <c r="F87" s="9">
        <v>3068</v>
      </c>
      <c r="G87" s="9">
        <v>137</v>
      </c>
      <c r="H87" s="9">
        <v>329</v>
      </c>
      <c r="I87" s="9">
        <v>39884</v>
      </c>
      <c r="J87" s="9">
        <v>39404</v>
      </c>
      <c r="K87" s="9">
        <v>266</v>
      </c>
      <c r="L87" s="18" t="s">
        <v>37</v>
      </c>
      <c r="M87" s="20" t="s">
        <v>25</v>
      </c>
      <c r="N87">
        <f t="shared" si="1"/>
        <v>8.860696018453515E-2</v>
      </c>
    </row>
    <row r="88" spans="1:14" x14ac:dyDescent="0.3">
      <c r="A88" s="13" t="s">
        <v>210</v>
      </c>
      <c r="B88" s="14" t="s">
        <v>33</v>
      </c>
      <c r="C88" s="15">
        <v>45456</v>
      </c>
      <c r="D88" s="14" t="s">
        <v>35</v>
      </c>
      <c r="E88" s="14" t="s">
        <v>36</v>
      </c>
      <c r="F88" s="8">
        <v>2103</v>
      </c>
      <c r="G88" s="8">
        <v>892</v>
      </c>
      <c r="H88" s="8">
        <v>103</v>
      </c>
      <c r="I88" s="8">
        <v>39957</v>
      </c>
      <c r="J88" s="8">
        <v>39466</v>
      </c>
      <c r="K88" s="8">
        <v>28</v>
      </c>
      <c r="L88" s="14" t="s">
        <v>62</v>
      </c>
      <c r="M88" s="16"/>
      <c r="N88">
        <f t="shared" si="1"/>
        <v>7.7533348349475686E-2</v>
      </c>
    </row>
    <row r="89" spans="1:14" x14ac:dyDescent="0.3">
      <c r="A89" s="17" t="s">
        <v>211</v>
      </c>
      <c r="B89" s="18" t="s">
        <v>33</v>
      </c>
      <c r="C89" s="19">
        <v>45584</v>
      </c>
      <c r="D89" s="18" t="s">
        <v>35</v>
      </c>
      <c r="E89" s="18" t="s">
        <v>36</v>
      </c>
      <c r="F89" s="9">
        <v>1816</v>
      </c>
      <c r="G89" s="9">
        <v>29</v>
      </c>
      <c r="H89" s="9">
        <v>41</v>
      </c>
      <c r="I89" s="9">
        <v>19976</v>
      </c>
      <c r="J89" s="9">
        <v>19262</v>
      </c>
      <c r="K89" s="9">
        <v>283</v>
      </c>
      <c r="L89" s="18" t="s">
        <v>30</v>
      </c>
      <c r="M89" s="20" t="s">
        <v>31</v>
      </c>
      <c r="N89">
        <f t="shared" si="1"/>
        <v>9.4413295955146179E-2</v>
      </c>
    </row>
    <row r="90" spans="1:14" x14ac:dyDescent="0.3">
      <c r="A90" s="13" t="s">
        <v>213</v>
      </c>
      <c r="B90" s="14" t="s">
        <v>33</v>
      </c>
      <c r="C90" s="15">
        <v>45497</v>
      </c>
      <c r="D90" s="14" t="s">
        <v>52</v>
      </c>
      <c r="E90" s="14" t="s">
        <v>215</v>
      </c>
      <c r="F90" s="8">
        <v>725</v>
      </c>
      <c r="G90" s="8">
        <v>88</v>
      </c>
      <c r="H90" s="8">
        <v>428</v>
      </c>
      <c r="I90" s="8">
        <v>14500</v>
      </c>
      <c r="J90" s="8">
        <v>13637</v>
      </c>
      <c r="K90" s="8">
        <v>200</v>
      </c>
      <c r="L90" s="14" t="s">
        <v>62</v>
      </c>
      <c r="M90" s="16" t="s">
        <v>31</v>
      </c>
      <c r="N90">
        <f t="shared" si="1"/>
        <v>8.558620689655172E-2</v>
      </c>
    </row>
    <row r="91" spans="1:14" x14ac:dyDescent="0.3">
      <c r="A91" s="17" t="s">
        <v>213</v>
      </c>
      <c r="B91" s="18" t="s">
        <v>33</v>
      </c>
      <c r="C91" s="19">
        <v>45497</v>
      </c>
      <c r="D91" s="18" t="s">
        <v>52</v>
      </c>
      <c r="E91" s="18" t="s">
        <v>215</v>
      </c>
      <c r="F91" s="9">
        <v>725</v>
      </c>
      <c r="G91" s="9">
        <v>88</v>
      </c>
      <c r="H91" s="9">
        <v>428</v>
      </c>
      <c r="I91" s="9">
        <v>14500</v>
      </c>
      <c r="J91" s="9">
        <v>13637</v>
      </c>
      <c r="K91" s="9">
        <v>200</v>
      </c>
      <c r="L91" s="18" t="s">
        <v>30</v>
      </c>
      <c r="M91" s="20" t="s">
        <v>31</v>
      </c>
      <c r="N91">
        <f t="shared" si="1"/>
        <v>8.558620689655172E-2</v>
      </c>
    </row>
    <row r="92" spans="1:14" x14ac:dyDescent="0.3">
      <c r="A92" s="13" t="s">
        <v>213</v>
      </c>
      <c r="B92" s="14" t="s">
        <v>33</v>
      </c>
      <c r="C92" s="15">
        <v>45497</v>
      </c>
      <c r="D92" s="14" t="s">
        <v>52</v>
      </c>
      <c r="E92" s="14" t="s">
        <v>215</v>
      </c>
      <c r="F92" s="8">
        <v>725</v>
      </c>
      <c r="G92" s="8">
        <v>88</v>
      </c>
      <c r="H92" s="8">
        <v>428</v>
      </c>
      <c r="I92" s="8">
        <v>14500</v>
      </c>
      <c r="J92" s="8">
        <v>13637</v>
      </c>
      <c r="K92" s="8">
        <v>200</v>
      </c>
      <c r="L92" s="14" t="s">
        <v>613</v>
      </c>
      <c r="M92" s="16" t="s">
        <v>31</v>
      </c>
      <c r="N92">
        <f t="shared" si="1"/>
        <v>8.558620689655172E-2</v>
      </c>
    </row>
    <row r="93" spans="1:14" x14ac:dyDescent="0.3">
      <c r="A93" s="17" t="s">
        <v>217</v>
      </c>
      <c r="B93" s="18" t="s">
        <v>27</v>
      </c>
      <c r="C93" s="19">
        <v>45580</v>
      </c>
      <c r="D93" s="18" t="s">
        <v>74</v>
      </c>
      <c r="E93" s="18" t="s">
        <v>219</v>
      </c>
      <c r="F93" s="9">
        <v>1094</v>
      </c>
      <c r="G93" s="9">
        <v>472</v>
      </c>
      <c r="H93" s="9">
        <v>21</v>
      </c>
      <c r="I93" s="9">
        <v>9846</v>
      </c>
      <c r="J93" s="9">
        <v>9609</v>
      </c>
      <c r="K93" s="9">
        <v>112</v>
      </c>
      <c r="L93" s="18" t="s">
        <v>37</v>
      </c>
      <c r="M93" s="20"/>
      <c r="N93">
        <f t="shared" si="1"/>
        <v>0.16118220597196831</v>
      </c>
    </row>
    <row r="94" spans="1:14" x14ac:dyDescent="0.3">
      <c r="A94" s="13" t="s">
        <v>220</v>
      </c>
      <c r="B94" s="14" t="s">
        <v>43</v>
      </c>
      <c r="C94" s="15">
        <v>45635</v>
      </c>
      <c r="D94" s="14" t="s">
        <v>52</v>
      </c>
      <c r="E94" s="14" t="s">
        <v>59</v>
      </c>
      <c r="F94" s="8">
        <v>1841</v>
      </c>
      <c r="G94" s="8">
        <v>851</v>
      </c>
      <c r="H94" s="8">
        <v>342</v>
      </c>
      <c r="I94" s="8">
        <v>34979</v>
      </c>
      <c r="J94" s="8">
        <v>34154</v>
      </c>
      <c r="K94" s="8">
        <v>255</v>
      </c>
      <c r="L94" s="14" t="s">
        <v>62</v>
      </c>
      <c r="M94" s="16" t="s">
        <v>38</v>
      </c>
      <c r="N94">
        <f t="shared" si="1"/>
        <v>8.6737756939878216E-2</v>
      </c>
    </row>
    <row r="95" spans="1:14" x14ac:dyDescent="0.3">
      <c r="A95" s="17" t="s">
        <v>222</v>
      </c>
      <c r="B95" s="18" t="s">
        <v>33</v>
      </c>
      <c r="C95" s="19">
        <v>45766</v>
      </c>
      <c r="D95" s="18" t="s">
        <v>52</v>
      </c>
      <c r="E95" s="18" t="s">
        <v>215</v>
      </c>
      <c r="F95" s="9">
        <v>4177</v>
      </c>
      <c r="G95" s="9">
        <v>569</v>
      </c>
      <c r="H95" s="9">
        <v>55</v>
      </c>
      <c r="I95" s="9">
        <v>25062</v>
      </c>
      <c r="J95" s="9">
        <v>24847</v>
      </c>
      <c r="K95" s="9">
        <v>230</v>
      </c>
      <c r="L95" s="18" t="s">
        <v>62</v>
      </c>
      <c r="M95" s="20" t="s">
        <v>19</v>
      </c>
      <c r="N95">
        <f t="shared" si="1"/>
        <v>0.19156491900087783</v>
      </c>
    </row>
    <row r="96" spans="1:14" x14ac:dyDescent="0.3">
      <c r="A96" s="13" t="s">
        <v>223</v>
      </c>
      <c r="B96" s="14" t="s">
        <v>27</v>
      </c>
      <c r="C96" s="15">
        <v>45684</v>
      </c>
      <c r="D96" s="14" t="s">
        <v>22</v>
      </c>
      <c r="E96" s="14" t="s">
        <v>104</v>
      </c>
      <c r="F96" s="8">
        <v>3428</v>
      </c>
      <c r="G96" s="8">
        <v>305</v>
      </c>
      <c r="H96" s="8">
        <v>85</v>
      </c>
      <c r="I96" s="8">
        <v>58276</v>
      </c>
      <c r="J96" s="8">
        <v>58052</v>
      </c>
      <c r="K96" s="8">
        <v>242</v>
      </c>
      <c r="L96" s="14" t="s">
        <v>37</v>
      </c>
      <c r="M96" s="16" t="s">
        <v>38</v>
      </c>
      <c r="N96">
        <f t="shared" si="1"/>
        <v>6.5515821264328367E-2</v>
      </c>
    </row>
    <row r="97" spans="1:14" x14ac:dyDescent="0.3">
      <c r="A97" s="17" t="s">
        <v>223</v>
      </c>
      <c r="B97" s="18" t="s">
        <v>27</v>
      </c>
      <c r="C97" s="19">
        <v>45684</v>
      </c>
      <c r="D97" s="18" t="s">
        <v>22</v>
      </c>
      <c r="E97" s="18" t="s">
        <v>104</v>
      </c>
      <c r="F97" s="9">
        <v>3428</v>
      </c>
      <c r="G97" s="9">
        <v>305</v>
      </c>
      <c r="H97" s="9">
        <v>85</v>
      </c>
      <c r="I97" s="9">
        <v>58276</v>
      </c>
      <c r="J97" s="9">
        <v>58052</v>
      </c>
      <c r="K97" s="9">
        <v>242</v>
      </c>
      <c r="L97" s="18" t="s">
        <v>614</v>
      </c>
      <c r="M97" s="20" t="s">
        <v>38</v>
      </c>
      <c r="N97">
        <f t="shared" si="1"/>
        <v>6.5515821264328367E-2</v>
      </c>
    </row>
    <row r="98" spans="1:14" x14ac:dyDescent="0.3">
      <c r="A98" s="13" t="s">
        <v>225</v>
      </c>
      <c r="B98" s="14" t="s">
        <v>14</v>
      </c>
      <c r="C98" s="15">
        <v>45449</v>
      </c>
      <c r="D98" s="14" t="s">
        <v>74</v>
      </c>
      <c r="E98" s="14" t="s">
        <v>145</v>
      </c>
      <c r="F98" s="8">
        <v>1436</v>
      </c>
      <c r="G98" s="8">
        <v>765</v>
      </c>
      <c r="H98" s="8">
        <v>496</v>
      </c>
      <c r="I98" s="8">
        <v>12924</v>
      </c>
      <c r="J98" s="8">
        <v>12701</v>
      </c>
      <c r="K98" s="8">
        <v>197</v>
      </c>
      <c r="L98" s="14" t="s">
        <v>62</v>
      </c>
      <c r="M98" s="16" t="s">
        <v>31</v>
      </c>
      <c r="N98">
        <f t="shared" si="1"/>
        <v>0.20868152274837512</v>
      </c>
    </row>
    <row r="99" spans="1:14" x14ac:dyDescent="0.3">
      <c r="A99" s="17" t="s">
        <v>227</v>
      </c>
      <c r="B99" s="18" t="s">
        <v>43</v>
      </c>
      <c r="C99" s="19">
        <v>45480</v>
      </c>
      <c r="D99" s="18" t="s">
        <v>35</v>
      </c>
      <c r="E99" s="18" t="s">
        <v>71</v>
      </c>
      <c r="F99" s="9">
        <v>302</v>
      </c>
      <c r="G99" s="9">
        <v>47</v>
      </c>
      <c r="H99" s="9">
        <v>430</v>
      </c>
      <c r="I99" s="9">
        <v>5738</v>
      </c>
      <c r="J99" s="9">
        <v>4890</v>
      </c>
      <c r="K99" s="9">
        <v>25</v>
      </c>
      <c r="L99" s="18" t="s">
        <v>30</v>
      </c>
      <c r="M99" s="20" t="s">
        <v>38</v>
      </c>
      <c r="N99">
        <f t="shared" si="1"/>
        <v>0.13576158940397351</v>
      </c>
    </row>
    <row r="100" spans="1:14" x14ac:dyDescent="0.3">
      <c r="A100" s="13" t="s">
        <v>229</v>
      </c>
      <c r="B100" s="14" t="s">
        <v>14</v>
      </c>
      <c r="C100" s="15">
        <v>45667</v>
      </c>
      <c r="D100" s="14" t="s">
        <v>52</v>
      </c>
      <c r="E100" s="14" t="s">
        <v>132</v>
      </c>
      <c r="F100" s="8">
        <v>2214</v>
      </c>
      <c r="G100" s="8">
        <v>249</v>
      </c>
      <c r="H100" s="8">
        <v>152</v>
      </c>
      <c r="I100" s="8">
        <v>15498</v>
      </c>
      <c r="J100" s="8">
        <v>14800</v>
      </c>
      <c r="K100" s="8">
        <v>180</v>
      </c>
      <c r="L100" s="14" t="s">
        <v>37</v>
      </c>
      <c r="M100" s="16"/>
      <c r="N100">
        <f t="shared" si="1"/>
        <v>0.16873144921925409</v>
      </c>
    </row>
    <row r="101" spans="1:14" x14ac:dyDescent="0.3">
      <c r="A101" s="17" t="s">
        <v>231</v>
      </c>
      <c r="B101" s="18" t="s">
        <v>33</v>
      </c>
      <c r="C101" s="19">
        <v>45446</v>
      </c>
      <c r="D101" s="18" t="s">
        <v>52</v>
      </c>
      <c r="E101" s="18" t="s">
        <v>215</v>
      </c>
      <c r="F101" s="9">
        <v>3861</v>
      </c>
      <c r="G101" s="9">
        <v>960</v>
      </c>
      <c r="H101" s="9">
        <v>101</v>
      </c>
      <c r="I101" s="9">
        <v>69498</v>
      </c>
      <c r="J101" s="9">
        <v>68817</v>
      </c>
      <c r="K101" s="9">
        <v>297</v>
      </c>
      <c r="L101" s="18" t="s">
        <v>30</v>
      </c>
      <c r="M101" s="20" t="s">
        <v>38</v>
      </c>
      <c r="N101">
        <f t="shared" si="1"/>
        <v>7.0822181933293038E-2</v>
      </c>
    </row>
    <row r="102" spans="1:14" x14ac:dyDescent="0.3">
      <c r="A102" s="13" t="s">
        <v>233</v>
      </c>
      <c r="B102" s="14" t="s">
        <v>43</v>
      </c>
      <c r="C102" s="15">
        <v>45740</v>
      </c>
      <c r="D102" s="14" t="s">
        <v>52</v>
      </c>
      <c r="E102" s="14" t="s">
        <v>59</v>
      </c>
      <c r="F102" s="8">
        <v>1263</v>
      </c>
      <c r="G102" s="8">
        <v>397</v>
      </c>
      <c r="H102" s="8">
        <v>357</v>
      </c>
      <c r="I102" s="8">
        <v>25260</v>
      </c>
      <c r="J102" s="8">
        <v>24615</v>
      </c>
      <c r="K102" s="8">
        <v>137</v>
      </c>
      <c r="L102" s="14" t="s">
        <v>37</v>
      </c>
      <c r="M102" s="16" t="s">
        <v>38</v>
      </c>
      <c r="N102">
        <f t="shared" si="1"/>
        <v>7.984956452889945E-2</v>
      </c>
    </row>
    <row r="103" spans="1:14" x14ac:dyDescent="0.3">
      <c r="A103" s="17" t="s">
        <v>235</v>
      </c>
      <c r="B103" s="18" t="s">
        <v>14</v>
      </c>
      <c r="C103" s="19">
        <v>45586</v>
      </c>
      <c r="D103" s="18" t="s">
        <v>35</v>
      </c>
      <c r="E103" s="18" t="s">
        <v>149</v>
      </c>
      <c r="F103" s="9">
        <v>3801</v>
      </c>
      <c r="G103" s="9">
        <v>967</v>
      </c>
      <c r="H103" s="9">
        <v>401</v>
      </c>
      <c r="I103" s="9">
        <v>38010</v>
      </c>
      <c r="J103" s="9">
        <v>37625</v>
      </c>
      <c r="K103" s="9">
        <v>236</v>
      </c>
      <c r="L103" s="18" t="s">
        <v>62</v>
      </c>
      <c r="M103" s="20" t="s">
        <v>31</v>
      </c>
      <c r="N103">
        <f t="shared" si="1"/>
        <v>0.13599052880820836</v>
      </c>
    </row>
    <row r="104" spans="1:14" x14ac:dyDescent="0.3">
      <c r="A104" s="13" t="s">
        <v>236</v>
      </c>
      <c r="B104" s="14" t="s">
        <v>33</v>
      </c>
      <c r="C104" s="15">
        <v>45637</v>
      </c>
      <c r="D104" s="14" t="s">
        <v>74</v>
      </c>
      <c r="E104" s="14" t="s">
        <v>85</v>
      </c>
      <c r="F104" s="8">
        <v>1431</v>
      </c>
      <c r="G104" s="8">
        <v>951</v>
      </c>
      <c r="H104" s="8">
        <v>26</v>
      </c>
      <c r="I104" s="8">
        <v>8586</v>
      </c>
      <c r="J104" s="8">
        <v>8396</v>
      </c>
      <c r="K104" s="8">
        <v>150</v>
      </c>
      <c r="L104" s="14" t="s">
        <v>37</v>
      </c>
      <c r="M104" s="16" t="s">
        <v>31</v>
      </c>
      <c r="N104">
        <f t="shared" si="1"/>
        <v>0.28045655718611695</v>
      </c>
    </row>
    <row r="105" spans="1:14" x14ac:dyDescent="0.3">
      <c r="A105" s="17" t="s">
        <v>238</v>
      </c>
      <c r="B105" s="18" t="s">
        <v>33</v>
      </c>
      <c r="C105" s="19">
        <v>45603</v>
      </c>
      <c r="D105" s="18" t="s">
        <v>52</v>
      </c>
      <c r="E105" s="18" t="s">
        <v>215</v>
      </c>
      <c r="F105" s="9">
        <v>2647</v>
      </c>
      <c r="G105" s="9">
        <v>304</v>
      </c>
      <c r="H105" s="9">
        <v>170</v>
      </c>
      <c r="I105" s="9">
        <v>18529</v>
      </c>
      <c r="J105" s="9">
        <v>17841</v>
      </c>
      <c r="K105" s="9">
        <v>46</v>
      </c>
      <c r="L105" s="18" t="s">
        <v>62</v>
      </c>
      <c r="M105" s="20" t="s">
        <v>31</v>
      </c>
      <c r="N105">
        <f t="shared" si="1"/>
        <v>0.16843866371633656</v>
      </c>
    </row>
    <row r="106" spans="1:14" x14ac:dyDescent="0.3">
      <c r="A106" s="13" t="s">
        <v>239</v>
      </c>
      <c r="B106" s="14" t="s">
        <v>33</v>
      </c>
      <c r="C106" s="15">
        <v>45604</v>
      </c>
      <c r="D106" s="14" t="s">
        <v>22</v>
      </c>
      <c r="E106" s="14" t="s">
        <v>113</v>
      </c>
      <c r="F106" s="8">
        <v>3182</v>
      </c>
      <c r="G106" s="8">
        <v>559</v>
      </c>
      <c r="H106" s="8">
        <v>160</v>
      </c>
      <c r="I106" s="8">
        <v>57276</v>
      </c>
      <c r="J106" s="8">
        <v>56890</v>
      </c>
      <c r="K106" s="8">
        <v>163</v>
      </c>
      <c r="L106" s="14" t="s">
        <v>62</v>
      </c>
      <c r="M106" s="16" t="s">
        <v>38</v>
      </c>
      <c r="N106">
        <f t="shared" si="1"/>
        <v>6.8108806480899509E-2</v>
      </c>
    </row>
    <row r="107" spans="1:14" x14ac:dyDescent="0.3">
      <c r="A107" s="17" t="s">
        <v>241</v>
      </c>
      <c r="B107" s="18" t="s">
        <v>14</v>
      </c>
      <c r="C107" s="19">
        <v>45545</v>
      </c>
      <c r="D107" s="18" t="s">
        <v>52</v>
      </c>
      <c r="E107" s="18" t="s">
        <v>132</v>
      </c>
      <c r="F107" s="9">
        <v>1238</v>
      </c>
      <c r="G107" s="9">
        <v>366</v>
      </c>
      <c r="H107" s="9">
        <v>444</v>
      </c>
      <c r="I107" s="9">
        <v>19808</v>
      </c>
      <c r="J107" s="9">
        <v>19334</v>
      </c>
      <c r="K107" s="9">
        <v>123</v>
      </c>
      <c r="L107" s="18" t="s">
        <v>62</v>
      </c>
      <c r="M107" s="20"/>
      <c r="N107">
        <f t="shared" si="1"/>
        <v>0.10339256865912763</v>
      </c>
    </row>
    <row r="108" spans="1:14" x14ac:dyDescent="0.3">
      <c r="A108" s="13" t="s">
        <v>243</v>
      </c>
      <c r="B108" s="14" t="s">
        <v>33</v>
      </c>
      <c r="C108" s="15">
        <v>45517</v>
      </c>
      <c r="D108" s="14" t="s">
        <v>52</v>
      </c>
      <c r="E108" s="14" t="s">
        <v>215</v>
      </c>
      <c r="F108" s="8">
        <v>4739</v>
      </c>
      <c r="G108" s="8">
        <v>527</v>
      </c>
      <c r="H108" s="8">
        <v>135</v>
      </c>
      <c r="I108" s="8">
        <v>61607</v>
      </c>
      <c r="J108" s="8">
        <v>61333</v>
      </c>
      <c r="K108" s="8">
        <v>36</v>
      </c>
      <c r="L108" s="14" t="s">
        <v>30</v>
      </c>
      <c r="M108" s="16" t="s">
        <v>25</v>
      </c>
      <c r="N108">
        <f t="shared" si="1"/>
        <v>8.7668609086629767E-2</v>
      </c>
    </row>
    <row r="109" spans="1:14" x14ac:dyDescent="0.3">
      <c r="A109" s="17" t="s">
        <v>243</v>
      </c>
      <c r="B109" s="18" t="s">
        <v>33</v>
      </c>
      <c r="C109" s="19">
        <v>45517</v>
      </c>
      <c r="D109" s="18" t="s">
        <v>52</v>
      </c>
      <c r="E109" s="18" t="s">
        <v>215</v>
      </c>
      <c r="F109" s="9">
        <v>4739</v>
      </c>
      <c r="G109" s="9">
        <v>527</v>
      </c>
      <c r="H109" s="9">
        <v>135</v>
      </c>
      <c r="I109" s="9">
        <v>61607</v>
      </c>
      <c r="J109" s="9">
        <v>61333</v>
      </c>
      <c r="K109" s="9">
        <v>36</v>
      </c>
      <c r="L109" s="18" t="s">
        <v>613</v>
      </c>
      <c r="M109" s="20" t="s">
        <v>25</v>
      </c>
      <c r="N109">
        <f t="shared" si="1"/>
        <v>8.7668609086629767E-2</v>
      </c>
    </row>
    <row r="110" spans="1:14" x14ac:dyDescent="0.3">
      <c r="A110" s="13" t="s">
        <v>245</v>
      </c>
      <c r="B110" s="14" t="s">
        <v>14</v>
      </c>
      <c r="C110" s="15">
        <v>45453</v>
      </c>
      <c r="D110" s="14" t="s">
        <v>35</v>
      </c>
      <c r="E110" s="14" t="s">
        <v>149</v>
      </c>
      <c r="F110" s="8">
        <v>1575</v>
      </c>
      <c r="G110" s="8">
        <v>771</v>
      </c>
      <c r="H110" s="8">
        <v>486</v>
      </c>
      <c r="I110" s="8">
        <v>25200</v>
      </c>
      <c r="J110" s="8">
        <v>24826</v>
      </c>
      <c r="K110" s="8">
        <v>17</v>
      </c>
      <c r="L110" s="14" t="s">
        <v>62</v>
      </c>
      <c r="M110" s="16" t="s">
        <v>38</v>
      </c>
      <c r="N110">
        <f t="shared" si="1"/>
        <v>0.11238095238095239</v>
      </c>
    </row>
    <row r="111" spans="1:14" x14ac:dyDescent="0.3">
      <c r="A111" s="17" t="s">
        <v>246</v>
      </c>
      <c r="B111" s="18" t="s">
        <v>27</v>
      </c>
      <c r="C111" s="19">
        <v>45475</v>
      </c>
      <c r="D111" s="18" t="s">
        <v>45</v>
      </c>
      <c r="E111" s="18" t="s">
        <v>68</v>
      </c>
      <c r="F111" s="9">
        <v>4171</v>
      </c>
      <c r="G111" s="9">
        <v>548</v>
      </c>
      <c r="H111" s="9">
        <v>86</v>
      </c>
      <c r="I111" s="9">
        <v>66736</v>
      </c>
      <c r="J111" s="9">
        <v>66634</v>
      </c>
      <c r="K111" s="9">
        <v>173</v>
      </c>
      <c r="L111" s="18" t="s">
        <v>62</v>
      </c>
      <c r="M111" s="20" t="s">
        <v>31</v>
      </c>
      <c r="N111">
        <f t="shared" si="1"/>
        <v>7.2000119875329657E-2</v>
      </c>
    </row>
    <row r="112" spans="1:14" x14ac:dyDescent="0.3">
      <c r="A112" s="13" t="s">
        <v>248</v>
      </c>
      <c r="B112" s="14" t="s">
        <v>27</v>
      </c>
      <c r="C112" s="15">
        <v>45698</v>
      </c>
      <c r="D112" s="14" t="s">
        <v>74</v>
      </c>
      <c r="E112" s="14" t="s">
        <v>219</v>
      </c>
      <c r="F112" s="8">
        <v>1766</v>
      </c>
      <c r="G112" s="8">
        <v>92</v>
      </c>
      <c r="H112" s="8">
        <v>424</v>
      </c>
      <c r="I112" s="8">
        <v>24724</v>
      </c>
      <c r="J112" s="8">
        <v>24333</v>
      </c>
      <c r="K112" s="8">
        <v>52</v>
      </c>
      <c r="L112" s="14" t="s">
        <v>37</v>
      </c>
      <c r="M112" s="16"/>
      <c r="N112">
        <f t="shared" si="1"/>
        <v>9.2298980747451867E-2</v>
      </c>
    </row>
    <row r="113" spans="1:14" x14ac:dyDescent="0.3">
      <c r="A113" s="17" t="s">
        <v>250</v>
      </c>
      <c r="B113" s="18" t="s">
        <v>27</v>
      </c>
      <c r="C113" s="19">
        <v>45583</v>
      </c>
      <c r="D113" s="18" t="s">
        <v>74</v>
      </c>
      <c r="E113" s="18" t="s">
        <v>219</v>
      </c>
      <c r="F113" s="9">
        <v>4450</v>
      </c>
      <c r="G113" s="9">
        <v>983</v>
      </c>
      <c r="H113" s="9">
        <v>143</v>
      </c>
      <c r="I113" s="9">
        <v>75650</v>
      </c>
      <c r="J113" s="9">
        <v>75008</v>
      </c>
      <c r="K113" s="9">
        <v>12</v>
      </c>
      <c r="L113" s="18" t="s">
        <v>62</v>
      </c>
      <c r="M113" s="20" t="s">
        <v>31</v>
      </c>
      <c r="N113">
        <f t="shared" si="1"/>
        <v>7.3707865168539333E-2</v>
      </c>
    </row>
    <row r="114" spans="1:14" x14ac:dyDescent="0.3">
      <c r="A114" s="13" t="s">
        <v>251</v>
      </c>
      <c r="B114" s="14" t="s">
        <v>14</v>
      </c>
      <c r="C114" s="15">
        <v>45553</v>
      </c>
      <c r="D114" s="14" t="s">
        <v>16</v>
      </c>
      <c r="E114" s="14" t="s">
        <v>17</v>
      </c>
      <c r="F114" s="8">
        <v>1000</v>
      </c>
      <c r="G114" s="8">
        <v>978</v>
      </c>
      <c r="H114" s="8">
        <v>162</v>
      </c>
      <c r="I114" s="8">
        <v>6000</v>
      </c>
      <c r="J114" s="8">
        <v>5221</v>
      </c>
      <c r="K114" s="8">
        <v>223</v>
      </c>
      <c r="L114" s="14" t="s">
        <v>37</v>
      </c>
      <c r="M114" s="16" t="s">
        <v>25</v>
      </c>
      <c r="N114">
        <f t="shared" si="1"/>
        <v>0.35666666666666669</v>
      </c>
    </row>
    <row r="115" spans="1:14" x14ac:dyDescent="0.3">
      <c r="A115" s="17" t="s">
        <v>253</v>
      </c>
      <c r="B115" s="18" t="s">
        <v>43</v>
      </c>
      <c r="C115" s="19">
        <v>45454</v>
      </c>
      <c r="D115" s="18" t="s">
        <v>52</v>
      </c>
      <c r="E115" s="18" t="s">
        <v>59</v>
      </c>
      <c r="F115" s="9">
        <v>3689</v>
      </c>
      <c r="G115" s="9">
        <v>48</v>
      </c>
      <c r="H115" s="9">
        <v>306</v>
      </c>
      <c r="I115" s="9">
        <v>40579</v>
      </c>
      <c r="J115" s="9">
        <v>39588</v>
      </c>
      <c r="K115" s="9">
        <v>212</v>
      </c>
      <c r="L115" s="18" t="s">
        <v>37</v>
      </c>
      <c r="M115" s="20" t="s">
        <v>25</v>
      </c>
      <c r="N115">
        <f t="shared" si="1"/>
        <v>9.9632815002833983E-2</v>
      </c>
    </row>
    <row r="116" spans="1:14" x14ac:dyDescent="0.3">
      <c r="A116" s="13" t="s">
        <v>255</v>
      </c>
      <c r="B116" s="14" t="s">
        <v>27</v>
      </c>
      <c r="C116" s="15">
        <v>45739</v>
      </c>
      <c r="D116" s="14" t="s">
        <v>35</v>
      </c>
      <c r="E116" s="14" t="s">
        <v>154</v>
      </c>
      <c r="F116" s="8">
        <v>3655</v>
      </c>
      <c r="G116" s="8">
        <v>568</v>
      </c>
      <c r="H116" s="8">
        <v>286</v>
      </c>
      <c r="I116" s="8">
        <v>32895</v>
      </c>
      <c r="J116" s="8">
        <v>32015</v>
      </c>
      <c r="K116" s="8">
        <v>199</v>
      </c>
      <c r="L116" s="14" t="s">
        <v>30</v>
      </c>
      <c r="M116" s="16" t="s">
        <v>31</v>
      </c>
      <c r="N116">
        <f t="shared" si="1"/>
        <v>0.13707250341997265</v>
      </c>
    </row>
    <row r="117" spans="1:14" x14ac:dyDescent="0.3">
      <c r="A117" s="17" t="s">
        <v>257</v>
      </c>
      <c r="B117" s="18" t="s">
        <v>33</v>
      </c>
      <c r="C117" s="19">
        <v>45457</v>
      </c>
      <c r="D117" s="18" t="s">
        <v>45</v>
      </c>
      <c r="E117" s="18" t="s">
        <v>88</v>
      </c>
      <c r="F117" s="9">
        <v>498</v>
      </c>
      <c r="G117" s="9">
        <v>38</v>
      </c>
      <c r="H117" s="9">
        <v>42</v>
      </c>
      <c r="I117" s="9">
        <v>4482</v>
      </c>
      <c r="J117" s="9">
        <v>3647</v>
      </c>
      <c r="K117" s="9">
        <v>32</v>
      </c>
      <c r="L117" s="18" t="s">
        <v>62</v>
      </c>
      <c r="M117" s="20" t="s">
        <v>19</v>
      </c>
      <c r="N117">
        <f t="shared" si="1"/>
        <v>0.12896028558679162</v>
      </c>
    </row>
    <row r="118" spans="1:14" x14ac:dyDescent="0.3">
      <c r="A118" s="13" t="s">
        <v>259</v>
      </c>
      <c r="B118" s="14" t="s">
        <v>33</v>
      </c>
      <c r="C118" s="15">
        <v>45692</v>
      </c>
      <c r="D118" s="14" t="s">
        <v>52</v>
      </c>
      <c r="E118" s="14" t="s">
        <v>215</v>
      </c>
      <c r="F118" s="8">
        <v>4619</v>
      </c>
      <c r="G118" s="8">
        <v>821</v>
      </c>
      <c r="H118" s="8">
        <v>499</v>
      </c>
      <c r="I118" s="8">
        <v>69285</v>
      </c>
      <c r="J118" s="8">
        <v>69141</v>
      </c>
      <c r="K118" s="8">
        <v>298</v>
      </c>
      <c r="L118" s="14" t="s">
        <v>30</v>
      </c>
      <c r="M118" s="16" t="s">
        <v>38</v>
      </c>
      <c r="N118">
        <f t="shared" si="1"/>
        <v>8.5718409468138843E-2</v>
      </c>
    </row>
    <row r="119" spans="1:14" x14ac:dyDescent="0.3">
      <c r="A119" s="17" t="s">
        <v>261</v>
      </c>
      <c r="B119" s="18" t="s">
        <v>27</v>
      </c>
      <c r="C119" s="19">
        <v>45464</v>
      </c>
      <c r="D119" s="18" t="s">
        <v>52</v>
      </c>
      <c r="E119" s="18" t="s">
        <v>53</v>
      </c>
      <c r="F119" s="9">
        <v>4832</v>
      </c>
      <c r="G119" s="9">
        <v>893</v>
      </c>
      <c r="H119" s="9">
        <v>10</v>
      </c>
      <c r="I119" s="9">
        <v>91808</v>
      </c>
      <c r="J119" s="9">
        <v>91296</v>
      </c>
      <c r="K119" s="9">
        <v>182</v>
      </c>
      <c r="L119" s="18" t="s">
        <v>30</v>
      </c>
      <c r="M119" s="20"/>
      <c r="N119">
        <f t="shared" si="1"/>
        <v>6.2467323109097243E-2</v>
      </c>
    </row>
    <row r="120" spans="1:14" x14ac:dyDescent="0.3">
      <c r="A120" s="13" t="s">
        <v>263</v>
      </c>
      <c r="B120" s="14" t="s">
        <v>14</v>
      </c>
      <c r="C120" s="15">
        <v>45741</v>
      </c>
      <c r="D120" s="14" t="s">
        <v>74</v>
      </c>
      <c r="E120" s="14" t="s">
        <v>145</v>
      </c>
      <c r="F120" s="8">
        <v>4050</v>
      </c>
      <c r="G120" s="8">
        <v>871</v>
      </c>
      <c r="H120" s="8">
        <v>347</v>
      </c>
      <c r="I120" s="8">
        <v>52650</v>
      </c>
      <c r="J120" s="8">
        <v>51755</v>
      </c>
      <c r="K120" s="8">
        <v>209</v>
      </c>
      <c r="L120" s="14" t="s">
        <v>30</v>
      </c>
      <c r="M120" s="16" t="s">
        <v>25</v>
      </c>
      <c r="N120">
        <f t="shared" si="1"/>
        <v>0.10005698005698006</v>
      </c>
    </row>
    <row r="121" spans="1:14" x14ac:dyDescent="0.3">
      <c r="A121" s="17" t="s">
        <v>265</v>
      </c>
      <c r="B121" s="18" t="s">
        <v>14</v>
      </c>
      <c r="C121" s="19">
        <v>45512</v>
      </c>
      <c r="D121" s="18" t="s">
        <v>35</v>
      </c>
      <c r="E121" s="18" t="s">
        <v>149</v>
      </c>
      <c r="F121" s="9">
        <v>3649</v>
      </c>
      <c r="G121" s="9">
        <v>215</v>
      </c>
      <c r="H121" s="9">
        <v>413</v>
      </c>
      <c r="I121" s="9">
        <v>25543</v>
      </c>
      <c r="J121" s="9">
        <v>24963</v>
      </c>
      <c r="K121" s="9">
        <v>167</v>
      </c>
      <c r="L121" s="18" t="s">
        <v>62</v>
      </c>
      <c r="M121" s="20" t="s">
        <v>31</v>
      </c>
      <c r="N121">
        <f t="shared" si="1"/>
        <v>0.16744313510550835</v>
      </c>
    </row>
    <row r="122" spans="1:14" x14ac:dyDescent="0.3">
      <c r="A122" s="13" t="s">
        <v>267</v>
      </c>
      <c r="B122" s="14" t="s">
        <v>33</v>
      </c>
      <c r="C122" s="15">
        <v>45502</v>
      </c>
      <c r="D122" s="14" t="s">
        <v>16</v>
      </c>
      <c r="E122" s="14" t="s">
        <v>82</v>
      </c>
      <c r="F122" s="8">
        <v>3523</v>
      </c>
      <c r="G122" s="8">
        <v>753</v>
      </c>
      <c r="H122" s="8">
        <v>482</v>
      </c>
      <c r="I122" s="8">
        <v>38753</v>
      </c>
      <c r="J122" s="8">
        <v>38579</v>
      </c>
      <c r="K122" s="8">
        <v>270</v>
      </c>
      <c r="L122" s="14" t="s">
        <v>37</v>
      </c>
      <c r="M122" s="16" t="s">
        <v>25</v>
      </c>
      <c r="N122">
        <f t="shared" si="1"/>
        <v>0.12277759141227776</v>
      </c>
    </row>
    <row r="123" spans="1:14" x14ac:dyDescent="0.3">
      <c r="A123" s="17" t="s">
        <v>269</v>
      </c>
      <c r="B123" s="18" t="s">
        <v>27</v>
      </c>
      <c r="C123" s="19">
        <v>45619</v>
      </c>
      <c r="D123" s="18" t="s">
        <v>52</v>
      </c>
      <c r="E123" s="18" t="s">
        <v>53</v>
      </c>
      <c r="F123" s="9">
        <v>2719</v>
      </c>
      <c r="G123" s="9">
        <v>17</v>
      </c>
      <c r="H123" s="9">
        <v>285</v>
      </c>
      <c r="I123" s="9">
        <v>40785</v>
      </c>
      <c r="J123" s="9">
        <v>40281</v>
      </c>
      <c r="K123" s="9">
        <v>40</v>
      </c>
      <c r="L123" s="18" t="s">
        <v>30</v>
      </c>
      <c r="M123" s="20" t="s">
        <v>25</v>
      </c>
      <c r="N123">
        <f t="shared" si="1"/>
        <v>7.4071349760941527E-2</v>
      </c>
    </row>
    <row r="124" spans="1:14" x14ac:dyDescent="0.3">
      <c r="A124" s="13" t="s">
        <v>271</v>
      </c>
      <c r="B124" s="14" t="s">
        <v>14</v>
      </c>
      <c r="C124" s="15">
        <v>45570</v>
      </c>
      <c r="D124" s="14" t="s">
        <v>35</v>
      </c>
      <c r="E124" s="14" t="s">
        <v>149</v>
      </c>
      <c r="F124" s="8">
        <v>1957</v>
      </c>
      <c r="G124" s="8">
        <v>877</v>
      </c>
      <c r="H124" s="8">
        <v>238</v>
      </c>
      <c r="I124" s="8">
        <v>17613</v>
      </c>
      <c r="J124" s="8">
        <v>16865</v>
      </c>
      <c r="K124" s="8">
        <v>297</v>
      </c>
      <c r="L124" s="14" t="s">
        <v>62</v>
      </c>
      <c r="M124" s="16" t="s">
        <v>31</v>
      </c>
      <c r="N124">
        <f t="shared" si="1"/>
        <v>0.17441662408448305</v>
      </c>
    </row>
    <row r="125" spans="1:14" x14ac:dyDescent="0.3">
      <c r="A125" s="17" t="s">
        <v>273</v>
      </c>
      <c r="B125" s="18" t="s">
        <v>14</v>
      </c>
      <c r="C125" s="19">
        <v>45567</v>
      </c>
      <c r="D125" s="18" t="s">
        <v>45</v>
      </c>
      <c r="E125" s="18" t="s">
        <v>49</v>
      </c>
      <c r="F125" s="9">
        <v>4419</v>
      </c>
      <c r="G125" s="9">
        <v>236</v>
      </c>
      <c r="H125" s="9">
        <v>369</v>
      </c>
      <c r="I125" s="9">
        <v>44190</v>
      </c>
      <c r="J125" s="9">
        <v>43582</v>
      </c>
      <c r="K125" s="9">
        <v>10</v>
      </c>
      <c r="L125" s="18" t="s">
        <v>37</v>
      </c>
      <c r="M125" s="20" t="s">
        <v>19</v>
      </c>
      <c r="N125">
        <f t="shared" si="1"/>
        <v>0.11369088028965829</v>
      </c>
    </row>
    <row r="126" spans="1:14" x14ac:dyDescent="0.3">
      <c r="A126" s="13" t="s">
        <v>275</v>
      </c>
      <c r="B126" s="14" t="s">
        <v>14</v>
      </c>
      <c r="C126" s="15">
        <v>45610</v>
      </c>
      <c r="D126" s="14" t="s">
        <v>35</v>
      </c>
      <c r="E126" s="14" t="s">
        <v>149</v>
      </c>
      <c r="F126" s="8">
        <v>4000</v>
      </c>
      <c r="G126" s="8">
        <v>689</v>
      </c>
      <c r="H126" s="8">
        <v>488</v>
      </c>
      <c r="I126" s="8">
        <v>40000</v>
      </c>
      <c r="J126" s="8">
        <v>39569</v>
      </c>
      <c r="K126" s="8">
        <v>44</v>
      </c>
      <c r="L126" s="14" t="s">
        <v>62</v>
      </c>
      <c r="M126" s="16" t="s">
        <v>19</v>
      </c>
      <c r="N126">
        <f t="shared" si="1"/>
        <v>0.12942500000000001</v>
      </c>
    </row>
    <row r="127" spans="1:14" x14ac:dyDescent="0.3">
      <c r="A127" s="17" t="s">
        <v>277</v>
      </c>
      <c r="B127" s="18" t="s">
        <v>14</v>
      </c>
      <c r="C127" s="19">
        <v>45788</v>
      </c>
      <c r="D127" s="18" t="s">
        <v>52</v>
      </c>
      <c r="E127" s="18" t="s">
        <v>132</v>
      </c>
      <c r="F127" s="9">
        <v>2493</v>
      </c>
      <c r="G127" s="9">
        <v>97</v>
      </c>
      <c r="H127" s="9">
        <v>44</v>
      </c>
      <c r="I127" s="9">
        <v>42381</v>
      </c>
      <c r="J127" s="9">
        <v>41991</v>
      </c>
      <c r="K127" s="9">
        <v>242</v>
      </c>
      <c r="L127" s="18" t="s">
        <v>30</v>
      </c>
      <c r="M127" s="20" t="s">
        <v>38</v>
      </c>
      <c r="N127">
        <f t="shared" si="1"/>
        <v>6.2150491965739366E-2</v>
      </c>
    </row>
    <row r="128" spans="1:14" x14ac:dyDescent="0.3">
      <c r="A128" s="13" t="s">
        <v>277</v>
      </c>
      <c r="B128" s="14" t="s">
        <v>14</v>
      </c>
      <c r="C128" s="15">
        <v>45788</v>
      </c>
      <c r="D128" s="14" t="s">
        <v>52</v>
      </c>
      <c r="E128" s="14" t="s">
        <v>132</v>
      </c>
      <c r="F128" s="8">
        <v>2493</v>
      </c>
      <c r="G128" s="8">
        <v>97</v>
      </c>
      <c r="H128" s="8">
        <v>44</v>
      </c>
      <c r="I128" s="8">
        <v>42381</v>
      </c>
      <c r="J128" s="8">
        <v>41991</v>
      </c>
      <c r="K128" s="8">
        <v>242</v>
      </c>
      <c r="L128" s="14" t="s">
        <v>613</v>
      </c>
      <c r="M128" s="16" t="s">
        <v>38</v>
      </c>
      <c r="N128">
        <f t="shared" si="1"/>
        <v>6.2150491965739366E-2</v>
      </c>
    </row>
    <row r="129" spans="1:14" x14ac:dyDescent="0.3">
      <c r="A129" s="17" t="s">
        <v>279</v>
      </c>
      <c r="B129" s="18" t="s">
        <v>27</v>
      </c>
      <c r="C129" s="19">
        <v>45734</v>
      </c>
      <c r="D129" s="18" t="s">
        <v>16</v>
      </c>
      <c r="E129" s="18" t="s">
        <v>29</v>
      </c>
      <c r="F129" s="9">
        <v>3704</v>
      </c>
      <c r="G129" s="9">
        <v>186</v>
      </c>
      <c r="H129" s="9">
        <v>458</v>
      </c>
      <c r="I129" s="9">
        <v>25928</v>
      </c>
      <c r="J129" s="9">
        <v>25081</v>
      </c>
      <c r="K129" s="9">
        <v>131</v>
      </c>
      <c r="L129" s="18" t="s">
        <v>30</v>
      </c>
      <c r="M129" s="20"/>
      <c r="N129">
        <f t="shared" si="1"/>
        <v>0.16769515581610614</v>
      </c>
    </row>
    <row r="130" spans="1:14" x14ac:dyDescent="0.3">
      <c r="A130" s="13" t="s">
        <v>281</v>
      </c>
      <c r="B130" s="14" t="s">
        <v>14</v>
      </c>
      <c r="C130" s="15">
        <v>45600</v>
      </c>
      <c r="D130" s="14" t="s">
        <v>52</v>
      </c>
      <c r="E130" s="14" t="s">
        <v>132</v>
      </c>
      <c r="F130" s="8">
        <v>1606</v>
      </c>
      <c r="G130" s="8">
        <v>451</v>
      </c>
      <c r="H130" s="8">
        <v>405</v>
      </c>
      <c r="I130" s="8">
        <v>20878</v>
      </c>
      <c r="J130" s="8">
        <v>20190</v>
      </c>
      <c r="K130" s="8">
        <v>219</v>
      </c>
      <c r="L130" s="14" t="s">
        <v>37</v>
      </c>
      <c r="M130" s="16" t="s">
        <v>38</v>
      </c>
      <c r="N130">
        <f t="shared" ref="N130:N193" si="2">(F130+G130+H130)/I130</f>
        <v>0.11792317271769326</v>
      </c>
    </row>
    <row r="131" spans="1:14" x14ac:dyDescent="0.3">
      <c r="A131" s="17" t="s">
        <v>283</v>
      </c>
      <c r="B131" s="18" t="s">
        <v>43</v>
      </c>
      <c r="C131" s="19">
        <v>45600</v>
      </c>
      <c r="D131" s="18" t="s">
        <v>52</v>
      </c>
      <c r="E131" s="18" t="s">
        <v>59</v>
      </c>
      <c r="F131" s="9">
        <v>4551</v>
      </c>
      <c r="G131" s="9">
        <v>714</v>
      </c>
      <c r="H131" s="9">
        <v>207</v>
      </c>
      <c r="I131" s="9">
        <v>68265</v>
      </c>
      <c r="J131" s="9">
        <v>67754</v>
      </c>
      <c r="K131" s="9">
        <v>57</v>
      </c>
      <c r="L131" s="18" t="s">
        <v>62</v>
      </c>
      <c r="M131" s="20" t="s">
        <v>31</v>
      </c>
      <c r="N131">
        <f t="shared" si="2"/>
        <v>8.0158206987475278E-2</v>
      </c>
    </row>
    <row r="132" spans="1:14" x14ac:dyDescent="0.3">
      <c r="A132" s="13" t="s">
        <v>284</v>
      </c>
      <c r="B132" s="14" t="s">
        <v>33</v>
      </c>
      <c r="C132" s="15">
        <v>45695</v>
      </c>
      <c r="D132" s="14" t="s">
        <v>16</v>
      </c>
      <c r="E132" s="14" t="s">
        <v>82</v>
      </c>
      <c r="F132" s="8">
        <v>1970</v>
      </c>
      <c r="G132" s="8">
        <v>675</v>
      </c>
      <c r="H132" s="8">
        <v>478</v>
      </c>
      <c r="I132" s="8">
        <v>9850</v>
      </c>
      <c r="J132" s="8">
        <v>8924</v>
      </c>
      <c r="K132" s="8">
        <v>117</v>
      </c>
      <c r="L132" s="14" t="s">
        <v>62</v>
      </c>
      <c r="M132" s="16"/>
      <c r="N132">
        <f t="shared" si="2"/>
        <v>0.31705583756345179</v>
      </c>
    </row>
    <row r="133" spans="1:14" x14ac:dyDescent="0.3">
      <c r="A133" s="17" t="s">
        <v>286</v>
      </c>
      <c r="B133" s="18" t="s">
        <v>43</v>
      </c>
      <c r="C133" s="19">
        <v>45586</v>
      </c>
      <c r="D133" s="18" t="s">
        <v>35</v>
      </c>
      <c r="E133" s="18" t="s">
        <v>71</v>
      </c>
      <c r="F133" s="9">
        <v>780</v>
      </c>
      <c r="G133" s="9">
        <v>928</v>
      </c>
      <c r="H133" s="9">
        <v>301</v>
      </c>
      <c r="I133" s="9">
        <v>8580</v>
      </c>
      <c r="J133" s="9">
        <v>8081</v>
      </c>
      <c r="K133" s="9">
        <v>91</v>
      </c>
      <c r="L133" s="18" t="s">
        <v>37</v>
      </c>
      <c r="M133" s="20" t="s">
        <v>31</v>
      </c>
      <c r="N133">
        <f t="shared" si="2"/>
        <v>0.23414918414918415</v>
      </c>
    </row>
    <row r="134" spans="1:14" x14ac:dyDescent="0.3">
      <c r="A134" s="13" t="s">
        <v>287</v>
      </c>
      <c r="B134" s="14" t="s">
        <v>33</v>
      </c>
      <c r="C134" s="15">
        <v>45502</v>
      </c>
      <c r="D134" s="14" t="s">
        <v>35</v>
      </c>
      <c r="E134" s="14" t="s">
        <v>36</v>
      </c>
      <c r="F134" s="8">
        <v>498</v>
      </c>
      <c r="G134" s="8">
        <v>701</v>
      </c>
      <c r="H134" s="8">
        <v>412</v>
      </c>
      <c r="I134" s="8">
        <v>4980</v>
      </c>
      <c r="J134" s="8">
        <v>4185</v>
      </c>
      <c r="K134" s="8">
        <v>185</v>
      </c>
      <c r="L134" s="14" t="s">
        <v>62</v>
      </c>
      <c r="M134" s="16"/>
      <c r="N134">
        <f t="shared" si="2"/>
        <v>0.32349397590361445</v>
      </c>
    </row>
    <row r="135" spans="1:14" x14ac:dyDescent="0.3">
      <c r="A135" s="17" t="s">
        <v>288</v>
      </c>
      <c r="B135" s="18" t="s">
        <v>33</v>
      </c>
      <c r="C135" s="19">
        <v>45567</v>
      </c>
      <c r="D135" s="18" t="s">
        <v>22</v>
      </c>
      <c r="E135" s="18" t="s">
        <v>113</v>
      </c>
      <c r="F135" s="9">
        <v>3432</v>
      </c>
      <c r="G135" s="9">
        <v>869</v>
      </c>
      <c r="H135" s="9">
        <v>123</v>
      </c>
      <c r="I135" s="9">
        <v>54912</v>
      </c>
      <c r="J135" s="9">
        <v>53916</v>
      </c>
      <c r="K135" s="9">
        <v>264</v>
      </c>
      <c r="L135" s="18" t="s">
        <v>37</v>
      </c>
      <c r="M135" s="20" t="s">
        <v>25</v>
      </c>
      <c r="N135">
        <f t="shared" si="2"/>
        <v>8.0565268065268064E-2</v>
      </c>
    </row>
    <row r="136" spans="1:14" x14ac:dyDescent="0.3">
      <c r="A136" s="13" t="s">
        <v>289</v>
      </c>
      <c r="B136" s="14" t="s">
        <v>33</v>
      </c>
      <c r="C136" s="15">
        <v>45457</v>
      </c>
      <c r="D136" s="14" t="s">
        <v>35</v>
      </c>
      <c r="E136" s="14" t="s">
        <v>36</v>
      </c>
      <c r="F136" s="8">
        <v>4363</v>
      </c>
      <c r="G136" s="8">
        <v>649</v>
      </c>
      <c r="H136" s="8">
        <v>140</v>
      </c>
      <c r="I136" s="8">
        <v>21815</v>
      </c>
      <c r="J136" s="8">
        <v>21481</v>
      </c>
      <c r="K136" s="8">
        <v>157</v>
      </c>
      <c r="L136" s="14" t="s">
        <v>37</v>
      </c>
      <c r="M136" s="16" t="s">
        <v>19</v>
      </c>
      <c r="N136">
        <f t="shared" si="2"/>
        <v>0.23616777446710979</v>
      </c>
    </row>
    <row r="137" spans="1:14" x14ac:dyDescent="0.3">
      <c r="A137" s="17" t="s">
        <v>290</v>
      </c>
      <c r="B137" s="18" t="s">
        <v>27</v>
      </c>
      <c r="C137" s="19">
        <v>45753</v>
      </c>
      <c r="D137" s="18" t="s">
        <v>45</v>
      </c>
      <c r="E137" s="18" t="s">
        <v>68</v>
      </c>
      <c r="F137" s="9">
        <v>736</v>
      </c>
      <c r="G137" s="9">
        <v>771</v>
      </c>
      <c r="H137" s="9">
        <v>225</v>
      </c>
      <c r="I137" s="9">
        <v>5152</v>
      </c>
      <c r="J137" s="9">
        <v>4706</v>
      </c>
      <c r="K137" s="9">
        <v>19</v>
      </c>
      <c r="L137" s="18" t="s">
        <v>37</v>
      </c>
      <c r="M137" s="20" t="s">
        <v>19</v>
      </c>
      <c r="N137">
        <f t="shared" si="2"/>
        <v>0.33618012422360249</v>
      </c>
    </row>
    <row r="138" spans="1:14" x14ac:dyDescent="0.3">
      <c r="A138" s="13" t="s">
        <v>292</v>
      </c>
      <c r="B138" s="14" t="s">
        <v>14</v>
      </c>
      <c r="C138" s="15">
        <v>45543</v>
      </c>
      <c r="D138" s="14" t="s">
        <v>45</v>
      </c>
      <c r="E138" s="14" t="s">
        <v>49</v>
      </c>
      <c r="F138" s="8">
        <v>3811</v>
      </c>
      <c r="G138" s="8">
        <v>866</v>
      </c>
      <c r="H138" s="8">
        <v>216</v>
      </c>
      <c r="I138" s="8">
        <v>34299</v>
      </c>
      <c r="J138" s="8">
        <v>34088</v>
      </c>
      <c r="K138" s="8">
        <v>233</v>
      </c>
      <c r="L138" s="14" t="s">
        <v>30</v>
      </c>
      <c r="M138" s="16" t="s">
        <v>38</v>
      </c>
      <c r="N138">
        <f t="shared" si="2"/>
        <v>0.14265722032712325</v>
      </c>
    </row>
    <row r="139" spans="1:14" x14ac:dyDescent="0.3">
      <c r="A139" s="17" t="s">
        <v>294</v>
      </c>
      <c r="B139" s="18" t="s">
        <v>33</v>
      </c>
      <c r="C139" s="19">
        <v>45744</v>
      </c>
      <c r="D139" s="18" t="s">
        <v>45</v>
      </c>
      <c r="E139" s="18" t="s">
        <v>88</v>
      </c>
      <c r="F139" s="9">
        <v>4158</v>
      </c>
      <c r="G139" s="9">
        <v>167</v>
      </c>
      <c r="H139" s="9">
        <v>241</v>
      </c>
      <c r="I139" s="9">
        <v>45738</v>
      </c>
      <c r="J139" s="9">
        <v>45183</v>
      </c>
      <c r="K139" s="9">
        <v>142</v>
      </c>
      <c r="L139" s="18" t="s">
        <v>62</v>
      </c>
      <c r="M139" s="20"/>
      <c r="N139">
        <f t="shared" si="2"/>
        <v>9.9829463465827106E-2</v>
      </c>
    </row>
    <row r="140" spans="1:14" x14ac:dyDescent="0.3">
      <c r="A140" s="13" t="s">
        <v>295</v>
      </c>
      <c r="B140" s="14" t="s">
        <v>43</v>
      </c>
      <c r="C140" s="15">
        <v>45684</v>
      </c>
      <c r="D140" s="14" t="s">
        <v>16</v>
      </c>
      <c r="E140" s="14" t="s">
        <v>65</v>
      </c>
      <c r="F140" s="8">
        <v>3452</v>
      </c>
      <c r="G140" s="8">
        <v>652</v>
      </c>
      <c r="H140" s="8">
        <v>442</v>
      </c>
      <c r="I140" s="8">
        <v>65588</v>
      </c>
      <c r="J140" s="8">
        <v>65049</v>
      </c>
      <c r="K140" s="8">
        <v>158</v>
      </c>
      <c r="L140" s="14" t="s">
        <v>62</v>
      </c>
      <c r="M140" s="16" t="s">
        <v>31</v>
      </c>
      <c r="N140">
        <f t="shared" si="2"/>
        <v>6.9311459413307311E-2</v>
      </c>
    </row>
    <row r="141" spans="1:14" x14ac:dyDescent="0.3">
      <c r="A141" s="17" t="s">
        <v>296</v>
      </c>
      <c r="B141" s="18" t="s">
        <v>14</v>
      </c>
      <c r="C141" s="19">
        <v>45667</v>
      </c>
      <c r="D141" s="18" t="s">
        <v>52</v>
      </c>
      <c r="E141" s="18" t="s">
        <v>132</v>
      </c>
      <c r="F141" s="9">
        <v>3092</v>
      </c>
      <c r="G141" s="9">
        <v>106</v>
      </c>
      <c r="H141" s="9">
        <v>291</v>
      </c>
      <c r="I141" s="9">
        <v>27828</v>
      </c>
      <c r="J141" s="9">
        <v>27217</v>
      </c>
      <c r="K141" s="9">
        <v>102</v>
      </c>
      <c r="L141" s="18" t="s">
        <v>62</v>
      </c>
      <c r="M141" s="20"/>
      <c r="N141">
        <f t="shared" si="2"/>
        <v>0.12537731780940059</v>
      </c>
    </row>
    <row r="142" spans="1:14" x14ac:dyDescent="0.3">
      <c r="A142" s="13" t="s">
        <v>297</v>
      </c>
      <c r="B142" s="14" t="s">
        <v>14</v>
      </c>
      <c r="C142" s="15">
        <v>45494</v>
      </c>
      <c r="D142" s="14" t="s">
        <v>22</v>
      </c>
      <c r="E142" s="14" t="s">
        <v>23</v>
      </c>
      <c r="F142" s="8">
        <v>2147</v>
      </c>
      <c r="G142" s="8">
        <v>430</v>
      </c>
      <c r="H142" s="8">
        <v>393</v>
      </c>
      <c r="I142" s="8">
        <v>17176</v>
      </c>
      <c r="J142" s="8">
        <v>16483</v>
      </c>
      <c r="K142" s="8">
        <v>170</v>
      </c>
      <c r="L142" s="14" t="s">
        <v>30</v>
      </c>
      <c r="M142" s="16"/>
      <c r="N142">
        <f t="shared" si="2"/>
        <v>0.17291569632044715</v>
      </c>
    </row>
    <row r="143" spans="1:14" x14ac:dyDescent="0.3">
      <c r="A143" s="17" t="s">
        <v>298</v>
      </c>
      <c r="B143" s="18" t="s">
        <v>27</v>
      </c>
      <c r="C143" s="19">
        <v>45564</v>
      </c>
      <c r="D143" s="18" t="s">
        <v>16</v>
      </c>
      <c r="E143" s="18" t="s">
        <v>29</v>
      </c>
      <c r="F143" s="9">
        <v>2936</v>
      </c>
      <c r="G143" s="9">
        <v>439</v>
      </c>
      <c r="H143" s="9">
        <v>44</v>
      </c>
      <c r="I143" s="9">
        <v>38168</v>
      </c>
      <c r="J143" s="9">
        <v>37571</v>
      </c>
      <c r="K143" s="9">
        <v>22</v>
      </c>
      <c r="L143" s="18" t="s">
        <v>37</v>
      </c>
      <c r="M143" s="20" t="s">
        <v>38</v>
      </c>
      <c r="N143">
        <f t="shared" si="2"/>
        <v>8.9577656675749323E-2</v>
      </c>
    </row>
    <row r="144" spans="1:14" x14ac:dyDescent="0.3">
      <c r="A144" s="13" t="s">
        <v>300</v>
      </c>
      <c r="B144" s="14" t="s">
        <v>33</v>
      </c>
      <c r="C144" s="15">
        <v>45586</v>
      </c>
      <c r="D144" s="14" t="s">
        <v>16</v>
      </c>
      <c r="E144" s="14" t="s">
        <v>82</v>
      </c>
      <c r="F144" s="8">
        <v>4840</v>
      </c>
      <c r="G144" s="8">
        <v>658</v>
      </c>
      <c r="H144" s="8">
        <v>211</v>
      </c>
      <c r="I144" s="8">
        <v>43560</v>
      </c>
      <c r="J144" s="8">
        <v>43225</v>
      </c>
      <c r="K144" s="8">
        <v>57</v>
      </c>
      <c r="L144" s="14" t="s">
        <v>62</v>
      </c>
      <c r="M144" s="16" t="s">
        <v>31</v>
      </c>
      <c r="N144">
        <f t="shared" si="2"/>
        <v>0.13106060606060607</v>
      </c>
    </row>
    <row r="145" spans="1:14" x14ac:dyDescent="0.3">
      <c r="A145" s="17" t="s">
        <v>301</v>
      </c>
      <c r="B145" s="18" t="s">
        <v>33</v>
      </c>
      <c r="C145" s="19">
        <v>45720</v>
      </c>
      <c r="D145" s="18" t="s">
        <v>35</v>
      </c>
      <c r="E145" s="18" t="s">
        <v>36</v>
      </c>
      <c r="F145" s="9">
        <v>1947</v>
      </c>
      <c r="G145" s="9">
        <v>842</v>
      </c>
      <c r="H145" s="9">
        <v>101</v>
      </c>
      <c r="I145" s="9">
        <v>21417</v>
      </c>
      <c r="J145" s="9">
        <v>20967</v>
      </c>
      <c r="K145" s="9">
        <v>186</v>
      </c>
      <c r="L145" s="18" t="s">
        <v>62</v>
      </c>
      <c r="M145" s="20" t="s">
        <v>25</v>
      </c>
      <c r="N145">
        <f t="shared" si="2"/>
        <v>0.13493953401503478</v>
      </c>
    </row>
    <row r="146" spans="1:14" x14ac:dyDescent="0.3">
      <c r="A146" s="13" t="s">
        <v>302</v>
      </c>
      <c r="B146" s="14" t="s">
        <v>43</v>
      </c>
      <c r="C146" s="15">
        <v>45694</v>
      </c>
      <c r="D146" s="14" t="s">
        <v>52</v>
      </c>
      <c r="E146" s="14" t="s">
        <v>59</v>
      </c>
      <c r="F146" s="8">
        <v>2072</v>
      </c>
      <c r="G146" s="8">
        <v>532</v>
      </c>
      <c r="H146" s="8">
        <v>71</v>
      </c>
      <c r="I146" s="8">
        <v>37296</v>
      </c>
      <c r="J146" s="8">
        <v>36467</v>
      </c>
      <c r="K146" s="8">
        <v>25</v>
      </c>
      <c r="L146" s="14" t="s">
        <v>30</v>
      </c>
      <c r="M146" s="16" t="s">
        <v>38</v>
      </c>
      <c r="N146">
        <f t="shared" si="2"/>
        <v>7.172350922350923E-2</v>
      </c>
    </row>
    <row r="147" spans="1:14" x14ac:dyDescent="0.3">
      <c r="A147" s="17" t="s">
        <v>304</v>
      </c>
      <c r="B147" s="18" t="s">
        <v>14</v>
      </c>
      <c r="C147" s="19">
        <v>45771</v>
      </c>
      <c r="D147" s="18" t="s">
        <v>16</v>
      </c>
      <c r="E147" s="18" t="s">
        <v>17</v>
      </c>
      <c r="F147" s="9">
        <v>3731</v>
      </c>
      <c r="G147" s="9">
        <v>115</v>
      </c>
      <c r="H147" s="9">
        <v>135</v>
      </c>
      <c r="I147" s="9">
        <v>55965</v>
      </c>
      <c r="J147" s="9">
        <v>55436</v>
      </c>
      <c r="K147" s="9">
        <v>103</v>
      </c>
      <c r="L147" s="18" t="s">
        <v>30</v>
      </c>
      <c r="M147" s="20" t="s">
        <v>19</v>
      </c>
      <c r="N147">
        <f t="shared" si="2"/>
        <v>7.1133744304476013E-2</v>
      </c>
    </row>
    <row r="148" spans="1:14" x14ac:dyDescent="0.3">
      <c r="A148" s="13" t="s">
        <v>306</v>
      </c>
      <c r="B148" s="14" t="s">
        <v>43</v>
      </c>
      <c r="C148" s="15">
        <v>45624</v>
      </c>
      <c r="D148" s="14" t="s">
        <v>22</v>
      </c>
      <c r="E148" s="14" t="s">
        <v>56</v>
      </c>
      <c r="F148" s="8">
        <v>4213</v>
      </c>
      <c r="G148" s="8">
        <v>253</v>
      </c>
      <c r="H148" s="8">
        <v>434</v>
      </c>
      <c r="I148" s="8">
        <v>75834</v>
      </c>
      <c r="J148" s="8">
        <v>75437</v>
      </c>
      <c r="K148" s="8">
        <v>272</v>
      </c>
      <c r="L148" s="14" t="s">
        <v>62</v>
      </c>
      <c r="M148" s="16" t="s">
        <v>38</v>
      </c>
      <c r="N148">
        <f t="shared" si="2"/>
        <v>6.461481657304112E-2</v>
      </c>
    </row>
    <row r="149" spans="1:14" x14ac:dyDescent="0.3">
      <c r="A149" s="17" t="s">
        <v>308</v>
      </c>
      <c r="B149" s="18" t="s">
        <v>33</v>
      </c>
      <c r="C149" s="19">
        <v>45484</v>
      </c>
      <c r="D149" s="18" t="s">
        <v>22</v>
      </c>
      <c r="E149" s="18" t="s">
        <v>113</v>
      </c>
      <c r="F149" s="9">
        <v>3134</v>
      </c>
      <c r="G149" s="9">
        <v>888</v>
      </c>
      <c r="H149" s="9">
        <v>444</v>
      </c>
      <c r="I149" s="9">
        <v>21938</v>
      </c>
      <c r="J149" s="9">
        <v>21337</v>
      </c>
      <c r="K149" s="9">
        <v>130</v>
      </c>
      <c r="L149" s="18" t="s">
        <v>37</v>
      </c>
      <c r="M149" s="20" t="s">
        <v>38</v>
      </c>
      <c r="N149">
        <f t="shared" si="2"/>
        <v>0.20357370772176134</v>
      </c>
    </row>
    <row r="150" spans="1:14" x14ac:dyDescent="0.3">
      <c r="A150" s="13" t="s">
        <v>310</v>
      </c>
      <c r="B150" s="14" t="s">
        <v>43</v>
      </c>
      <c r="C150" s="15">
        <v>45504</v>
      </c>
      <c r="D150" s="14" t="s">
        <v>74</v>
      </c>
      <c r="E150" s="14" t="s">
        <v>75</v>
      </c>
      <c r="F150" s="8">
        <v>3008</v>
      </c>
      <c r="G150" s="8">
        <v>94</v>
      </c>
      <c r="H150" s="8">
        <v>37</v>
      </c>
      <c r="I150" s="8">
        <v>15040</v>
      </c>
      <c r="J150" s="8">
        <v>14639</v>
      </c>
      <c r="K150" s="8">
        <v>277</v>
      </c>
      <c r="L150" s="14" t="s">
        <v>62</v>
      </c>
      <c r="M150" s="16"/>
      <c r="N150">
        <f t="shared" si="2"/>
        <v>0.20871010638297871</v>
      </c>
    </row>
    <row r="151" spans="1:14" x14ac:dyDescent="0.3">
      <c r="A151" s="17" t="s">
        <v>311</v>
      </c>
      <c r="B151" s="18" t="s">
        <v>14</v>
      </c>
      <c r="C151" s="19">
        <v>45745</v>
      </c>
      <c r="D151" s="18" t="s">
        <v>52</v>
      </c>
      <c r="E151" s="18" t="s">
        <v>132</v>
      </c>
      <c r="F151" s="9">
        <v>305</v>
      </c>
      <c r="G151" s="9">
        <v>187</v>
      </c>
      <c r="H151" s="9">
        <v>243</v>
      </c>
      <c r="I151" s="9">
        <v>4575</v>
      </c>
      <c r="J151" s="9">
        <v>3704</v>
      </c>
      <c r="K151" s="9">
        <v>234</v>
      </c>
      <c r="L151" s="18" t="s">
        <v>62</v>
      </c>
      <c r="M151" s="20" t="s">
        <v>31</v>
      </c>
      <c r="N151">
        <f t="shared" si="2"/>
        <v>0.16065573770491803</v>
      </c>
    </row>
    <row r="152" spans="1:14" x14ac:dyDescent="0.3">
      <c r="A152" s="13" t="s">
        <v>312</v>
      </c>
      <c r="B152" s="14" t="s">
        <v>27</v>
      </c>
      <c r="C152" s="15">
        <v>45594</v>
      </c>
      <c r="D152" s="14" t="s">
        <v>22</v>
      </c>
      <c r="E152" s="14" t="s">
        <v>104</v>
      </c>
      <c r="F152" s="8">
        <v>2746</v>
      </c>
      <c r="G152" s="8">
        <v>156</v>
      </c>
      <c r="H152" s="8">
        <v>203</v>
      </c>
      <c r="I152" s="8">
        <v>32952</v>
      </c>
      <c r="J152" s="8">
        <v>32147</v>
      </c>
      <c r="K152" s="8">
        <v>147</v>
      </c>
      <c r="L152" s="14" t="s">
        <v>37</v>
      </c>
      <c r="M152" s="16" t="s">
        <v>19</v>
      </c>
      <c r="N152">
        <f t="shared" si="2"/>
        <v>9.422796795338674E-2</v>
      </c>
    </row>
    <row r="153" spans="1:14" x14ac:dyDescent="0.3">
      <c r="A153" s="17" t="s">
        <v>314</v>
      </c>
      <c r="B153" s="18" t="s">
        <v>43</v>
      </c>
      <c r="C153" s="19">
        <v>45488</v>
      </c>
      <c r="D153" s="18" t="s">
        <v>52</v>
      </c>
      <c r="E153" s="18" t="s">
        <v>59</v>
      </c>
      <c r="F153" s="9">
        <v>2291</v>
      </c>
      <c r="G153" s="9">
        <v>78</v>
      </c>
      <c r="H153" s="9">
        <v>485</v>
      </c>
      <c r="I153" s="9">
        <v>18328</v>
      </c>
      <c r="J153" s="9">
        <v>18101</v>
      </c>
      <c r="K153" s="9">
        <v>10</v>
      </c>
      <c r="L153" s="18" t="s">
        <v>37</v>
      </c>
      <c r="M153" s="20" t="s">
        <v>25</v>
      </c>
      <c r="N153">
        <f t="shared" si="2"/>
        <v>0.15571802706241816</v>
      </c>
    </row>
    <row r="154" spans="1:14" x14ac:dyDescent="0.3">
      <c r="A154" s="13" t="s">
        <v>314</v>
      </c>
      <c r="B154" s="14" t="s">
        <v>43</v>
      </c>
      <c r="C154" s="15">
        <v>45488</v>
      </c>
      <c r="D154" s="14" t="s">
        <v>52</v>
      </c>
      <c r="E154" s="14" t="s">
        <v>59</v>
      </c>
      <c r="F154" s="8">
        <v>2291</v>
      </c>
      <c r="G154" s="8">
        <v>78</v>
      </c>
      <c r="H154" s="8">
        <v>485</v>
      </c>
      <c r="I154" s="8">
        <v>18328</v>
      </c>
      <c r="J154" s="8">
        <v>18101</v>
      </c>
      <c r="K154" s="8">
        <v>10</v>
      </c>
      <c r="L154" s="14" t="s">
        <v>607</v>
      </c>
      <c r="M154" s="16" t="s">
        <v>25</v>
      </c>
      <c r="N154">
        <f t="shared" si="2"/>
        <v>0.15571802706241816</v>
      </c>
    </row>
    <row r="155" spans="1:14" x14ac:dyDescent="0.3">
      <c r="A155" s="17" t="s">
        <v>317</v>
      </c>
      <c r="B155" s="18" t="s">
        <v>14</v>
      </c>
      <c r="C155" s="19">
        <v>45535</v>
      </c>
      <c r="D155" s="18" t="s">
        <v>52</v>
      </c>
      <c r="E155" s="18" t="s">
        <v>132</v>
      </c>
      <c r="F155" s="9">
        <v>3170</v>
      </c>
      <c r="G155" s="9">
        <v>857</v>
      </c>
      <c r="H155" s="9">
        <v>379</v>
      </c>
      <c r="I155" s="9">
        <v>19020</v>
      </c>
      <c r="J155" s="9">
        <v>18559</v>
      </c>
      <c r="K155" s="9">
        <v>240</v>
      </c>
      <c r="L155" s="18" t="s">
        <v>62</v>
      </c>
      <c r="M155" s="20"/>
      <c r="N155">
        <f t="shared" si="2"/>
        <v>0.2316508937960042</v>
      </c>
    </row>
    <row r="156" spans="1:14" x14ac:dyDescent="0.3">
      <c r="A156" s="13" t="s">
        <v>319</v>
      </c>
      <c r="B156" s="14" t="s">
        <v>27</v>
      </c>
      <c r="C156" s="15">
        <v>45741</v>
      </c>
      <c r="D156" s="14" t="s">
        <v>35</v>
      </c>
      <c r="E156" s="14" t="s">
        <v>154</v>
      </c>
      <c r="F156" s="8">
        <v>2070</v>
      </c>
      <c r="G156" s="8">
        <v>275</v>
      </c>
      <c r="H156" s="8">
        <v>386</v>
      </c>
      <c r="I156" s="8">
        <v>39330</v>
      </c>
      <c r="J156" s="8">
        <v>38627</v>
      </c>
      <c r="K156" s="8">
        <v>114</v>
      </c>
      <c r="L156" s="14" t="s">
        <v>62</v>
      </c>
      <c r="M156" s="16" t="s">
        <v>38</v>
      </c>
      <c r="N156">
        <f t="shared" si="2"/>
        <v>6.9438087973557078E-2</v>
      </c>
    </row>
    <row r="157" spans="1:14" x14ac:dyDescent="0.3">
      <c r="A157" s="17" t="s">
        <v>320</v>
      </c>
      <c r="B157" s="18" t="s">
        <v>27</v>
      </c>
      <c r="C157" s="19">
        <v>45567</v>
      </c>
      <c r="D157" s="18" t="s">
        <v>45</v>
      </c>
      <c r="E157" s="18" t="s">
        <v>68</v>
      </c>
      <c r="F157" s="9">
        <v>80</v>
      </c>
      <c r="G157" s="9">
        <v>362</v>
      </c>
      <c r="H157" s="9">
        <v>80</v>
      </c>
      <c r="I157" s="9">
        <v>1040</v>
      </c>
      <c r="J157" s="9">
        <v>349</v>
      </c>
      <c r="K157" s="9">
        <v>117</v>
      </c>
      <c r="L157" s="18" t="s">
        <v>30</v>
      </c>
      <c r="M157" s="20" t="s">
        <v>31</v>
      </c>
      <c r="N157">
        <f t="shared" si="2"/>
        <v>0.50192307692307692</v>
      </c>
    </row>
    <row r="158" spans="1:14" x14ac:dyDescent="0.3">
      <c r="A158" s="13" t="s">
        <v>321</v>
      </c>
      <c r="B158" s="14" t="s">
        <v>27</v>
      </c>
      <c r="C158" s="15">
        <v>45593</v>
      </c>
      <c r="D158" s="14" t="s">
        <v>35</v>
      </c>
      <c r="E158" s="14" t="s">
        <v>154</v>
      </c>
      <c r="F158" s="8">
        <v>4929</v>
      </c>
      <c r="G158" s="8">
        <v>749</v>
      </c>
      <c r="H158" s="8">
        <v>452</v>
      </c>
      <c r="I158" s="8">
        <v>93651</v>
      </c>
      <c r="J158" s="8">
        <v>92810</v>
      </c>
      <c r="K158" s="8">
        <v>66</v>
      </c>
      <c r="L158" s="14" t="s">
        <v>37</v>
      </c>
      <c r="M158" s="16" t="s">
        <v>38</v>
      </c>
      <c r="N158">
        <f t="shared" si="2"/>
        <v>6.5455787978772245E-2</v>
      </c>
    </row>
    <row r="159" spans="1:14" x14ac:dyDescent="0.3">
      <c r="A159" s="17" t="s">
        <v>322</v>
      </c>
      <c r="B159" s="18" t="s">
        <v>33</v>
      </c>
      <c r="C159" s="19">
        <v>45516</v>
      </c>
      <c r="D159" s="18" t="s">
        <v>45</v>
      </c>
      <c r="E159" s="18" t="s">
        <v>88</v>
      </c>
      <c r="F159" s="9">
        <v>1878</v>
      </c>
      <c r="G159" s="9">
        <v>62</v>
      </c>
      <c r="H159" s="9">
        <v>179</v>
      </c>
      <c r="I159" s="9">
        <v>37560</v>
      </c>
      <c r="J159" s="9">
        <v>36874</v>
      </c>
      <c r="K159" s="9">
        <v>142</v>
      </c>
      <c r="L159" s="18" t="s">
        <v>30</v>
      </c>
      <c r="M159" s="20" t="s">
        <v>38</v>
      </c>
      <c r="N159">
        <f t="shared" si="2"/>
        <v>5.6416400425985093E-2</v>
      </c>
    </row>
    <row r="160" spans="1:14" x14ac:dyDescent="0.3">
      <c r="A160" s="13" t="s">
        <v>323</v>
      </c>
      <c r="B160" s="14" t="s">
        <v>27</v>
      </c>
      <c r="C160" s="15">
        <v>45448</v>
      </c>
      <c r="D160" s="14" t="s">
        <v>16</v>
      </c>
      <c r="E160" s="14" t="s">
        <v>29</v>
      </c>
      <c r="F160" s="8">
        <v>3065</v>
      </c>
      <c r="G160" s="8">
        <v>772</v>
      </c>
      <c r="H160" s="8">
        <v>142</v>
      </c>
      <c r="I160" s="8">
        <v>18390</v>
      </c>
      <c r="J160" s="8">
        <v>17875</v>
      </c>
      <c r="K160" s="8">
        <v>200</v>
      </c>
      <c r="L160" s="14" t="s">
        <v>37</v>
      </c>
      <c r="M160" s="16"/>
      <c r="N160">
        <f t="shared" si="2"/>
        <v>0.21636759108210984</v>
      </c>
    </row>
    <row r="161" spans="1:14" x14ac:dyDescent="0.3">
      <c r="A161" s="17" t="s">
        <v>323</v>
      </c>
      <c r="B161" s="18" t="s">
        <v>27</v>
      </c>
      <c r="C161" s="19">
        <v>45448</v>
      </c>
      <c r="D161" s="18" t="s">
        <v>16</v>
      </c>
      <c r="E161" s="18" t="s">
        <v>29</v>
      </c>
      <c r="F161" s="9">
        <v>3065</v>
      </c>
      <c r="G161" s="9">
        <v>772</v>
      </c>
      <c r="H161" s="9">
        <v>142</v>
      </c>
      <c r="I161" s="9">
        <v>18390</v>
      </c>
      <c r="J161" s="9">
        <v>17875</v>
      </c>
      <c r="K161" s="9">
        <v>200</v>
      </c>
      <c r="L161" s="18" t="s">
        <v>613</v>
      </c>
      <c r="M161" s="20"/>
      <c r="N161">
        <f t="shared" si="2"/>
        <v>0.21636759108210984</v>
      </c>
    </row>
    <row r="162" spans="1:14" x14ac:dyDescent="0.3">
      <c r="A162" s="13" t="s">
        <v>326</v>
      </c>
      <c r="B162" s="14" t="s">
        <v>33</v>
      </c>
      <c r="C162" s="15">
        <v>45586</v>
      </c>
      <c r="D162" s="14" t="s">
        <v>16</v>
      </c>
      <c r="E162" s="14" t="s">
        <v>82</v>
      </c>
      <c r="F162" s="8">
        <v>3256</v>
      </c>
      <c r="G162" s="8">
        <v>459</v>
      </c>
      <c r="H162" s="8">
        <v>266</v>
      </c>
      <c r="I162" s="8">
        <v>26048</v>
      </c>
      <c r="J162" s="8">
        <v>25529</v>
      </c>
      <c r="K162" s="8">
        <v>143</v>
      </c>
      <c r="L162" s="14" t="s">
        <v>30</v>
      </c>
      <c r="M162" s="16" t="s">
        <v>25</v>
      </c>
      <c r="N162">
        <f t="shared" si="2"/>
        <v>0.15283323095823095</v>
      </c>
    </row>
    <row r="163" spans="1:14" x14ac:dyDescent="0.3">
      <c r="A163" s="17" t="s">
        <v>327</v>
      </c>
      <c r="B163" s="18" t="s">
        <v>33</v>
      </c>
      <c r="C163" s="19">
        <v>45762</v>
      </c>
      <c r="D163" s="18" t="s">
        <v>74</v>
      </c>
      <c r="E163" s="18" t="s">
        <v>85</v>
      </c>
      <c r="F163" s="9">
        <v>4133</v>
      </c>
      <c r="G163" s="9">
        <v>466</v>
      </c>
      <c r="H163" s="9">
        <v>327</v>
      </c>
      <c r="I163" s="9">
        <v>24798</v>
      </c>
      <c r="J163" s="9">
        <v>24620</v>
      </c>
      <c r="K163" s="9">
        <v>176</v>
      </c>
      <c r="L163" s="18" t="s">
        <v>37</v>
      </c>
      <c r="M163" s="20" t="s">
        <v>38</v>
      </c>
      <c r="N163">
        <f t="shared" si="2"/>
        <v>0.19864505202032423</v>
      </c>
    </row>
    <row r="164" spans="1:14" x14ac:dyDescent="0.3">
      <c r="A164" s="13" t="s">
        <v>328</v>
      </c>
      <c r="B164" s="14" t="s">
        <v>14</v>
      </c>
      <c r="C164" s="15">
        <v>45459</v>
      </c>
      <c r="D164" s="14" t="s">
        <v>74</v>
      </c>
      <c r="E164" s="14" t="s">
        <v>145</v>
      </c>
      <c r="F164" s="8">
        <v>1702</v>
      </c>
      <c r="G164" s="8">
        <v>750</v>
      </c>
      <c r="H164" s="8">
        <v>179</v>
      </c>
      <c r="I164" s="8">
        <v>34040</v>
      </c>
      <c r="J164" s="8">
        <v>33174</v>
      </c>
      <c r="K164" s="8">
        <v>76</v>
      </c>
      <c r="L164" s="14" t="s">
        <v>37</v>
      </c>
      <c r="M164" s="16" t="s">
        <v>19</v>
      </c>
      <c r="N164">
        <f t="shared" si="2"/>
        <v>7.7291421856639245E-2</v>
      </c>
    </row>
    <row r="165" spans="1:14" x14ac:dyDescent="0.3">
      <c r="A165" s="17" t="s">
        <v>330</v>
      </c>
      <c r="B165" s="18" t="s">
        <v>27</v>
      </c>
      <c r="C165" s="19">
        <v>45526</v>
      </c>
      <c r="D165" s="18" t="s">
        <v>45</v>
      </c>
      <c r="E165" s="18" t="s">
        <v>68</v>
      </c>
      <c r="F165" s="9">
        <v>4295</v>
      </c>
      <c r="G165" s="9">
        <v>853</v>
      </c>
      <c r="H165" s="9">
        <v>325</v>
      </c>
      <c r="I165" s="9">
        <v>85900</v>
      </c>
      <c r="J165" s="9">
        <v>85788</v>
      </c>
      <c r="K165" s="9">
        <v>290</v>
      </c>
      <c r="L165" s="18" t="s">
        <v>30</v>
      </c>
      <c r="M165" s="20" t="s">
        <v>38</v>
      </c>
      <c r="N165">
        <f t="shared" si="2"/>
        <v>6.3713620488940623E-2</v>
      </c>
    </row>
    <row r="166" spans="1:14" x14ac:dyDescent="0.3">
      <c r="A166" s="13" t="s">
        <v>332</v>
      </c>
      <c r="B166" s="14" t="s">
        <v>33</v>
      </c>
      <c r="C166" s="15">
        <v>45499</v>
      </c>
      <c r="D166" s="14" t="s">
        <v>52</v>
      </c>
      <c r="E166" s="14" t="s">
        <v>215</v>
      </c>
      <c r="F166" s="8">
        <v>3559</v>
      </c>
      <c r="G166" s="8">
        <v>59</v>
      </c>
      <c r="H166" s="8">
        <v>289</v>
      </c>
      <c r="I166" s="8">
        <v>35590</v>
      </c>
      <c r="J166" s="8">
        <v>35105</v>
      </c>
      <c r="K166" s="8">
        <v>122</v>
      </c>
      <c r="L166" s="14" t="s">
        <v>37</v>
      </c>
      <c r="M166" s="16" t="s">
        <v>19</v>
      </c>
      <c r="N166">
        <f t="shared" si="2"/>
        <v>0.10977802753582468</v>
      </c>
    </row>
    <row r="167" spans="1:14" x14ac:dyDescent="0.3">
      <c r="A167" s="17" t="s">
        <v>333</v>
      </c>
      <c r="B167" s="18" t="s">
        <v>43</v>
      </c>
      <c r="C167" s="19">
        <v>45769</v>
      </c>
      <c r="D167" s="18" t="s">
        <v>52</v>
      </c>
      <c r="E167" s="18" t="s">
        <v>59</v>
      </c>
      <c r="F167" s="9">
        <v>4804</v>
      </c>
      <c r="G167" s="9">
        <v>550</v>
      </c>
      <c r="H167" s="9">
        <v>270</v>
      </c>
      <c r="I167" s="9">
        <v>28824</v>
      </c>
      <c r="J167" s="9">
        <v>28370</v>
      </c>
      <c r="K167" s="9">
        <v>47</v>
      </c>
      <c r="L167" s="18" t="s">
        <v>37</v>
      </c>
      <c r="M167" s="20" t="s">
        <v>38</v>
      </c>
      <c r="N167">
        <f t="shared" si="2"/>
        <v>0.19511518179295032</v>
      </c>
    </row>
    <row r="168" spans="1:14" x14ac:dyDescent="0.3">
      <c r="A168" s="13" t="s">
        <v>335</v>
      </c>
      <c r="B168" s="14" t="s">
        <v>14</v>
      </c>
      <c r="C168" s="15">
        <v>45658</v>
      </c>
      <c r="D168" s="14" t="s">
        <v>74</v>
      </c>
      <c r="E168" s="14" t="s">
        <v>145</v>
      </c>
      <c r="F168" s="8">
        <v>754</v>
      </c>
      <c r="G168" s="8">
        <v>197</v>
      </c>
      <c r="H168" s="8">
        <v>257</v>
      </c>
      <c r="I168" s="8">
        <v>6786</v>
      </c>
      <c r="J168" s="8">
        <v>6221</v>
      </c>
      <c r="K168" s="8">
        <v>212</v>
      </c>
      <c r="L168" s="14" t="s">
        <v>30</v>
      </c>
      <c r="M168" s="16" t="s">
        <v>31</v>
      </c>
      <c r="N168">
        <f t="shared" si="2"/>
        <v>0.17801355732390214</v>
      </c>
    </row>
    <row r="169" spans="1:14" x14ac:dyDescent="0.3">
      <c r="A169" s="17" t="s">
        <v>337</v>
      </c>
      <c r="B169" s="18" t="s">
        <v>33</v>
      </c>
      <c r="C169" s="19">
        <v>45574</v>
      </c>
      <c r="D169" s="18" t="s">
        <v>45</v>
      </c>
      <c r="E169" s="18" t="s">
        <v>88</v>
      </c>
      <c r="F169" s="9">
        <v>985</v>
      </c>
      <c r="G169" s="9">
        <v>932</v>
      </c>
      <c r="H169" s="9">
        <v>287</v>
      </c>
      <c r="I169" s="9">
        <v>6895</v>
      </c>
      <c r="J169" s="9">
        <v>6757</v>
      </c>
      <c r="K169" s="9">
        <v>64</v>
      </c>
      <c r="L169" s="18" t="s">
        <v>62</v>
      </c>
      <c r="M169" s="20" t="s">
        <v>38</v>
      </c>
      <c r="N169">
        <f t="shared" si="2"/>
        <v>0.31965192168237855</v>
      </c>
    </row>
    <row r="170" spans="1:14" x14ac:dyDescent="0.3">
      <c r="A170" s="13" t="s">
        <v>338</v>
      </c>
      <c r="B170" s="14" t="s">
        <v>27</v>
      </c>
      <c r="C170" s="15">
        <v>45647</v>
      </c>
      <c r="D170" s="14" t="s">
        <v>52</v>
      </c>
      <c r="E170" s="14" t="s">
        <v>53</v>
      </c>
      <c r="F170" s="8">
        <v>2283</v>
      </c>
      <c r="G170" s="8">
        <v>210</v>
      </c>
      <c r="H170" s="8">
        <v>130</v>
      </c>
      <c r="I170" s="8">
        <v>22830</v>
      </c>
      <c r="J170" s="8">
        <v>22617</v>
      </c>
      <c r="K170" s="8">
        <v>143</v>
      </c>
      <c r="L170" s="14" t="s">
        <v>62</v>
      </c>
      <c r="M170" s="16" t="s">
        <v>25</v>
      </c>
      <c r="N170">
        <f t="shared" si="2"/>
        <v>0.11489268506351293</v>
      </c>
    </row>
    <row r="171" spans="1:14" x14ac:dyDescent="0.3">
      <c r="A171" s="17" t="s">
        <v>340</v>
      </c>
      <c r="B171" s="18" t="s">
        <v>43</v>
      </c>
      <c r="C171" s="19">
        <v>45587</v>
      </c>
      <c r="D171" s="18" t="s">
        <v>45</v>
      </c>
      <c r="E171" s="18" t="s">
        <v>46</v>
      </c>
      <c r="F171" s="9">
        <v>3352</v>
      </c>
      <c r="G171" s="9">
        <v>941</v>
      </c>
      <c r="H171" s="9">
        <v>482</v>
      </c>
      <c r="I171" s="9">
        <v>43576</v>
      </c>
      <c r="J171" s="9">
        <v>43338</v>
      </c>
      <c r="K171" s="9">
        <v>240</v>
      </c>
      <c r="L171" s="18" t="s">
        <v>62</v>
      </c>
      <c r="M171" s="20" t="s">
        <v>25</v>
      </c>
      <c r="N171">
        <f t="shared" si="2"/>
        <v>0.1095786671562328</v>
      </c>
    </row>
    <row r="172" spans="1:14" x14ac:dyDescent="0.3">
      <c r="A172" s="13" t="s">
        <v>342</v>
      </c>
      <c r="B172" s="14" t="s">
        <v>27</v>
      </c>
      <c r="C172" s="15">
        <v>45496</v>
      </c>
      <c r="D172" s="14" t="s">
        <v>35</v>
      </c>
      <c r="E172" s="14" t="s">
        <v>154</v>
      </c>
      <c r="F172" s="8">
        <v>4775</v>
      </c>
      <c r="G172" s="8">
        <v>173</v>
      </c>
      <c r="H172" s="8">
        <v>206</v>
      </c>
      <c r="I172" s="8">
        <v>47750</v>
      </c>
      <c r="J172" s="8">
        <v>47544</v>
      </c>
      <c r="K172" s="8">
        <v>187</v>
      </c>
      <c r="L172" s="14" t="s">
        <v>62</v>
      </c>
      <c r="M172" s="16" t="s">
        <v>25</v>
      </c>
      <c r="N172">
        <f t="shared" si="2"/>
        <v>0.10793717277486911</v>
      </c>
    </row>
    <row r="173" spans="1:14" x14ac:dyDescent="0.3">
      <c r="A173" s="17" t="s">
        <v>344</v>
      </c>
      <c r="B173" s="18" t="s">
        <v>33</v>
      </c>
      <c r="C173" s="19">
        <v>45515</v>
      </c>
      <c r="D173" s="18" t="s">
        <v>35</v>
      </c>
      <c r="E173" s="18" t="s">
        <v>36</v>
      </c>
      <c r="F173" s="9">
        <v>1762</v>
      </c>
      <c r="G173" s="9">
        <v>405</v>
      </c>
      <c r="H173" s="9">
        <v>423</v>
      </c>
      <c r="I173" s="9">
        <v>22906</v>
      </c>
      <c r="J173" s="9">
        <v>21925</v>
      </c>
      <c r="K173" s="9">
        <v>25</v>
      </c>
      <c r="L173" s="18" t="s">
        <v>30</v>
      </c>
      <c r="M173" s="20" t="s">
        <v>19</v>
      </c>
      <c r="N173">
        <f t="shared" si="2"/>
        <v>0.11307081114118571</v>
      </c>
    </row>
    <row r="174" spans="1:14" x14ac:dyDescent="0.3">
      <c r="A174" s="13" t="s">
        <v>346</v>
      </c>
      <c r="B174" s="14" t="s">
        <v>43</v>
      </c>
      <c r="C174" s="15">
        <v>45621</v>
      </c>
      <c r="D174" s="14" t="s">
        <v>35</v>
      </c>
      <c r="E174" s="14" t="s">
        <v>71</v>
      </c>
      <c r="F174" s="8">
        <v>2120</v>
      </c>
      <c r="G174" s="8">
        <v>158</v>
      </c>
      <c r="H174" s="8">
        <v>488</v>
      </c>
      <c r="I174" s="8">
        <v>12720</v>
      </c>
      <c r="J174" s="8">
        <v>12085</v>
      </c>
      <c r="K174" s="8">
        <v>17</v>
      </c>
      <c r="L174" s="14" t="s">
        <v>62</v>
      </c>
      <c r="M174" s="16" t="s">
        <v>25</v>
      </c>
      <c r="N174">
        <f t="shared" si="2"/>
        <v>0.21745283018867925</v>
      </c>
    </row>
    <row r="175" spans="1:14" x14ac:dyDescent="0.3">
      <c r="A175" s="17" t="s">
        <v>347</v>
      </c>
      <c r="B175" s="18" t="s">
        <v>14</v>
      </c>
      <c r="C175" s="19">
        <v>45528</v>
      </c>
      <c r="D175" s="18" t="s">
        <v>74</v>
      </c>
      <c r="E175" s="18" t="s">
        <v>145</v>
      </c>
      <c r="F175" s="9">
        <v>1082</v>
      </c>
      <c r="G175" s="9">
        <v>209</v>
      </c>
      <c r="H175" s="9">
        <v>484</v>
      </c>
      <c r="I175" s="9">
        <v>19476</v>
      </c>
      <c r="J175" s="9">
        <v>18654</v>
      </c>
      <c r="K175" s="9">
        <v>20</v>
      </c>
      <c r="L175" s="18" t="s">
        <v>30</v>
      </c>
      <c r="M175" s="20"/>
      <c r="N175">
        <f t="shared" si="2"/>
        <v>9.1137810638734856E-2</v>
      </c>
    </row>
    <row r="176" spans="1:14" x14ac:dyDescent="0.3">
      <c r="A176" s="13" t="s">
        <v>349</v>
      </c>
      <c r="B176" s="14" t="s">
        <v>14</v>
      </c>
      <c r="C176" s="15">
        <v>45707</v>
      </c>
      <c r="D176" s="14" t="s">
        <v>22</v>
      </c>
      <c r="E176" s="14" t="s">
        <v>23</v>
      </c>
      <c r="F176" s="8">
        <v>4671</v>
      </c>
      <c r="G176" s="8">
        <v>876</v>
      </c>
      <c r="H176" s="8">
        <v>366</v>
      </c>
      <c r="I176" s="8">
        <v>51381</v>
      </c>
      <c r="J176" s="8">
        <v>50565</v>
      </c>
      <c r="K176" s="8">
        <v>245</v>
      </c>
      <c r="L176" s="14" t="s">
        <v>30</v>
      </c>
      <c r="M176" s="16" t="s">
        <v>38</v>
      </c>
      <c r="N176">
        <f t="shared" si="2"/>
        <v>0.11508145034156594</v>
      </c>
    </row>
    <row r="177" spans="1:14" x14ac:dyDescent="0.3">
      <c r="A177" s="17" t="s">
        <v>351</v>
      </c>
      <c r="B177" s="18" t="s">
        <v>43</v>
      </c>
      <c r="C177" s="19">
        <v>45748</v>
      </c>
      <c r="D177" s="18" t="s">
        <v>35</v>
      </c>
      <c r="E177" s="18" t="s">
        <v>71</v>
      </c>
      <c r="F177" s="9">
        <v>3430</v>
      </c>
      <c r="G177" s="9">
        <v>566</v>
      </c>
      <c r="H177" s="9">
        <v>164</v>
      </c>
      <c r="I177" s="9">
        <v>48020</v>
      </c>
      <c r="J177" s="9">
        <v>47305</v>
      </c>
      <c r="K177" s="9">
        <v>120</v>
      </c>
      <c r="L177" s="18" t="s">
        <v>62</v>
      </c>
      <c r="M177" s="20"/>
      <c r="N177">
        <f t="shared" si="2"/>
        <v>8.6630570595585168E-2</v>
      </c>
    </row>
    <row r="178" spans="1:14" x14ac:dyDescent="0.3">
      <c r="A178" s="13" t="s">
        <v>353</v>
      </c>
      <c r="B178" s="14" t="s">
        <v>33</v>
      </c>
      <c r="C178" s="15">
        <v>45755</v>
      </c>
      <c r="D178" s="14" t="s">
        <v>52</v>
      </c>
      <c r="E178" s="14" t="s">
        <v>215</v>
      </c>
      <c r="F178" s="8">
        <v>4501</v>
      </c>
      <c r="G178" s="8">
        <v>375</v>
      </c>
      <c r="H178" s="8">
        <v>323</v>
      </c>
      <c r="I178" s="8">
        <v>22505</v>
      </c>
      <c r="J178" s="8">
        <v>21836</v>
      </c>
      <c r="K178" s="8">
        <v>132</v>
      </c>
      <c r="L178" s="14" t="s">
        <v>30</v>
      </c>
      <c r="M178" s="16" t="s">
        <v>25</v>
      </c>
      <c r="N178">
        <f t="shared" si="2"/>
        <v>0.23101532992668297</v>
      </c>
    </row>
    <row r="179" spans="1:14" x14ac:dyDescent="0.3">
      <c r="A179" s="17" t="s">
        <v>355</v>
      </c>
      <c r="B179" s="18" t="s">
        <v>27</v>
      </c>
      <c r="C179" s="19">
        <v>45715</v>
      </c>
      <c r="D179" s="18" t="s">
        <v>22</v>
      </c>
      <c r="E179" s="18" t="s">
        <v>104</v>
      </c>
      <c r="F179" s="9">
        <v>4934</v>
      </c>
      <c r="G179" s="9">
        <v>971</v>
      </c>
      <c r="H179" s="9">
        <v>156</v>
      </c>
      <c r="I179" s="9">
        <v>39472</v>
      </c>
      <c r="J179" s="9">
        <v>39025</v>
      </c>
      <c r="K179" s="9">
        <v>169</v>
      </c>
      <c r="L179" s="18" t="s">
        <v>30</v>
      </c>
      <c r="M179" s="20" t="s">
        <v>38</v>
      </c>
      <c r="N179">
        <f t="shared" si="2"/>
        <v>0.15355188488042157</v>
      </c>
    </row>
    <row r="180" spans="1:14" x14ac:dyDescent="0.3">
      <c r="A180" s="13" t="s">
        <v>355</v>
      </c>
      <c r="B180" s="14" t="s">
        <v>27</v>
      </c>
      <c r="C180" s="15">
        <v>45715</v>
      </c>
      <c r="D180" s="14" t="s">
        <v>22</v>
      </c>
      <c r="E180" s="14" t="s">
        <v>104</v>
      </c>
      <c r="F180" s="8">
        <v>4934</v>
      </c>
      <c r="G180" s="8">
        <v>971</v>
      </c>
      <c r="H180" s="8">
        <v>156</v>
      </c>
      <c r="I180" s="8">
        <v>39472</v>
      </c>
      <c r="J180" s="8">
        <v>39025</v>
      </c>
      <c r="K180" s="8">
        <v>169</v>
      </c>
      <c r="L180" s="14" t="s">
        <v>613</v>
      </c>
      <c r="M180" s="16" t="s">
        <v>38</v>
      </c>
      <c r="N180">
        <f t="shared" si="2"/>
        <v>0.15355188488042157</v>
      </c>
    </row>
    <row r="181" spans="1:14" x14ac:dyDescent="0.3">
      <c r="A181" s="17" t="s">
        <v>356</v>
      </c>
      <c r="B181" s="18" t="s">
        <v>14</v>
      </c>
      <c r="C181" s="19">
        <v>45637</v>
      </c>
      <c r="D181" s="18" t="s">
        <v>22</v>
      </c>
      <c r="E181" s="18" t="s">
        <v>23</v>
      </c>
      <c r="F181" s="9">
        <v>3239</v>
      </c>
      <c r="G181" s="9">
        <v>43</v>
      </c>
      <c r="H181" s="9">
        <v>211</v>
      </c>
      <c r="I181" s="9">
        <v>22673</v>
      </c>
      <c r="J181" s="9">
        <v>22171</v>
      </c>
      <c r="K181" s="9">
        <v>230</v>
      </c>
      <c r="L181" s="18" t="s">
        <v>30</v>
      </c>
      <c r="M181" s="20" t="s">
        <v>25</v>
      </c>
      <c r="N181">
        <f t="shared" si="2"/>
        <v>0.15405989502933004</v>
      </c>
    </row>
    <row r="182" spans="1:14" x14ac:dyDescent="0.3">
      <c r="A182" s="13" t="s">
        <v>357</v>
      </c>
      <c r="B182" s="14" t="s">
        <v>14</v>
      </c>
      <c r="C182" s="15">
        <v>45704</v>
      </c>
      <c r="D182" s="14" t="s">
        <v>16</v>
      </c>
      <c r="E182" s="14" t="s">
        <v>17</v>
      </c>
      <c r="F182" s="8">
        <v>1076</v>
      </c>
      <c r="G182" s="8">
        <v>313</v>
      </c>
      <c r="H182" s="8">
        <v>306</v>
      </c>
      <c r="I182" s="8">
        <v>11836</v>
      </c>
      <c r="J182" s="8">
        <v>11596</v>
      </c>
      <c r="K182" s="8">
        <v>104</v>
      </c>
      <c r="L182" s="14" t="s">
        <v>62</v>
      </c>
      <c r="M182" s="16" t="s">
        <v>19</v>
      </c>
      <c r="N182">
        <f t="shared" si="2"/>
        <v>0.14320716458262928</v>
      </c>
    </row>
    <row r="183" spans="1:14" x14ac:dyDescent="0.3">
      <c r="A183" s="17" t="s">
        <v>358</v>
      </c>
      <c r="B183" s="18" t="s">
        <v>33</v>
      </c>
      <c r="C183" s="19">
        <v>45624</v>
      </c>
      <c r="D183" s="18" t="s">
        <v>22</v>
      </c>
      <c r="E183" s="18" t="s">
        <v>113</v>
      </c>
      <c r="F183" s="9">
        <v>4771</v>
      </c>
      <c r="G183" s="9">
        <v>818</v>
      </c>
      <c r="H183" s="9">
        <v>56</v>
      </c>
      <c r="I183" s="9">
        <v>57252</v>
      </c>
      <c r="J183" s="9">
        <v>56378</v>
      </c>
      <c r="K183" s="9">
        <v>150</v>
      </c>
      <c r="L183" s="18" t="s">
        <v>62</v>
      </c>
      <c r="M183" s="20"/>
      <c r="N183">
        <f t="shared" si="2"/>
        <v>9.859917557465242E-2</v>
      </c>
    </row>
    <row r="184" spans="1:14" x14ac:dyDescent="0.3">
      <c r="A184" s="13" t="s">
        <v>359</v>
      </c>
      <c r="B184" s="14" t="s">
        <v>43</v>
      </c>
      <c r="C184" s="15">
        <v>45608</v>
      </c>
      <c r="D184" s="14" t="s">
        <v>22</v>
      </c>
      <c r="E184" s="14" t="s">
        <v>56</v>
      </c>
      <c r="F184" s="8">
        <v>2418</v>
      </c>
      <c r="G184" s="8">
        <v>754</v>
      </c>
      <c r="H184" s="8">
        <v>54</v>
      </c>
      <c r="I184" s="8">
        <v>43524</v>
      </c>
      <c r="J184" s="8">
        <v>42743</v>
      </c>
      <c r="K184" s="8">
        <v>182</v>
      </c>
      <c r="L184" s="14" t="s">
        <v>37</v>
      </c>
      <c r="M184" s="16" t="s">
        <v>19</v>
      </c>
      <c r="N184">
        <f t="shared" si="2"/>
        <v>7.412002573292896E-2</v>
      </c>
    </row>
    <row r="185" spans="1:14" x14ac:dyDescent="0.3">
      <c r="A185" s="17" t="s">
        <v>361</v>
      </c>
      <c r="B185" s="18" t="s">
        <v>27</v>
      </c>
      <c r="C185" s="19">
        <v>45629</v>
      </c>
      <c r="D185" s="18" t="s">
        <v>74</v>
      </c>
      <c r="E185" s="18" t="s">
        <v>219</v>
      </c>
      <c r="F185" s="9">
        <v>3809</v>
      </c>
      <c r="G185" s="9">
        <v>273</v>
      </c>
      <c r="H185" s="9">
        <v>200</v>
      </c>
      <c r="I185" s="9">
        <v>34281</v>
      </c>
      <c r="J185" s="9">
        <v>33534</v>
      </c>
      <c r="K185" s="9">
        <v>83</v>
      </c>
      <c r="L185" s="18" t="s">
        <v>37</v>
      </c>
      <c r="M185" s="20" t="s">
        <v>19</v>
      </c>
      <c r="N185">
        <f t="shared" si="2"/>
        <v>0.12490884163239112</v>
      </c>
    </row>
    <row r="186" spans="1:14" x14ac:dyDescent="0.3">
      <c r="A186" s="13" t="s">
        <v>363</v>
      </c>
      <c r="B186" s="14" t="s">
        <v>14</v>
      </c>
      <c r="C186" s="15">
        <v>45775</v>
      </c>
      <c r="D186" s="14" t="s">
        <v>22</v>
      </c>
      <c r="E186" s="14" t="s">
        <v>23</v>
      </c>
      <c r="F186" s="8">
        <v>3577</v>
      </c>
      <c r="G186" s="8">
        <v>596</v>
      </c>
      <c r="H186" s="8">
        <v>493</v>
      </c>
      <c r="I186" s="8">
        <v>67963</v>
      </c>
      <c r="J186" s="8">
        <v>67839</v>
      </c>
      <c r="K186" s="8">
        <v>53</v>
      </c>
      <c r="L186" s="14" t="s">
        <v>30</v>
      </c>
      <c r="M186" s="16" t="s">
        <v>31</v>
      </c>
      <c r="N186">
        <f t="shared" si="2"/>
        <v>6.8655003457763777E-2</v>
      </c>
    </row>
    <row r="187" spans="1:14" x14ac:dyDescent="0.3">
      <c r="A187" s="17" t="s">
        <v>365</v>
      </c>
      <c r="B187" s="18" t="s">
        <v>27</v>
      </c>
      <c r="C187" s="19">
        <v>45657</v>
      </c>
      <c r="D187" s="18" t="s">
        <v>74</v>
      </c>
      <c r="E187" s="18" t="s">
        <v>219</v>
      </c>
      <c r="F187" s="9">
        <v>1018</v>
      </c>
      <c r="G187" s="9">
        <v>447</v>
      </c>
      <c r="H187" s="9">
        <v>332</v>
      </c>
      <c r="I187" s="9">
        <v>18324</v>
      </c>
      <c r="J187" s="9">
        <v>18164</v>
      </c>
      <c r="K187" s="9">
        <v>38</v>
      </c>
      <c r="L187" s="18" t="s">
        <v>62</v>
      </c>
      <c r="M187" s="20" t="s">
        <v>25</v>
      </c>
      <c r="N187">
        <f t="shared" si="2"/>
        <v>9.8068107400130972E-2</v>
      </c>
    </row>
    <row r="188" spans="1:14" x14ac:dyDescent="0.3">
      <c r="A188" s="13" t="s">
        <v>367</v>
      </c>
      <c r="B188" s="14" t="s">
        <v>43</v>
      </c>
      <c r="C188" s="15">
        <v>45518</v>
      </c>
      <c r="D188" s="14" t="s">
        <v>45</v>
      </c>
      <c r="E188" s="14" t="s">
        <v>46</v>
      </c>
      <c r="F188" s="8">
        <v>3073</v>
      </c>
      <c r="G188" s="8">
        <v>553</v>
      </c>
      <c r="H188" s="8">
        <v>174</v>
      </c>
      <c r="I188" s="8">
        <v>52241</v>
      </c>
      <c r="J188" s="8">
        <v>51605</v>
      </c>
      <c r="K188" s="8">
        <v>246</v>
      </c>
      <c r="L188" s="14" t="s">
        <v>37</v>
      </c>
      <c r="M188" s="16" t="s">
        <v>31</v>
      </c>
      <c r="N188">
        <f t="shared" si="2"/>
        <v>7.2739802071170159E-2</v>
      </c>
    </row>
    <row r="189" spans="1:14" x14ac:dyDescent="0.3">
      <c r="A189" s="17" t="s">
        <v>369</v>
      </c>
      <c r="B189" s="18" t="s">
        <v>14</v>
      </c>
      <c r="C189" s="19">
        <v>45631</v>
      </c>
      <c r="D189" s="18" t="s">
        <v>74</v>
      </c>
      <c r="E189" s="18" t="s">
        <v>145</v>
      </c>
      <c r="F189" s="9">
        <v>1330</v>
      </c>
      <c r="G189" s="9">
        <v>925</v>
      </c>
      <c r="H189" s="9">
        <v>35</v>
      </c>
      <c r="I189" s="9">
        <v>15960</v>
      </c>
      <c r="J189" s="9">
        <v>15379</v>
      </c>
      <c r="K189" s="9">
        <v>229</v>
      </c>
      <c r="L189" s="18" t="s">
        <v>62</v>
      </c>
      <c r="M189" s="20" t="s">
        <v>31</v>
      </c>
      <c r="N189">
        <f t="shared" si="2"/>
        <v>0.14348370927318296</v>
      </c>
    </row>
    <row r="190" spans="1:14" x14ac:dyDescent="0.3">
      <c r="A190" s="13" t="s">
        <v>371</v>
      </c>
      <c r="B190" s="14" t="s">
        <v>43</v>
      </c>
      <c r="C190" s="15">
        <v>45465</v>
      </c>
      <c r="D190" s="14" t="s">
        <v>22</v>
      </c>
      <c r="E190" s="14" t="s">
        <v>56</v>
      </c>
      <c r="F190" s="8">
        <v>3828</v>
      </c>
      <c r="G190" s="8">
        <v>148</v>
      </c>
      <c r="H190" s="8">
        <v>253</v>
      </c>
      <c r="I190" s="8">
        <v>30624</v>
      </c>
      <c r="J190" s="8">
        <v>30229</v>
      </c>
      <c r="K190" s="8">
        <v>235</v>
      </c>
      <c r="L190" s="14" t="s">
        <v>37</v>
      </c>
      <c r="M190" s="16"/>
      <c r="N190">
        <f t="shared" si="2"/>
        <v>0.13809430512016718</v>
      </c>
    </row>
    <row r="191" spans="1:14" x14ac:dyDescent="0.3">
      <c r="A191" s="17" t="s">
        <v>372</v>
      </c>
      <c r="B191" s="18" t="s">
        <v>33</v>
      </c>
      <c r="C191" s="19">
        <v>45674</v>
      </c>
      <c r="D191" s="18" t="s">
        <v>16</v>
      </c>
      <c r="E191" s="18" t="s">
        <v>82</v>
      </c>
      <c r="F191" s="9">
        <v>142</v>
      </c>
      <c r="G191" s="9">
        <v>784</v>
      </c>
      <c r="H191" s="9">
        <v>183</v>
      </c>
      <c r="I191" s="9">
        <v>1704</v>
      </c>
      <c r="J191" s="9">
        <v>995</v>
      </c>
      <c r="K191" s="9">
        <v>154</v>
      </c>
      <c r="L191" s="18" t="s">
        <v>62</v>
      </c>
      <c r="M191" s="20" t="s">
        <v>38</v>
      </c>
      <c r="N191">
        <f t="shared" si="2"/>
        <v>0.6508215962441315</v>
      </c>
    </row>
    <row r="192" spans="1:14" x14ac:dyDescent="0.3">
      <c r="A192" s="13" t="s">
        <v>374</v>
      </c>
      <c r="B192" s="14" t="s">
        <v>43</v>
      </c>
      <c r="C192" s="15">
        <v>45463</v>
      </c>
      <c r="D192" s="14" t="s">
        <v>74</v>
      </c>
      <c r="E192" s="14" t="s">
        <v>75</v>
      </c>
      <c r="F192" s="8">
        <v>3798</v>
      </c>
      <c r="G192" s="8">
        <v>31</v>
      </c>
      <c r="H192" s="8">
        <v>279</v>
      </c>
      <c r="I192" s="8">
        <v>75960</v>
      </c>
      <c r="J192" s="8">
        <v>75813</v>
      </c>
      <c r="K192" s="8">
        <v>266</v>
      </c>
      <c r="L192" s="14" t="s">
        <v>30</v>
      </c>
      <c r="M192" s="16" t="s">
        <v>19</v>
      </c>
      <c r="N192">
        <f t="shared" si="2"/>
        <v>5.4081095313322801E-2</v>
      </c>
    </row>
    <row r="193" spans="1:14" x14ac:dyDescent="0.3">
      <c r="A193" s="17" t="s">
        <v>376</v>
      </c>
      <c r="B193" s="18" t="s">
        <v>33</v>
      </c>
      <c r="C193" s="19">
        <v>45483</v>
      </c>
      <c r="D193" s="18" t="s">
        <v>45</v>
      </c>
      <c r="E193" s="18" t="s">
        <v>88</v>
      </c>
      <c r="F193" s="9">
        <v>3099</v>
      </c>
      <c r="G193" s="9">
        <v>694</v>
      </c>
      <c r="H193" s="9">
        <v>171</v>
      </c>
      <c r="I193" s="9">
        <v>43386</v>
      </c>
      <c r="J193" s="9">
        <v>42921</v>
      </c>
      <c r="K193" s="9">
        <v>52</v>
      </c>
      <c r="L193" s="18" t="s">
        <v>30</v>
      </c>
      <c r="M193" s="20" t="s">
        <v>31</v>
      </c>
      <c r="N193">
        <f t="shared" si="2"/>
        <v>9.1365878393951966E-2</v>
      </c>
    </row>
    <row r="194" spans="1:14" x14ac:dyDescent="0.3">
      <c r="A194" s="13" t="s">
        <v>378</v>
      </c>
      <c r="B194" s="14" t="s">
        <v>33</v>
      </c>
      <c r="C194" s="15">
        <v>45603</v>
      </c>
      <c r="D194" s="14" t="s">
        <v>74</v>
      </c>
      <c r="E194" s="14" t="s">
        <v>85</v>
      </c>
      <c r="F194" s="8">
        <v>129</v>
      </c>
      <c r="G194" s="8">
        <v>643</v>
      </c>
      <c r="H194" s="8">
        <v>136</v>
      </c>
      <c r="I194" s="8">
        <v>1290</v>
      </c>
      <c r="J194" s="8">
        <v>839</v>
      </c>
      <c r="K194" s="8">
        <v>238</v>
      </c>
      <c r="L194" s="14" t="s">
        <v>30</v>
      </c>
      <c r="M194" s="16" t="s">
        <v>38</v>
      </c>
      <c r="N194">
        <f t="shared" ref="N194:N257" si="3">(F194+G194+H194)/I194</f>
        <v>0.70387596899224802</v>
      </c>
    </row>
    <row r="195" spans="1:14" x14ac:dyDescent="0.3">
      <c r="A195" s="17" t="s">
        <v>379</v>
      </c>
      <c r="B195" s="18" t="s">
        <v>43</v>
      </c>
      <c r="C195" s="19">
        <v>45488</v>
      </c>
      <c r="D195" s="18" t="s">
        <v>45</v>
      </c>
      <c r="E195" s="18" t="s">
        <v>46</v>
      </c>
      <c r="F195" s="9">
        <v>3796</v>
      </c>
      <c r="G195" s="9">
        <v>667</v>
      </c>
      <c r="H195" s="9">
        <v>395</v>
      </c>
      <c r="I195" s="9">
        <v>64532</v>
      </c>
      <c r="J195" s="9">
        <v>63550</v>
      </c>
      <c r="K195" s="9">
        <v>292</v>
      </c>
      <c r="L195" s="18" t="s">
        <v>30</v>
      </c>
      <c r="M195" s="20"/>
      <c r="N195">
        <f t="shared" si="3"/>
        <v>7.5280481001673588E-2</v>
      </c>
    </row>
    <row r="196" spans="1:14" x14ac:dyDescent="0.3">
      <c r="A196" s="13" t="s">
        <v>380</v>
      </c>
      <c r="B196" s="14" t="s">
        <v>27</v>
      </c>
      <c r="C196" s="15">
        <v>45629</v>
      </c>
      <c r="D196" s="14" t="s">
        <v>22</v>
      </c>
      <c r="E196" s="14" t="s">
        <v>104</v>
      </c>
      <c r="F196" s="8">
        <v>3711</v>
      </c>
      <c r="G196" s="8">
        <v>352</v>
      </c>
      <c r="H196" s="8">
        <v>290</v>
      </c>
      <c r="I196" s="8">
        <v>48243</v>
      </c>
      <c r="J196" s="8">
        <v>47579</v>
      </c>
      <c r="K196" s="8">
        <v>11</v>
      </c>
      <c r="L196" s="14" t="s">
        <v>30</v>
      </c>
      <c r="M196" s="16" t="s">
        <v>19</v>
      </c>
      <c r="N196">
        <f t="shared" si="3"/>
        <v>9.023070704558174E-2</v>
      </c>
    </row>
    <row r="197" spans="1:14" x14ac:dyDescent="0.3">
      <c r="A197" s="17" t="s">
        <v>381</v>
      </c>
      <c r="B197" s="18" t="s">
        <v>27</v>
      </c>
      <c r="C197" s="19">
        <v>45737</v>
      </c>
      <c r="D197" s="18" t="s">
        <v>52</v>
      </c>
      <c r="E197" s="18" t="s">
        <v>53</v>
      </c>
      <c r="F197" s="9">
        <v>606</v>
      </c>
      <c r="G197" s="9">
        <v>789</v>
      </c>
      <c r="H197" s="9">
        <v>470</v>
      </c>
      <c r="I197" s="9">
        <v>7878</v>
      </c>
      <c r="J197" s="9">
        <v>7389</v>
      </c>
      <c r="K197" s="9">
        <v>239</v>
      </c>
      <c r="L197" s="18" t="s">
        <v>37</v>
      </c>
      <c r="M197" s="20" t="s">
        <v>31</v>
      </c>
      <c r="N197">
        <f t="shared" si="3"/>
        <v>0.23673521198273673</v>
      </c>
    </row>
    <row r="198" spans="1:14" x14ac:dyDescent="0.3">
      <c r="A198" s="13" t="s">
        <v>383</v>
      </c>
      <c r="B198" s="14" t="s">
        <v>43</v>
      </c>
      <c r="C198" s="15">
        <v>45504</v>
      </c>
      <c r="D198" s="14" t="s">
        <v>52</v>
      </c>
      <c r="E198" s="14" t="s">
        <v>59</v>
      </c>
      <c r="F198" s="8">
        <v>4689</v>
      </c>
      <c r="G198" s="8">
        <v>134</v>
      </c>
      <c r="H198" s="8">
        <v>403</v>
      </c>
      <c r="I198" s="8">
        <v>51579</v>
      </c>
      <c r="J198" s="8">
        <v>50924</v>
      </c>
      <c r="K198" s="8">
        <v>173</v>
      </c>
      <c r="L198" s="14" t="s">
        <v>30</v>
      </c>
      <c r="M198" s="16" t="s">
        <v>38</v>
      </c>
      <c r="N198">
        <f t="shared" si="3"/>
        <v>0.10132030477519921</v>
      </c>
    </row>
    <row r="199" spans="1:14" x14ac:dyDescent="0.3">
      <c r="A199" s="17" t="s">
        <v>384</v>
      </c>
      <c r="B199" s="18" t="s">
        <v>33</v>
      </c>
      <c r="C199" s="19">
        <v>45643</v>
      </c>
      <c r="D199" s="18" t="s">
        <v>35</v>
      </c>
      <c r="E199" s="18" t="s">
        <v>36</v>
      </c>
      <c r="F199" s="9">
        <v>360</v>
      </c>
      <c r="G199" s="9">
        <v>590</v>
      </c>
      <c r="H199" s="9">
        <v>393</v>
      </c>
      <c r="I199" s="9">
        <v>4680</v>
      </c>
      <c r="J199" s="9">
        <v>4322</v>
      </c>
      <c r="K199" s="9">
        <v>208</v>
      </c>
      <c r="L199" s="18" t="s">
        <v>62</v>
      </c>
      <c r="M199" s="20" t="s">
        <v>25</v>
      </c>
      <c r="N199">
        <f t="shared" si="3"/>
        <v>0.28696581196581195</v>
      </c>
    </row>
    <row r="200" spans="1:14" x14ac:dyDescent="0.3">
      <c r="A200" s="13" t="s">
        <v>386</v>
      </c>
      <c r="B200" s="14" t="s">
        <v>14</v>
      </c>
      <c r="C200" s="15">
        <v>45501</v>
      </c>
      <c r="D200" s="14" t="s">
        <v>52</v>
      </c>
      <c r="E200" s="14" t="s">
        <v>132</v>
      </c>
      <c r="F200" s="8">
        <v>3215</v>
      </c>
      <c r="G200" s="8">
        <v>960</v>
      </c>
      <c r="H200" s="8">
        <v>202</v>
      </c>
      <c r="I200" s="8">
        <v>32150</v>
      </c>
      <c r="J200" s="8">
        <v>31404</v>
      </c>
      <c r="K200" s="8">
        <v>251</v>
      </c>
      <c r="L200" s="14" t="s">
        <v>37</v>
      </c>
      <c r="M200" s="16" t="s">
        <v>19</v>
      </c>
      <c r="N200">
        <f t="shared" si="3"/>
        <v>0.13614307931570763</v>
      </c>
    </row>
    <row r="201" spans="1:14" x14ac:dyDescent="0.3">
      <c r="A201" s="17" t="s">
        <v>388</v>
      </c>
      <c r="B201" s="18" t="s">
        <v>33</v>
      </c>
      <c r="C201" s="19">
        <v>45668</v>
      </c>
      <c r="D201" s="18" t="s">
        <v>45</v>
      </c>
      <c r="E201" s="18" t="s">
        <v>88</v>
      </c>
      <c r="F201" s="9">
        <v>4523</v>
      </c>
      <c r="G201" s="9">
        <v>61</v>
      </c>
      <c r="H201" s="9">
        <v>157</v>
      </c>
      <c r="I201" s="9">
        <v>49753</v>
      </c>
      <c r="J201" s="9">
        <v>49329</v>
      </c>
      <c r="K201" s="9">
        <v>71</v>
      </c>
      <c r="L201" s="18" t="s">
        <v>37</v>
      </c>
      <c r="M201" s="20"/>
      <c r="N201">
        <f t="shared" si="3"/>
        <v>9.5290736237010829E-2</v>
      </c>
    </row>
    <row r="202" spans="1:14" x14ac:dyDescent="0.3">
      <c r="A202" s="13" t="s">
        <v>390</v>
      </c>
      <c r="B202" s="14" t="s">
        <v>43</v>
      </c>
      <c r="C202" s="15">
        <v>45528</v>
      </c>
      <c r="D202" s="14" t="s">
        <v>45</v>
      </c>
      <c r="E202" s="14" t="s">
        <v>46</v>
      </c>
      <c r="F202" s="8">
        <v>4292</v>
      </c>
      <c r="G202" s="8">
        <v>51</v>
      </c>
      <c r="H202" s="8">
        <v>392</v>
      </c>
      <c r="I202" s="8">
        <v>55796</v>
      </c>
      <c r="J202" s="8">
        <v>54826</v>
      </c>
      <c r="K202" s="8">
        <v>264</v>
      </c>
      <c r="L202" s="14" t="s">
        <v>37</v>
      </c>
      <c r="M202" s="16" t="s">
        <v>31</v>
      </c>
      <c r="N202">
        <f t="shared" si="3"/>
        <v>8.4862714173059003E-2</v>
      </c>
    </row>
    <row r="203" spans="1:14" x14ac:dyDescent="0.3">
      <c r="A203" s="17" t="s">
        <v>391</v>
      </c>
      <c r="B203" s="18" t="s">
        <v>14</v>
      </c>
      <c r="C203" s="19">
        <v>45648</v>
      </c>
      <c r="D203" s="18" t="s">
        <v>16</v>
      </c>
      <c r="E203" s="18" t="s">
        <v>17</v>
      </c>
      <c r="F203" s="9">
        <v>1644</v>
      </c>
      <c r="G203" s="9">
        <v>546</v>
      </c>
      <c r="H203" s="9">
        <v>150</v>
      </c>
      <c r="I203" s="9">
        <v>27948</v>
      </c>
      <c r="J203" s="9">
        <v>27184</v>
      </c>
      <c r="K203" s="9">
        <v>300</v>
      </c>
      <c r="L203" s="18" t="s">
        <v>37</v>
      </c>
      <c r="M203" s="20" t="s">
        <v>31</v>
      </c>
      <c r="N203">
        <f t="shared" si="3"/>
        <v>8.3726921425504502E-2</v>
      </c>
    </row>
    <row r="204" spans="1:14" x14ac:dyDescent="0.3">
      <c r="A204" s="13" t="s">
        <v>393</v>
      </c>
      <c r="B204" s="14" t="s">
        <v>27</v>
      </c>
      <c r="C204" s="15">
        <v>45449</v>
      </c>
      <c r="D204" s="14" t="s">
        <v>16</v>
      </c>
      <c r="E204" s="14" t="s">
        <v>29</v>
      </c>
      <c r="F204" s="8">
        <v>2728</v>
      </c>
      <c r="G204" s="8">
        <v>533</v>
      </c>
      <c r="H204" s="8">
        <v>215</v>
      </c>
      <c r="I204" s="8">
        <v>40920</v>
      </c>
      <c r="J204" s="8">
        <v>40816</v>
      </c>
      <c r="K204" s="8">
        <v>137</v>
      </c>
      <c r="L204" s="14" t="s">
        <v>62</v>
      </c>
      <c r="M204" s="16" t="s">
        <v>25</v>
      </c>
      <c r="N204">
        <f t="shared" si="3"/>
        <v>8.4946236559139784E-2</v>
      </c>
    </row>
    <row r="205" spans="1:14" x14ac:dyDescent="0.3">
      <c r="A205" s="17" t="s">
        <v>394</v>
      </c>
      <c r="B205" s="18" t="s">
        <v>43</v>
      </c>
      <c r="C205" s="19">
        <v>45740</v>
      </c>
      <c r="D205" s="18" t="s">
        <v>16</v>
      </c>
      <c r="E205" s="18" t="s">
        <v>65</v>
      </c>
      <c r="F205" s="9">
        <v>3360</v>
      </c>
      <c r="G205" s="9">
        <v>525</v>
      </c>
      <c r="H205" s="9">
        <v>500</v>
      </c>
      <c r="I205" s="9">
        <v>60480</v>
      </c>
      <c r="J205" s="9">
        <v>59610</v>
      </c>
      <c r="K205" s="9">
        <v>192</v>
      </c>
      <c r="L205" s="18" t="s">
        <v>30</v>
      </c>
      <c r="M205" s="20" t="s">
        <v>19</v>
      </c>
      <c r="N205">
        <f t="shared" si="3"/>
        <v>7.2503306878306875E-2</v>
      </c>
    </row>
    <row r="206" spans="1:14" x14ac:dyDescent="0.3">
      <c r="A206" s="13" t="s">
        <v>395</v>
      </c>
      <c r="B206" s="14" t="s">
        <v>27</v>
      </c>
      <c r="C206" s="15">
        <v>45569</v>
      </c>
      <c r="D206" s="14" t="s">
        <v>22</v>
      </c>
      <c r="E206" s="14" t="s">
        <v>104</v>
      </c>
      <c r="F206" s="8">
        <v>1963</v>
      </c>
      <c r="G206" s="8">
        <v>213</v>
      </c>
      <c r="H206" s="8">
        <v>19</v>
      </c>
      <c r="I206" s="8">
        <v>39260</v>
      </c>
      <c r="J206" s="8">
        <v>38771</v>
      </c>
      <c r="K206" s="8">
        <v>145</v>
      </c>
      <c r="L206" s="14" t="s">
        <v>62</v>
      </c>
      <c r="M206" s="16"/>
      <c r="N206">
        <f t="shared" si="3"/>
        <v>5.5909322465613857E-2</v>
      </c>
    </row>
    <row r="207" spans="1:14" x14ac:dyDescent="0.3">
      <c r="A207" s="17" t="s">
        <v>397</v>
      </c>
      <c r="B207" s="18" t="s">
        <v>27</v>
      </c>
      <c r="C207" s="19">
        <v>45629</v>
      </c>
      <c r="D207" s="18" t="s">
        <v>35</v>
      </c>
      <c r="E207" s="18" t="s">
        <v>154</v>
      </c>
      <c r="F207" s="9">
        <v>4285</v>
      </c>
      <c r="G207" s="9">
        <v>886</v>
      </c>
      <c r="H207" s="9">
        <v>376</v>
      </c>
      <c r="I207" s="9">
        <v>55705</v>
      </c>
      <c r="J207" s="9">
        <v>55556</v>
      </c>
      <c r="K207" s="9">
        <v>51</v>
      </c>
      <c r="L207" s="18" t="s">
        <v>62</v>
      </c>
      <c r="M207" s="20" t="s">
        <v>31</v>
      </c>
      <c r="N207">
        <f t="shared" si="3"/>
        <v>9.9578134817341346E-2</v>
      </c>
    </row>
    <row r="208" spans="1:14" x14ac:dyDescent="0.3">
      <c r="A208" s="13" t="s">
        <v>398</v>
      </c>
      <c r="B208" s="14" t="s">
        <v>33</v>
      </c>
      <c r="C208" s="15">
        <v>45625</v>
      </c>
      <c r="D208" s="14" t="s">
        <v>74</v>
      </c>
      <c r="E208" s="14" t="s">
        <v>85</v>
      </c>
      <c r="F208" s="8">
        <v>1176</v>
      </c>
      <c r="G208" s="8">
        <v>464</v>
      </c>
      <c r="H208" s="8">
        <v>394</v>
      </c>
      <c r="I208" s="8">
        <v>14112</v>
      </c>
      <c r="J208" s="8">
        <v>13588</v>
      </c>
      <c r="K208" s="8">
        <v>272</v>
      </c>
      <c r="L208" s="14" t="s">
        <v>37</v>
      </c>
      <c r="M208" s="16"/>
      <c r="N208">
        <f t="shared" si="3"/>
        <v>0.1441326530612245</v>
      </c>
    </row>
    <row r="209" spans="1:14" x14ac:dyDescent="0.3">
      <c r="A209" s="17" t="s">
        <v>400</v>
      </c>
      <c r="B209" s="18" t="s">
        <v>14</v>
      </c>
      <c r="C209" s="19">
        <v>45546</v>
      </c>
      <c r="D209" s="18" t="s">
        <v>52</v>
      </c>
      <c r="E209" s="18" t="s">
        <v>132</v>
      </c>
      <c r="F209" s="9">
        <v>4858</v>
      </c>
      <c r="G209" s="9">
        <v>317</v>
      </c>
      <c r="H209" s="9">
        <v>129</v>
      </c>
      <c r="I209" s="9">
        <v>53438</v>
      </c>
      <c r="J209" s="9">
        <v>52687</v>
      </c>
      <c r="K209" s="9">
        <v>223</v>
      </c>
      <c r="L209" s="18" t="s">
        <v>37</v>
      </c>
      <c r="M209" s="20" t="s">
        <v>31</v>
      </c>
      <c r="N209">
        <f t="shared" si="3"/>
        <v>9.9255211647142488E-2</v>
      </c>
    </row>
    <row r="210" spans="1:14" x14ac:dyDescent="0.3">
      <c r="A210" s="13" t="s">
        <v>402</v>
      </c>
      <c r="B210" s="14" t="s">
        <v>27</v>
      </c>
      <c r="C210" s="15">
        <v>45567</v>
      </c>
      <c r="D210" s="14" t="s">
        <v>35</v>
      </c>
      <c r="E210" s="14" t="s">
        <v>154</v>
      </c>
      <c r="F210" s="8">
        <v>4350</v>
      </c>
      <c r="G210" s="8">
        <v>771</v>
      </c>
      <c r="H210" s="8">
        <v>7</v>
      </c>
      <c r="I210" s="8">
        <v>60900</v>
      </c>
      <c r="J210" s="8">
        <v>60592</v>
      </c>
      <c r="K210" s="8">
        <v>195</v>
      </c>
      <c r="L210" s="14" t="s">
        <v>37</v>
      </c>
      <c r="M210" s="16" t="s">
        <v>19</v>
      </c>
      <c r="N210">
        <f t="shared" si="3"/>
        <v>8.4203612479474554E-2</v>
      </c>
    </row>
    <row r="211" spans="1:14" x14ac:dyDescent="0.3">
      <c r="A211" s="17" t="s">
        <v>403</v>
      </c>
      <c r="B211" s="18" t="s">
        <v>33</v>
      </c>
      <c r="C211" s="19">
        <v>45519</v>
      </c>
      <c r="D211" s="18" t="s">
        <v>45</v>
      </c>
      <c r="E211" s="18" t="s">
        <v>88</v>
      </c>
      <c r="F211" s="9">
        <v>914</v>
      </c>
      <c r="G211" s="9">
        <v>464</v>
      </c>
      <c r="H211" s="9">
        <v>246</v>
      </c>
      <c r="I211" s="9">
        <v>11882</v>
      </c>
      <c r="J211" s="9">
        <v>11500</v>
      </c>
      <c r="K211" s="9">
        <v>282</v>
      </c>
      <c r="L211" s="18" t="s">
        <v>62</v>
      </c>
      <c r="M211" s="20" t="s">
        <v>38</v>
      </c>
      <c r="N211">
        <f t="shared" si="3"/>
        <v>0.13667732704931829</v>
      </c>
    </row>
    <row r="212" spans="1:14" x14ac:dyDescent="0.3">
      <c r="A212" s="13" t="s">
        <v>403</v>
      </c>
      <c r="B212" s="14" t="s">
        <v>33</v>
      </c>
      <c r="C212" s="15">
        <v>45519</v>
      </c>
      <c r="D212" s="14" t="s">
        <v>45</v>
      </c>
      <c r="E212" s="14" t="s">
        <v>88</v>
      </c>
      <c r="F212" s="8">
        <v>914</v>
      </c>
      <c r="G212" s="8">
        <v>464</v>
      </c>
      <c r="H212" s="8">
        <v>246</v>
      </c>
      <c r="I212" s="8">
        <v>11882</v>
      </c>
      <c r="J212" s="8">
        <v>11500</v>
      </c>
      <c r="K212" s="8">
        <v>282</v>
      </c>
      <c r="L212" s="14" t="s">
        <v>30</v>
      </c>
      <c r="M212" s="16" t="s">
        <v>38</v>
      </c>
      <c r="N212">
        <f t="shared" si="3"/>
        <v>0.13667732704931829</v>
      </c>
    </row>
    <row r="213" spans="1:14" x14ac:dyDescent="0.3">
      <c r="A213" s="17" t="s">
        <v>403</v>
      </c>
      <c r="B213" s="18" t="s">
        <v>33</v>
      </c>
      <c r="C213" s="19">
        <v>45519</v>
      </c>
      <c r="D213" s="18" t="s">
        <v>45</v>
      </c>
      <c r="E213" s="18" t="s">
        <v>88</v>
      </c>
      <c r="F213" s="9">
        <v>914</v>
      </c>
      <c r="G213" s="9">
        <v>464</v>
      </c>
      <c r="H213" s="9">
        <v>246</v>
      </c>
      <c r="I213" s="9">
        <v>11882</v>
      </c>
      <c r="J213" s="9">
        <v>11500</v>
      </c>
      <c r="K213" s="9">
        <v>282</v>
      </c>
      <c r="L213" s="18" t="s">
        <v>613</v>
      </c>
      <c r="M213" s="20" t="s">
        <v>38</v>
      </c>
      <c r="N213">
        <f t="shared" si="3"/>
        <v>0.13667732704931829</v>
      </c>
    </row>
    <row r="214" spans="1:14" x14ac:dyDescent="0.3">
      <c r="A214" s="13" t="s">
        <v>405</v>
      </c>
      <c r="B214" s="14" t="s">
        <v>33</v>
      </c>
      <c r="C214" s="15">
        <v>45645</v>
      </c>
      <c r="D214" s="14" t="s">
        <v>22</v>
      </c>
      <c r="E214" s="14" t="s">
        <v>113</v>
      </c>
      <c r="F214" s="8">
        <v>1813</v>
      </c>
      <c r="G214" s="8">
        <v>623</v>
      </c>
      <c r="H214" s="8">
        <v>72</v>
      </c>
      <c r="I214" s="8">
        <v>19943</v>
      </c>
      <c r="J214" s="8">
        <v>18959</v>
      </c>
      <c r="K214" s="8">
        <v>85</v>
      </c>
      <c r="L214" s="14" t="s">
        <v>37</v>
      </c>
      <c r="M214" s="16" t="s">
        <v>31</v>
      </c>
      <c r="N214">
        <f t="shared" si="3"/>
        <v>0.12575841147269717</v>
      </c>
    </row>
    <row r="215" spans="1:14" x14ac:dyDescent="0.3">
      <c r="A215" s="17" t="s">
        <v>407</v>
      </c>
      <c r="B215" s="18" t="s">
        <v>14</v>
      </c>
      <c r="C215" s="19">
        <v>45587</v>
      </c>
      <c r="D215" s="18" t="s">
        <v>16</v>
      </c>
      <c r="E215" s="18" t="s">
        <v>17</v>
      </c>
      <c r="F215" s="9">
        <v>4782</v>
      </c>
      <c r="G215" s="9">
        <v>721</v>
      </c>
      <c r="H215" s="9">
        <v>82</v>
      </c>
      <c r="I215" s="9">
        <v>86076</v>
      </c>
      <c r="J215" s="9">
        <v>85339</v>
      </c>
      <c r="K215" s="9">
        <v>19</v>
      </c>
      <c r="L215" s="18" t="s">
        <v>37</v>
      </c>
      <c r="M215" s="20" t="s">
        <v>19</v>
      </c>
      <c r="N215">
        <f t="shared" si="3"/>
        <v>6.4884520656164318E-2</v>
      </c>
    </row>
    <row r="216" spans="1:14" x14ac:dyDescent="0.3">
      <c r="A216" s="13" t="s">
        <v>408</v>
      </c>
      <c r="B216" s="14" t="s">
        <v>14</v>
      </c>
      <c r="C216" s="15">
        <v>45549</v>
      </c>
      <c r="D216" s="14" t="s">
        <v>52</v>
      </c>
      <c r="E216" s="14" t="s">
        <v>132</v>
      </c>
      <c r="F216" s="8">
        <v>1048</v>
      </c>
      <c r="G216" s="8">
        <v>374</v>
      </c>
      <c r="H216" s="8">
        <v>450</v>
      </c>
      <c r="I216" s="8">
        <v>9432</v>
      </c>
      <c r="J216" s="8">
        <v>8882</v>
      </c>
      <c r="K216" s="8">
        <v>158</v>
      </c>
      <c r="L216" s="14" t="s">
        <v>30</v>
      </c>
      <c r="M216" s="16" t="s">
        <v>31</v>
      </c>
      <c r="N216">
        <f t="shared" si="3"/>
        <v>0.19847328244274809</v>
      </c>
    </row>
    <row r="217" spans="1:14" x14ac:dyDescent="0.3">
      <c r="A217" s="17" t="s">
        <v>410</v>
      </c>
      <c r="B217" s="18" t="s">
        <v>27</v>
      </c>
      <c r="C217" s="19">
        <v>45626</v>
      </c>
      <c r="D217" s="18" t="s">
        <v>45</v>
      </c>
      <c r="E217" s="18" t="s">
        <v>68</v>
      </c>
      <c r="F217" s="9">
        <v>2509</v>
      </c>
      <c r="G217" s="9">
        <v>324</v>
      </c>
      <c r="H217" s="9">
        <v>171</v>
      </c>
      <c r="I217" s="9">
        <v>35126</v>
      </c>
      <c r="J217" s="9">
        <v>34685</v>
      </c>
      <c r="K217" s="9">
        <v>277</v>
      </c>
      <c r="L217" s="18" t="s">
        <v>30</v>
      </c>
      <c r="M217" s="20" t="s">
        <v>25</v>
      </c>
      <c r="N217">
        <f t="shared" si="3"/>
        <v>8.5520696919660646E-2</v>
      </c>
    </row>
    <row r="218" spans="1:14" x14ac:dyDescent="0.3">
      <c r="A218" s="13" t="s">
        <v>411</v>
      </c>
      <c r="B218" s="14" t="s">
        <v>43</v>
      </c>
      <c r="C218" s="15">
        <v>45754</v>
      </c>
      <c r="D218" s="14" t="s">
        <v>16</v>
      </c>
      <c r="E218" s="14" t="s">
        <v>65</v>
      </c>
      <c r="F218" s="8">
        <v>3718</v>
      </c>
      <c r="G218" s="8">
        <v>385</v>
      </c>
      <c r="H218" s="8">
        <v>310</v>
      </c>
      <c r="I218" s="8">
        <v>70642</v>
      </c>
      <c r="J218" s="8">
        <v>69749</v>
      </c>
      <c r="K218" s="8">
        <v>233</v>
      </c>
      <c r="L218" s="14" t="s">
        <v>30</v>
      </c>
      <c r="M218" s="16" t="s">
        <v>25</v>
      </c>
      <c r="N218">
        <f t="shared" si="3"/>
        <v>6.246991874522239E-2</v>
      </c>
    </row>
    <row r="219" spans="1:14" x14ac:dyDescent="0.3">
      <c r="A219" s="17" t="s">
        <v>413</v>
      </c>
      <c r="B219" s="18" t="s">
        <v>14</v>
      </c>
      <c r="C219" s="19">
        <v>45672</v>
      </c>
      <c r="D219" s="18" t="s">
        <v>16</v>
      </c>
      <c r="E219" s="18" t="s">
        <v>17</v>
      </c>
      <c r="F219" s="9">
        <v>802</v>
      </c>
      <c r="G219" s="9">
        <v>262</v>
      </c>
      <c r="H219" s="9">
        <v>244</v>
      </c>
      <c r="I219" s="9">
        <v>14436</v>
      </c>
      <c r="J219" s="9">
        <v>14280</v>
      </c>
      <c r="K219" s="9">
        <v>49</v>
      </c>
      <c r="L219" s="18" t="s">
        <v>37</v>
      </c>
      <c r="M219" s="20" t="s">
        <v>19</v>
      </c>
      <c r="N219">
        <f t="shared" si="3"/>
        <v>9.0606816292601824E-2</v>
      </c>
    </row>
    <row r="220" spans="1:14" x14ac:dyDescent="0.3">
      <c r="A220" s="13" t="s">
        <v>415</v>
      </c>
      <c r="B220" s="14" t="s">
        <v>43</v>
      </c>
      <c r="C220" s="15">
        <v>45445</v>
      </c>
      <c r="D220" s="14" t="s">
        <v>52</v>
      </c>
      <c r="E220" s="14" t="s">
        <v>59</v>
      </c>
      <c r="F220" s="8">
        <v>1871</v>
      </c>
      <c r="G220" s="8">
        <v>252</v>
      </c>
      <c r="H220" s="8">
        <v>335</v>
      </c>
      <c r="I220" s="8">
        <v>29936</v>
      </c>
      <c r="J220" s="8">
        <v>29576</v>
      </c>
      <c r="K220" s="8">
        <v>288</v>
      </c>
      <c r="L220" s="14" t="s">
        <v>37</v>
      </c>
      <c r="M220" s="16" t="s">
        <v>31</v>
      </c>
      <c r="N220">
        <f t="shared" si="3"/>
        <v>8.2108498129342594E-2</v>
      </c>
    </row>
    <row r="221" spans="1:14" x14ac:dyDescent="0.3">
      <c r="A221" s="17" t="s">
        <v>417</v>
      </c>
      <c r="B221" s="18" t="s">
        <v>33</v>
      </c>
      <c r="C221" s="19">
        <v>45617</v>
      </c>
      <c r="D221" s="18" t="s">
        <v>45</v>
      </c>
      <c r="E221" s="18" t="s">
        <v>88</v>
      </c>
      <c r="F221" s="9">
        <v>3773</v>
      </c>
      <c r="G221" s="9">
        <v>299</v>
      </c>
      <c r="H221" s="9">
        <v>38</v>
      </c>
      <c r="I221" s="9">
        <v>71687</v>
      </c>
      <c r="J221" s="9">
        <v>71447</v>
      </c>
      <c r="K221" s="9">
        <v>286</v>
      </c>
      <c r="L221" s="18" t="s">
        <v>62</v>
      </c>
      <c r="M221" s="20" t="s">
        <v>19</v>
      </c>
      <c r="N221">
        <f t="shared" si="3"/>
        <v>5.7332570758993957E-2</v>
      </c>
    </row>
    <row r="222" spans="1:14" x14ac:dyDescent="0.3">
      <c r="A222" s="13" t="s">
        <v>419</v>
      </c>
      <c r="B222" s="14" t="s">
        <v>33</v>
      </c>
      <c r="C222" s="15">
        <v>45658</v>
      </c>
      <c r="D222" s="14" t="s">
        <v>45</v>
      </c>
      <c r="E222" s="14" t="s">
        <v>88</v>
      </c>
      <c r="F222" s="8">
        <v>2234</v>
      </c>
      <c r="G222" s="8">
        <v>653</v>
      </c>
      <c r="H222" s="8">
        <v>432</v>
      </c>
      <c r="I222" s="8">
        <v>11170</v>
      </c>
      <c r="J222" s="8">
        <v>10569</v>
      </c>
      <c r="K222" s="8">
        <v>198</v>
      </c>
      <c r="L222" s="14" t="s">
        <v>62</v>
      </c>
      <c r="M222" s="16" t="s">
        <v>31</v>
      </c>
      <c r="N222">
        <f t="shared" si="3"/>
        <v>0.29713518352730528</v>
      </c>
    </row>
    <row r="223" spans="1:14" x14ac:dyDescent="0.3">
      <c r="A223" s="17" t="s">
        <v>420</v>
      </c>
      <c r="B223" s="18" t="s">
        <v>14</v>
      </c>
      <c r="C223" s="19">
        <v>45771</v>
      </c>
      <c r="D223" s="18" t="s">
        <v>74</v>
      </c>
      <c r="E223" s="18" t="s">
        <v>145</v>
      </c>
      <c r="F223" s="9">
        <v>3820</v>
      </c>
      <c r="G223" s="9">
        <v>697</v>
      </c>
      <c r="H223" s="9">
        <v>268</v>
      </c>
      <c r="I223" s="9">
        <v>45840</v>
      </c>
      <c r="J223" s="9">
        <v>45631</v>
      </c>
      <c r="K223" s="9">
        <v>171</v>
      </c>
      <c r="L223" s="18" t="s">
        <v>30</v>
      </c>
      <c r="M223" s="20" t="s">
        <v>38</v>
      </c>
      <c r="N223">
        <f t="shared" si="3"/>
        <v>0.1043848167539267</v>
      </c>
    </row>
    <row r="224" spans="1:14" x14ac:dyDescent="0.3">
      <c r="A224" s="13" t="s">
        <v>420</v>
      </c>
      <c r="B224" s="14" t="s">
        <v>14</v>
      </c>
      <c r="C224" s="15">
        <v>45771</v>
      </c>
      <c r="D224" s="14" t="s">
        <v>74</v>
      </c>
      <c r="E224" s="14" t="s">
        <v>145</v>
      </c>
      <c r="F224" s="8">
        <v>3820</v>
      </c>
      <c r="G224" s="8">
        <v>697</v>
      </c>
      <c r="H224" s="8">
        <v>268</v>
      </c>
      <c r="I224" s="8">
        <v>45840</v>
      </c>
      <c r="J224" s="8">
        <v>45631</v>
      </c>
      <c r="K224" s="8">
        <v>171</v>
      </c>
      <c r="L224" s="14" t="s">
        <v>607</v>
      </c>
      <c r="M224" s="16" t="s">
        <v>38</v>
      </c>
      <c r="N224">
        <f t="shared" si="3"/>
        <v>0.1043848167539267</v>
      </c>
    </row>
    <row r="225" spans="1:14" x14ac:dyDescent="0.3">
      <c r="A225" s="17" t="s">
        <v>422</v>
      </c>
      <c r="B225" s="18" t="s">
        <v>14</v>
      </c>
      <c r="C225" s="19">
        <v>45467</v>
      </c>
      <c r="D225" s="18" t="s">
        <v>22</v>
      </c>
      <c r="E225" s="18" t="s">
        <v>23</v>
      </c>
      <c r="F225" s="9">
        <v>941</v>
      </c>
      <c r="G225" s="9">
        <v>121</v>
      </c>
      <c r="H225" s="9">
        <v>458</v>
      </c>
      <c r="I225" s="9">
        <v>14115</v>
      </c>
      <c r="J225" s="9">
        <v>13838</v>
      </c>
      <c r="K225" s="9">
        <v>87</v>
      </c>
      <c r="L225" s="18" t="s">
        <v>37</v>
      </c>
      <c r="M225" s="20" t="s">
        <v>19</v>
      </c>
      <c r="N225">
        <f t="shared" si="3"/>
        <v>0.10768685795253277</v>
      </c>
    </row>
    <row r="226" spans="1:14" x14ac:dyDescent="0.3">
      <c r="A226" s="13" t="s">
        <v>423</v>
      </c>
      <c r="B226" s="14" t="s">
        <v>14</v>
      </c>
      <c r="C226" s="15">
        <v>45655</v>
      </c>
      <c r="D226" s="14" t="s">
        <v>45</v>
      </c>
      <c r="E226" s="14" t="s">
        <v>49</v>
      </c>
      <c r="F226" s="8">
        <v>4274</v>
      </c>
      <c r="G226" s="8">
        <v>340</v>
      </c>
      <c r="H226" s="8">
        <v>281</v>
      </c>
      <c r="I226" s="8">
        <v>34192</v>
      </c>
      <c r="J226" s="8">
        <v>33446</v>
      </c>
      <c r="K226" s="8">
        <v>129</v>
      </c>
      <c r="L226" s="14" t="s">
        <v>30</v>
      </c>
      <c r="M226" s="16" t="s">
        <v>31</v>
      </c>
      <c r="N226">
        <f t="shared" si="3"/>
        <v>0.14316214319138981</v>
      </c>
    </row>
    <row r="227" spans="1:14" x14ac:dyDescent="0.3">
      <c r="A227" s="17" t="s">
        <v>423</v>
      </c>
      <c r="B227" s="18" t="s">
        <v>14</v>
      </c>
      <c r="C227" s="19">
        <v>45655</v>
      </c>
      <c r="D227" s="18" t="s">
        <v>45</v>
      </c>
      <c r="E227" s="18" t="s">
        <v>49</v>
      </c>
      <c r="F227" s="9">
        <v>4274</v>
      </c>
      <c r="G227" s="9">
        <v>340</v>
      </c>
      <c r="H227" s="9">
        <v>281</v>
      </c>
      <c r="I227" s="9">
        <v>34192</v>
      </c>
      <c r="J227" s="9">
        <v>33446</v>
      </c>
      <c r="K227" s="9">
        <v>129</v>
      </c>
      <c r="L227" s="18" t="s">
        <v>607</v>
      </c>
      <c r="M227" s="20" t="s">
        <v>31</v>
      </c>
      <c r="N227">
        <f t="shared" si="3"/>
        <v>0.14316214319138981</v>
      </c>
    </row>
    <row r="228" spans="1:14" x14ac:dyDescent="0.3">
      <c r="A228" s="13" t="s">
        <v>425</v>
      </c>
      <c r="B228" s="14" t="s">
        <v>27</v>
      </c>
      <c r="C228" s="15">
        <v>45467</v>
      </c>
      <c r="D228" s="14" t="s">
        <v>74</v>
      </c>
      <c r="E228" s="14" t="s">
        <v>219</v>
      </c>
      <c r="F228" s="8">
        <v>2949</v>
      </c>
      <c r="G228" s="8">
        <v>476</v>
      </c>
      <c r="H228" s="8">
        <v>403</v>
      </c>
      <c r="I228" s="8">
        <v>44235</v>
      </c>
      <c r="J228" s="8">
        <v>43705</v>
      </c>
      <c r="K228" s="8">
        <v>135</v>
      </c>
      <c r="L228" s="14" t="s">
        <v>30</v>
      </c>
      <c r="M228" s="16" t="s">
        <v>25</v>
      </c>
      <c r="N228">
        <f t="shared" si="3"/>
        <v>8.6537809426924378E-2</v>
      </c>
    </row>
    <row r="229" spans="1:14" x14ac:dyDescent="0.3">
      <c r="A229" s="17" t="s">
        <v>426</v>
      </c>
      <c r="B229" s="18" t="s">
        <v>14</v>
      </c>
      <c r="C229" s="19">
        <v>45735</v>
      </c>
      <c r="D229" s="18" t="s">
        <v>74</v>
      </c>
      <c r="E229" s="18" t="s">
        <v>145</v>
      </c>
      <c r="F229" s="9">
        <v>3160</v>
      </c>
      <c r="G229" s="9">
        <v>204</v>
      </c>
      <c r="H229" s="9">
        <v>297</v>
      </c>
      <c r="I229" s="9">
        <v>44240</v>
      </c>
      <c r="J229" s="9">
        <v>43666</v>
      </c>
      <c r="K229" s="9">
        <v>49</v>
      </c>
      <c r="L229" s="18" t="s">
        <v>62</v>
      </c>
      <c r="M229" s="20" t="s">
        <v>38</v>
      </c>
      <c r="N229">
        <f t="shared" si="3"/>
        <v>8.2753164556962022E-2</v>
      </c>
    </row>
    <row r="230" spans="1:14" x14ac:dyDescent="0.3">
      <c r="A230" s="13" t="s">
        <v>426</v>
      </c>
      <c r="B230" s="14" t="s">
        <v>14</v>
      </c>
      <c r="C230" s="15">
        <v>45735</v>
      </c>
      <c r="D230" s="14" t="s">
        <v>74</v>
      </c>
      <c r="E230" s="14" t="s">
        <v>145</v>
      </c>
      <c r="F230" s="8">
        <v>3160</v>
      </c>
      <c r="G230" s="8">
        <v>204</v>
      </c>
      <c r="H230" s="8">
        <v>297</v>
      </c>
      <c r="I230" s="8">
        <v>44240</v>
      </c>
      <c r="J230" s="8">
        <v>43666</v>
      </c>
      <c r="K230" s="8">
        <v>49</v>
      </c>
      <c r="L230" s="14" t="s">
        <v>613</v>
      </c>
      <c r="M230" s="16" t="s">
        <v>38</v>
      </c>
      <c r="N230">
        <f t="shared" si="3"/>
        <v>8.2753164556962022E-2</v>
      </c>
    </row>
    <row r="231" spans="1:14" x14ac:dyDescent="0.3">
      <c r="A231" s="17" t="s">
        <v>428</v>
      </c>
      <c r="B231" s="18" t="s">
        <v>27</v>
      </c>
      <c r="C231" s="19">
        <v>45707</v>
      </c>
      <c r="D231" s="18" t="s">
        <v>52</v>
      </c>
      <c r="E231" s="18" t="s">
        <v>53</v>
      </c>
      <c r="F231" s="9">
        <v>257</v>
      </c>
      <c r="G231" s="9">
        <v>966</v>
      </c>
      <c r="H231" s="9">
        <v>398</v>
      </c>
      <c r="I231" s="9">
        <v>3341</v>
      </c>
      <c r="J231" s="9">
        <v>2753</v>
      </c>
      <c r="K231" s="9">
        <v>287</v>
      </c>
      <c r="L231" s="18" t="s">
        <v>62</v>
      </c>
      <c r="M231" s="20" t="s">
        <v>19</v>
      </c>
      <c r="N231">
        <f t="shared" si="3"/>
        <v>0.48518407662376534</v>
      </c>
    </row>
    <row r="232" spans="1:14" x14ac:dyDescent="0.3">
      <c r="A232" s="13" t="s">
        <v>429</v>
      </c>
      <c r="B232" s="14" t="s">
        <v>14</v>
      </c>
      <c r="C232" s="15">
        <v>45491</v>
      </c>
      <c r="D232" s="14" t="s">
        <v>45</v>
      </c>
      <c r="E232" s="14" t="s">
        <v>49</v>
      </c>
      <c r="F232" s="8">
        <v>2120</v>
      </c>
      <c r="G232" s="8">
        <v>38</v>
      </c>
      <c r="H232" s="8">
        <v>212</v>
      </c>
      <c r="I232" s="8">
        <v>12720</v>
      </c>
      <c r="J232" s="8">
        <v>12564</v>
      </c>
      <c r="K232" s="8">
        <v>21</v>
      </c>
      <c r="L232" s="14" t="s">
        <v>62</v>
      </c>
      <c r="M232" s="16" t="s">
        <v>38</v>
      </c>
      <c r="N232">
        <f t="shared" si="3"/>
        <v>0.18632075471698112</v>
      </c>
    </row>
    <row r="233" spans="1:14" x14ac:dyDescent="0.3">
      <c r="A233" s="17" t="s">
        <v>431</v>
      </c>
      <c r="B233" s="18" t="s">
        <v>27</v>
      </c>
      <c r="C233" s="19">
        <v>45719</v>
      </c>
      <c r="D233" s="18" t="s">
        <v>74</v>
      </c>
      <c r="E233" s="18" t="s">
        <v>219</v>
      </c>
      <c r="F233" s="9">
        <v>3874</v>
      </c>
      <c r="G233" s="9">
        <v>884</v>
      </c>
      <c r="H233" s="9">
        <v>19</v>
      </c>
      <c r="I233" s="9">
        <v>38740</v>
      </c>
      <c r="J233" s="9">
        <v>38552</v>
      </c>
      <c r="K233" s="9">
        <v>219</v>
      </c>
      <c r="L233" s="18" t="s">
        <v>30</v>
      </c>
      <c r="M233" s="20" t="s">
        <v>25</v>
      </c>
      <c r="N233">
        <f t="shared" si="3"/>
        <v>0.123309241094476</v>
      </c>
    </row>
    <row r="234" spans="1:14" x14ac:dyDescent="0.3">
      <c r="A234" s="13" t="s">
        <v>432</v>
      </c>
      <c r="B234" s="14" t="s">
        <v>43</v>
      </c>
      <c r="C234" s="15">
        <v>45778</v>
      </c>
      <c r="D234" s="14" t="s">
        <v>45</v>
      </c>
      <c r="E234" s="14" t="s">
        <v>46</v>
      </c>
      <c r="F234" s="8">
        <v>2696</v>
      </c>
      <c r="G234" s="8">
        <v>628</v>
      </c>
      <c r="H234" s="8">
        <v>443</v>
      </c>
      <c r="I234" s="8">
        <v>45832</v>
      </c>
      <c r="J234" s="8">
        <v>45632</v>
      </c>
      <c r="K234" s="8">
        <v>248</v>
      </c>
      <c r="L234" s="14" t="s">
        <v>37</v>
      </c>
      <c r="M234" s="16" t="s">
        <v>38</v>
      </c>
      <c r="N234">
        <f t="shared" si="3"/>
        <v>8.21914819340199E-2</v>
      </c>
    </row>
    <row r="235" spans="1:14" x14ac:dyDescent="0.3">
      <c r="A235" s="17" t="s">
        <v>434</v>
      </c>
      <c r="B235" s="18" t="s">
        <v>33</v>
      </c>
      <c r="C235" s="19">
        <v>45649</v>
      </c>
      <c r="D235" s="18" t="s">
        <v>52</v>
      </c>
      <c r="E235" s="18" t="s">
        <v>215</v>
      </c>
      <c r="F235" s="9">
        <v>521</v>
      </c>
      <c r="G235" s="9">
        <v>746</v>
      </c>
      <c r="H235" s="9">
        <v>315</v>
      </c>
      <c r="I235" s="9">
        <v>4168</v>
      </c>
      <c r="J235" s="9">
        <v>3399</v>
      </c>
      <c r="K235" s="9">
        <v>282</v>
      </c>
      <c r="L235" s="18" t="s">
        <v>62</v>
      </c>
      <c r="M235" s="20" t="s">
        <v>25</v>
      </c>
      <c r="N235">
        <f t="shared" si="3"/>
        <v>0.37955854126679461</v>
      </c>
    </row>
    <row r="236" spans="1:14" x14ac:dyDescent="0.3">
      <c r="A236" s="13" t="s">
        <v>435</v>
      </c>
      <c r="B236" s="14" t="s">
        <v>43</v>
      </c>
      <c r="C236" s="15">
        <v>45783</v>
      </c>
      <c r="D236" s="14" t="s">
        <v>52</v>
      </c>
      <c r="E236" s="14" t="s">
        <v>59</v>
      </c>
      <c r="F236" s="8">
        <v>4872</v>
      </c>
      <c r="G236" s="8">
        <v>925</v>
      </c>
      <c r="H236" s="8">
        <v>176</v>
      </c>
      <c r="I236" s="8">
        <v>82824</v>
      </c>
      <c r="J236" s="8">
        <v>82543</v>
      </c>
      <c r="K236" s="8">
        <v>89</v>
      </c>
      <c r="L236" s="14" t="s">
        <v>37</v>
      </c>
      <c r="M236" s="16" t="s">
        <v>25</v>
      </c>
      <c r="N236">
        <f t="shared" si="3"/>
        <v>7.2116777745580993E-2</v>
      </c>
    </row>
    <row r="237" spans="1:14" x14ac:dyDescent="0.3">
      <c r="A237" s="17" t="s">
        <v>437</v>
      </c>
      <c r="B237" s="18" t="s">
        <v>27</v>
      </c>
      <c r="C237" s="19">
        <v>45502</v>
      </c>
      <c r="D237" s="18" t="s">
        <v>35</v>
      </c>
      <c r="E237" s="18" t="s">
        <v>154</v>
      </c>
      <c r="F237" s="9">
        <v>1509</v>
      </c>
      <c r="G237" s="9">
        <v>88</v>
      </c>
      <c r="H237" s="9">
        <v>163</v>
      </c>
      <c r="I237" s="9">
        <v>30180</v>
      </c>
      <c r="J237" s="9">
        <v>29689</v>
      </c>
      <c r="K237" s="9">
        <v>119</v>
      </c>
      <c r="L237" s="18" t="s">
        <v>37</v>
      </c>
      <c r="M237" s="20" t="s">
        <v>25</v>
      </c>
      <c r="N237">
        <f t="shared" si="3"/>
        <v>5.8316766070245198E-2</v>
      </c>
    </row>
    <row r="238" spans="1:14" x14ac:dyDescent="0.3">
      <c r="A238" s="13" t="s">
        <v>438</v>
      </c>
      <c r="B238" s="14" t="s">
        <v>43</v>
      </c>
      <c r="C238" s="15">
        <v>45629</v>
      </c>
      <c r="D238" s="14" t="s">
        <v>52</v>
      </c>
      <c r="E238" s="14" t="s">
        <v>59</v>
      </c>
      <c r="F238" s="8">
        <v>4606</v>
      </c>
      <c r="G238" s="8">
        <v>931</v>
      </c>
      <c r="H238" s="8">
        <v>230</v>
      </c>
      <c r="I238" s="8">
        <v>92120</v>
      </c>
      <c r="J238" s="8">
        <v>91440</v>
      </c>
      <c r="K238" s="8">
        <v>56</v>
      </c>
      <c r="L238" s="14" t="s">
        <v>30</v>
      </c>
      <c r="M238" s="16"/>
      <c r="N238">
        <f t="shared" si="3"/>
        <v>6.2603126356925748E-2</v>
      </c>
    </row>
    <row r="239" spans="1:14" x14ac:dyDescent="0.3">
      <c r="A239" s="17" t="s">
        <v>439</v>
      </c>
      <c r="B239" s="18" t="s">
        <v>43</v>
      </c>
      <c r="C239" s="19">
        <v>45454</v>
      </c>
      <c r="D239" s="18" t="s">
        <v>45</v>
      </c>
      <c r="E239" s="18" t="s">
        <v>46</v>
      </c>
      <c r="F239" s="9">
        <v>1869</v>
      </c>
      <c r="G239" s="9">
        <v>453</v>
      </c>
      <c r="H239" s="9">
        <v>490</v>
      </c>
      <c r="I239" s="9">
        <v>14952</v>
      </c>
      <c r="J239" s="9">
        <v>14309</v>
      </c>
      <c r="K239" s="9">
        <v>275</v>
      </c>
      <c r="L239" s="18" t="s">
        <v>30</v>
      </c>
      <c r="M239" s="20" t="s">
        <v>38</v>
      </c>
      <c r="N239">
        <f t="shared" si="3"/>
        <v>0.18806848582129482</v>
      </c>
    </row>
    <row r="240" spans="1:14" x14ac:dyDescent="0.3">
      <c r="A240" s="13" t="s">
        <v>440</v>
      </c>
      <c r="B240" s="14" t="s">
        <v>14</v>
      </c>
      <c r="C240" s="15">
        <v>45685</v>
      </c>
      <c r="D240" s="14" t="s">
        <v>16</v>
      </c>
      <c r="E240" s="14" t="s">
        <v>17</v>
      </c>
      <c r="F240" s="8">
        <v>1188</v>
      </c>
      <c r="G240" s="8">
        <v>470</v>
      </c>
      <c r="H240" s="8">
        <v>174</v>
      </c>
      <c r="I240" s="8">
        <v>7128</v>
      </c>
      <c r="J240" s="8">
        <v>6145</v>
      </c>
      <c r="K240" s="8">
        <v>270</v>
      </c>
      <c r="L240" s="14" t="s">
        <v>30</v>
      </c>
      <c r="M240" s="16" t="s">
        <v>38</v>
      </c>
      <c r="N240">
        <f t="shared" si="3"/>
        <v>0.25701459034792368</v>
      </c>
    </row>
    <row r="241" spans="1:14" x14ac:dyDescent="0.3">
      <c r="A241" s="17" t="s">
        <v>441</v>
      </c>
      <c r="B241" s="18" t="s">
        <v>33</v>
      </c>
      <c r="C241" s="19">
        <v>45445</v>
      </c>
      <c r="D241" s="18" t="s">
        <v>35</v>
      </c>
      <c r="E241" s="18" t="s">
        <v>36</v>
      </c>
      <c r="F241" s="9">
        <v>84</v>
      </c>
      <c r="G241" s="9">
        <v>897</v>
      </c>
      <c r="H241" s="9">
        <v>85</v>
      </c>
      <c r="I241" s="9">
        <v>588</v>
      </c>
      <c r="J241" s="9">
        <v>8</v>
      </c>
      <c r="K241" s="9">
        <v>12</v>
      </c>
      <c r="L241" s="18" t="s">
        <v>37</v>
      </c>
      <c r="M241" s="20"/>
      <c r="N241">
        <f t="shared" si="3"/>
        <v>1.8129251700680271</v>
      </c>
    </row>
    <row r="242" spans="1:14" x14ac:dyDescent="0.3">
      <c r="A242" s="13" t="s">
        <v>442</v>
      </c>
      <c r="B242" s="14" t="s">
        <v>43</v>
      </c>
      <c r="C242" s="15">
        <v>45739</v>
      </c>
      <c r="D242" s="14" t="s">
        <v>74</v>
      </c>
      <c r="E242" s="14" t="s">
        <v>75</v>
      </c>
      <c r="F242" s="8">
        <v>4453</v>
      </c>
      <c r="G242" s="8">
        <v>111</v>
      </c>
      <c r="H242" s="8">
        <v>420</v>
      </c>
      <c r="I242" s="8">
        <v>31171</v>
      </c>
      <c r="J242" s="8">
        <v>30565</v>
      </c>
      <c r="K242" s="8">
        <v>23</v>
      </c>
      <c r="L242" s="14" t="s">
        <v>30</v>
      </c>
      <c r="M242" s="16"/>
      <c r="N242">
        <f t="shared" si="3"/>
        <v>0.15989220750056141</v>
      </c>
    </row>
    <row r="243" spans="1:14" x14ac:dyDescent="0.3">
      <c r="A243" s="17" t="s">
        <v>443</v>
      </c>
      <c r="B243" s="18" t="s">
        <v>43</v>
      </c>
      <c r="C243" s="19">
        <v>45573</v>
      </c>
      <c r="D243" s="18" t="s">
        <v>16</v>
      </c>
      <c r="E243" s="18" t="s">
        <v>65</v>
      </c>
      <c r="F243" s="9">
        <v>1814</v>
      </c>
      <c r="G243" s="9">
        <v>653</v>
      </c>
      <c r="H243" s="9">
        <v>363</v>
      </c>
      <c r="I243" s="9">
        <v>25396</v>
      </c>
      <c r="J243" s="9">
        <v>25286</v>
      </c>
      <c r="K243" s="9">
        <v>39</v>
      </c>
      <c r="L243" s="18" t="s">
        <v>62</v>
      </c>
      <c r="M243" s="20" t="s">
        <v>19</v>
      </c>
      <c r="N243">
        <f t="shared" si="3"/>
        <v>0.11143487163332809</v>
      </c>
    </row>
    <row r="244" spans="1:14" x14ac:dyDescent="0.3">
      <c r="A244" s="13" t="s">
        <v>443</v>
      </c>
      <c r="B244" s="14" t="s">
        <v>43</v>
      </c>
      <c r="C244" s="15">
        <v>45573</v>
      </c>
      <c r="D244" s="14" t="s">
        <v>16</v>
      </c>
      <c r="E244" s="14" t="s">
        <v>65</v>
      </c>
      <c r="F244" s="8">
        <v>1814</v>
      </c>
      <c r="G244" s="8">
        <v>653</v>
      </c>
      <c r="H244" s="8">
        <v>363</v>
      </c>
      <c r="I244" s="8">
        <v>25396</v>
      </c>
      <c r="J244" s="8">
        <v>25286</v>
      </c>
      <c r="K244" s="8">
        <v>39</v>
      </c>
      <c r="L244" s="14" t="s">
        <v>607</v>
      </c>
      <c r="M244" s="16" t="s">
        <v>19</v>
      </c>
      <c r="N244">
        <f t="shared" si="3"/>
        <v>0.11143487163332809</v>
      </c>
    </row>
    <row r="245" spans="1:14" x14ac:dyDescent="0.3">
      <c r="A245" s="17" t="s">
        <v>446</v>
      </c>
      <c r="B245" s="18" t="s">
        <v>14</v>
      </c>
      <c r="C245" s="19">
        <v>45608</v>
      </c>
      <c r="D245" s="18" t="s">
        <v>52</v>
      </c>
      <c r="E245" s="18" t="s">
        <v>132</v>
      </c>
      <c r="F245" s="9">
        <v>3338</v>
      </c>
      <c r="G245" s="9">
        <v>277</v>
      </c>
      <c r="H245" s="9">
        <v>118</v>
      </c>
      <c r="I245" s="9">
        <v>60084</v>
      </c>
      <c r="J245" s="9">
        <v>59842</v>
      </c>
      <c r="K245" s="9">
        <v>252</v>
      </c>
      <c r="L245" s="18" t="s">
        <v>30</v>
      </c>
      <c r="M245" s="20"/>
      <c r="N245">
        <f t="shared" si="3"/>
        <v>6.2129685107516146E-2</v>
      </c>
    </row>
    <row r="246" spans="1:14" x14ac:dyDescent="0.3">
      <c r="A246" s="13" t="s">
        <v>447</v>
      </c>
      <c r="B246" s="14" t="s">
        <v>43</v>
      </c>
      <c r="C246" s="15">
        <v>45790</v>
      </c>
      <c r="D246" s="14" t="s">
        <v>52</v>
      </c>
      <c r="E246" s="14" t="s">
        <v>59</v>
      </c>
      <c r="F246" s="8">
        <v>602</v>
      </c>
      <c r="G246" s="8">
        <v>594</v>
      </c>
      <c r="H246" s="8">
        <v>156</v>
      </c>
      <c r="I246" s="8">
        <v>4214</v>
      </c>
      <c r="J246" s="8">
        <v>3363</v>
      </c>
      <c r="K246" s="8">
        <v>164</v>
      </c>
      <c r="L246" s="14" t="s">
        <v>30</v>
      </c>
      <c r="M246" s="16" t="s">
        <v>31</v>
      </c>
      <c r="N246">
        <f t="shared" si="3"/>
        <v>0.32083531086853345</v>
      </c>
    </row>
    <row r="247" spans="1:14" x14ac:dyDescent="0.3">
      <c r="A247" s="17" t="s">
        <v>449</v>
      </c>
      <c r="B247" s="18" t="s">
        <v>14</v>
      </c>
      <c r="C247" s="19">
        <v>45463</v>
      </c>
      <c r="D247" s="18" t="s">
        <v>45</v>
      </c>
      <c r="E247" s="18" t="s">
        <v>49</v>
      </c>
      <c r="F247" s="9">
        <v>4672</v>
      </c>
      <c r="G247" s="9">
        <v>325</v>
      </c>
      <c r="H247" s="9">
        <v>32</v>
      </c>
      <c r="I247" s="9">
        <v>88768</v>
      </c>
      <c r="J247" s="9">
        <v>87833</v>
      </c>
      <c r="K247" s="9">
        <v>118</v>
      </c>
      <c r="L247" s="18" t="s">
        <v>37</v>
      </c>
      <c r="M247" s="20"/>
      <c r="N247">
        <f t="shared" si="3"/>
        <v>5.6653298485940883E-2</v>
      </c>
    </row>
    <row r="248" spans="1:14" x14ac:dyDescent="0.3">
      <c r="A248" s="13" t="s">
        <v>450</v>
      </c>
      <c r="B248" s="14" t="s">
        <v>33</v>
      </c>
      <c r="C248" s="15">
        <v>45511</v>
      </c>
      <c r="D248" s="14" t="s">
        <v>45</v>
      </c>
      <c r="E248" s="14" t="s">
        <v>88</v>
      </c>
      <c r="F248" s="8">
        <v>1741</v>
      </c>
      <c r="G248" s="8">
        <v>164</v>
      </c>
      <c r="H248" s="8">
        <v>318</v>
      </c>
      <c r="I248" s="8">
        <v>8705</v>
      </c>
      <c r="J248" s="8">
        <v>8272</v>
      </c>
      <c r="K248" s="8">
        <v>121</v>
      </c>
      <c r="L248" s="14" t="s">
        <v>30</v>
      </c>
      <c r="M248" s="16"/>
      <c r="N248">
        <f t="shared" si="3"/>
        <v>0.25537047673750718</v>
      </c>
    </row>
    <row r="249" spans="1:14" x14ac:dyDescent="0.3">
      <c r="A249" s="17" t="s">
        <v>452</v>
      </c>
      <c r="B249" s="18" t="s">
        <v>33</v>
      </c>
      <c r="C249" s="19">
        <v>45455</v>
      </c>
      <c r="D249" s="18" t="s">
        <v>22</v>
      </c>
      <c r="E249" s="18" t="s">
        <v>113</v>
      </c>
      <c r="F249" s="9">
        <v>246</v>
      </c>
      <c r="G249" s="9">
        <v>149</v>
      </c>
      <c r="H249" s="9">
        <v>130</v>
      </c>
      <c r="I249" s="9">
        <v>4674</v>
      </c>
      <c r="J249" s="9">
        <v>4390</v>
      </c>
      <c r="K249" s="9">
        <v>217</v>
      </c>
      <c r="L249" s="18" t="s">
        <v>62</v>
      </c>
      <c r="M249" s="20" t="s">
        <v>31</v>
      </c>
      <c r="N249">
        <f t="shared" si="3"/>
        <v>0.11232349165596919</v>
      </c>
    </row>
    <row r="250" spans="1:14" x14ac:dyDescent="0.3">
      <c r="A250" s="13" t="s">
        <v>454</v>
      </c>
      <c r="B250" s="14" t="s">
        <v>33</v>
      </c>
      <c r="C250" s="15">
        <v>45474</v>
      </c>
      <c r="D250" s="14" t="s">
        <v>35</v>
      </c>
      <c r="E250" s="14" t="s">
        <v>36</v>
      </c>
      <c r="F250" s="8">
        <v>4808</v>
      </c>
      <c r="G250" s="8">
        <v>772</v>
      </c>
      <c r="H250" s="8">
        <v>320</v>
      </c>
      <c r="I250" s="8">
        <v>72120</v>
      </c>
      <c r="J250" s="8">
        <v>71696</v>
      </c>
      <c r="K250" s="8">
        <v>195</v>
      </c>
      <c r="L250" s="14" t="s">
        <v>37</v>
      </c>
      <c r="M250" s="16" t="s">
        <v>19</v>
      </c>
      <c r="N250">
        <f t="shared" si="3"/>
        <v>8.1808097615085965E-2</v>
      </c>
    </row>
    <row r="251" spans="1:14" x14ac:dyDescent="0.3">
      <c r="A251" s="17" t="s">
        <v>456</v>
      </c>
      <c r="B251" s="18" t="s">
        <v>33</v>
      </c>
      <c r="C251" s="19">
        <v>45476</v>
      </c>
      <c r="D251" s="18" t="s">
        <v>45</v>
      </c>
      <c r="E251" s="18" t="s">
        <v>88</v>
      </c>
      <c r="F251" s="9">
        <v>4799</v>
      </c>
      <c r="G251" s="9">
        <v>694</v>
      </c>
      <c r="H251" s="9">
        <v>289</v>
      </c>
      <c r="I251" s="9">
        <v>43191</v>
      </c>
      <c r="J251" s="9">
        <v>42228</v>
      </c>
      <c r="K251" s="9">
        <v>118</v>
      </c>
      <c r="L251" s="18" t="s">
        <v>30</v>
      </c>
      <c r="M251" s="20"/>
      <c r="N251">
        <f t="shared" si="3"/>
        <v>0.13387048227640017</v>
      </c>
    </row>
    <row r="252" spans="1:14" x14ac:dyDescent="0.3">
      <c r="A252" s="13" t="s">
        <v>457</v>
      </c>
      <c r="B252" s="14" t="s">
        <v>43</v>
      </c>
      <c r="C252" s="15">
        <v>45488</v>
      </c>
      <c r="D252" s="14" t="s">
        <v>16</v>
      </c>
      <c r="E252" s="14" t="s">
        <v>65</v>
      </c>
      <c r="F252" s="8">
        <v>3663</v>
      </c>
      <c r="G252" s="8">
        <v>17</v>
      </c>
      <c r="H252" s="8">
        <v>295</v>
      </c>
      <c r="I252" s="8">
        <v>51282</v>
      </c>
      <c r="J252" s="8">
        <v>50567</v>
      </c>
      <c r="K252" s="8">
        <v>84</v>
      </c>
      <c r="L252" s="14" t="s">
        <v>37</v>
      </c>
      <c r="M252" s="16" t="s">
        <v>31</v>
      </c>
      <c r="N252">
        <f t="shared" si="3"/>
        <v>7.7512577512577507E-2</v>
      </c>
    </row>
    <row r="253" spans="1:14" x14ac:dyDescent="0.3">
      <c r="A253" s="17" t="s">
        <v>458</v>
      </c>
      <c r="B253" s="18" t="s">
        <v>33</v>
      </c>
      <c r="C253" s="19">
        <v>45778</v>
      </c>
      <c r="D253" s="18" t="s">
        <v>22</v>
      </c>
      <c r="E253" s="18" t="s">
        <v>113</v>
      </c>
      <c r="F253" s="9">
        <v>1430</v>
      </c>
      <c r="G253" s="9">
        <v>376</v>
      </c>
      <c r="H253" s="9">
        <v>33</v>
      </c>
      <c r="I253" s="9">
        <v>21450</v>
      </c>
      <c r="J253" s="9">
        <v>20509</v>
      </c>
      <c r="K253" s="9">
        <v>251</v>
      </c>
      <c r="L253" s="18" t="s">
        <v>62</v>
      </c>
      <c r="M253" s="20" t="s">
        <v>19</v>
      </c>
      <c r="N253">
        <f t="shared" si="3"/>
        <v>8.5734265734265735E-2</v>
      </c>
    </row>
    <row r="254" spans="1:14" x14ac:dyDescent="0.3">
      <c r="A254" s="13" t="s">
        <v>459</v>
      </c>
      <c r="B254" s="14" t="s">
        <v>14</v>
      </c>
      <c r="C254" s="15">
        <v>45776</v>
      </c>
      <c r="D254" s="14" t="s">
        <v>35</v>
      </c>
      <c r="E254" s="14" t="s">
        <v>149</v>
      </c>
      <c r="F254" s="8">
        <v>249</v>
      </c>
      <c r="G254" s="8">
        <v>592</v>
      </c>
      <c r="H254" s="8">
        <v>230</v>
      </c>
      <c r="I254" s="8">
        <v>1494</v>
      </c>
      <c r="J254" s="8">
        <v>1044</v>
      </c>
      <c r="K254" s="8">
        <v>201</v>
      </c>
      <c r="L254" s="14" t="s">
        <v>37</v>
      </c>
      <c r="M254" s="16" t="s">
        <v>38</v>
      </c>
      <c r="N254">
        <f t="shared" si="3"/>
        <v>0.7168674698795181</v>
      </c>
    </row>
    <row r="255" spans="1:14" x14ac:dyDescent="0.3">
      <c r="A255" s="17" t="s">
        <v>461</v>
      </c>
      <c r="B255" s="18" t="s">
        <v>43</v>
      </c>
      <c r="C255" s="19">
        <v>45724</v>
      </c>
      <c r="D255" s="18" t="s">
        <v>52</v>
      </c>
      <c r="E255" s="18" t="s">
        <v>59</v>
      </c>
      <c r="F255" s="9">
        <v>2382</v>
      </c>
      <c r="G255" s="9">
        <v>265</v>
      </c>
      <c r="H255" s="9">
        <v>134</v>
      </c>
      <c r="I255" s="9">
        <v>38112</v>
      </c>
      <c r="J255" s="9">
        <v>37437</v>
      </c>
      <c r="K255" s="9">
        <v>249</v>
      </c>
      <c r="L255" s="18" t="s">
        <v>62</v>
      </c>
      <c r="M255" s="20" t="s">
        <v>38</v>
      </c>
      <c r="N255">
        <f t="shared" si="3"/>
        <v>7.2969143576826198E-2</v>
      </c>
    </row>
    <row r="256" spans="1:14" x14ac:dyDescent="0.3">
      <c r="A256" s="13" t="s">
        <v>462</v>
      </c>
      <c r="B256" s="14" t="s">
        <v>43</v>
      </c>
      <c r="C256" s="15">
        <v>45444</v>
      </c>
      <c r="D256" s="14" t="s">
        <v>22</v>
      </c>
      <c r="E256" s="14" t="s">
        <v>56</v>
      </c>
      <c r="F256" s="8">
        <v>1272</v>
      </c>
      <c r="G256" s="8">
        <v>465</v>
      </c>
      <c r="H256" s="8">
        <v>99</v>
      </c>
      <c r="I256" s="8">
        <v>24168</v>
      </c>
      <c r="J256" s="8">
        <v>23719</v>
      </c>
      <c r="K256" s="8">
        <v>42</v>
      </c>
      <c r="L256" s="14" t="s">
        <v>30</v>
      </c>
      <c r="M256" s="16"/>
      <c r="N256">
        <f t="shared" si="3"/>
        <v>7.5968222442899705E-2</v>
      </c>
    </row>
    <row r="257" spans="1:14" x14ac:dyDescent="0.3">
      <c r="A257" s="17" t="s">
        <v>464</v>
      </c>
      <c r="B257" s="18" t="s">
        <v>43</v>
      </c>
      <c r="C257" s="19">
        <v>45648</v>
      </c>
      <c r="D257" s="18" t="s">
        <v>52</v>
      </c>
      <c r="E257" s="18" t="s">
        <v>59</v>
      </c>
      <c r="F257" s="9">
        <v>3196</v>
      </c>
      <c r="G257" s="9">
        <v>941</v>
      </c>
      <c r="H257" s="9">
        <v>376</v>
      </c>
      <c r="I257" s="9">
        <v>35156</v>
      </c>
      <c r="J257" s="9">
        <v>34444</v>
      </c>
      <c r="K257" s="9">
        <v>241</v>
      </c>
      <c r="L257" s="18" t="s">
        <v>30</v>
      </c>
      <c r="M257" s="20" t="s">
        <v>31</v>
      </c>
      <c r="N257">
        <f t="shared" si="3"/>
        <v>0.1283706906360223</v>
      </c>
    </row>
    <row r="258" spans="1:14" x14ac:dyDescent="0.3">
      <c r="A258" s="13" t="s">
        <v>465</v>
      </c>
      <c r="B258" s="14" t="s">
        <v>43</v>
      </c>
      <c r="C258" s="15">
        <v>45523</v>
      </c>
      <c r="D258" s="14" t="s">
        <v>22</v>
      </c>
      <c r="E258" s="14" t="s">
        <v>56</v>
      </c>
      <c r="F258" s="8">
        <v>1257</v>
      </c>
      <c r="G258" s="8">
        <v>19</v>
      </c>
      <c r="H258" s="8">
        <v>351</v>
      </c>
      <c r="I258" s="8">
        <v>12570</v>
      </c>
      <c r="J258" s="8">
        <v>11660</v>
      </c>
      <c r="K258" s="8">
        <v>194</v>
      </c>
      <c r="L258" s="14" t="s">
        <v>62</v>
      </c>
      <c r="M258" s="16" t="s">
        <v>25</v>
      </c>
      <c r="N258">
        <f t="shared" ref="N258:N321" si="4">(F258+G258+H258)/I258</f>
        <v>0.12943516308671441</v>
      </c>
    </row>
    <row r="259" spans="1:14" x14ac:dyDescent="0.3">
      <c r="A259" s="17" t="s">
        <v>465</v>
      </c>
      <c r="B259" s="18" t="s">
        <v>43</v>
      </c>
      <c r="C259" s="19">
        <v>45523</v>
      </c>
      <c r="D259" s="18" t="s">
        <v>22</v>
      </c>
      <c r="E259" s="18" t="s">
        <v>56</v>
      </c>
      <c r="F259" s="9">
        <v>1257</v>
      </c>
      <c r="G259" s="9">
        <v>19</v>
      </c>
      <c r="H259" s="9">
        <v>351</v>
      </c>
      <c r="I259" s="9">
        <v>12570</v>
      </c>
      <c r="J259" s="9">
        <v>11660</v>
      </c>
      <c r="K259" s="9">
        <v>194</v>
      </c>
      <c r="L259" s="18" t="s">
        <v>613</v>
      </c>
      <c r="M259" s="20" t="s">
        <v>25</v>
      </c>
      <c r="N259">
        <f t="shared" si="4"/>
        <v>0.12943516308671441</v>
      </c>
    </row>
    <row r="260" spans="1:14" x14ac:dyDescent="0.3">
      <c r="A260" s="13" t="s">
        <v>465</v>
      </c>
      <c r="B260" s="14" t="s">
        <v>43</v>
      </c>
      <c r="C260" s="15">
        <v>45523</v>
      </c>
      <c r="D260" s="14" t="s">
        <v>22</v>
      </c>
      <c r="E260" s="14" t="s">
        <v>56</v>
      </c>
      <c r="F260" s="8">
        <v>1257</v>
      </c>
      <c r="G260" s="8">
        <v>19</v>
      </c>
      <c r="H260" s="8">
        <v>351</v>
      </c>
      <c r="I260" s="8">
        <v>12570</v>
      </c>
      <c r="J260" s="8">
        <v>11660</v>
      </c>
      <c r="K260" s="8">
        <v>194</v>
      </c>
      <c r="L260" s="14" t="s">
        <v>37</v>
      </c>
      <c r="M260" s="16" t="s">
        <v>25</v>
      </c>
      <c r="N260">
        <f t="shared" si="4"/>
        <v>0.12943516308671441</v>
      </c>
    </row>
    <row r="261" spans="1:14" x14ac:dyDescent="0.3">
      <c r="A261" s="17" t="s">
        <v>467</v>
      </c>
      <c r="B261" s="18" t="s">
        <v>33</v>
      </c>
      <c r="C261" s="19">
        <v>45587</v>
      </c>
      <c r="D261" s="18" t="s">
        <v>35</v>
      </c>
      <c r="E261" s="18" t="s">
        <v>36</v>
      </c>
      <c r="F261" s="9">
        <v>3770</v>
      </c>
      <c r="G261" s="9">
        <v>917</v>
      </c>
      <c r="H261" s="9">
        <v>129</v>
      </c>
      <c r="I261" s="9">
        <v>71630</v>
      </c>
      <c r="J261" s="9">
        <v>71322</v>
      </c>
      <c r="K261" s="9">
        <v>76</v>
      </c>
      <c r="L261" s="18" t="s">
        <v>62</v>
      </c>
      <c r="M261" s="20" t="s">
        <v>19</v>
      </c>
      <c r="N261">
        <f t="shared" si="4"/>
        <v>6.7234398994834563E-2</v>
      </c>
    </row>
    <row r="262" spans="1:14" x14ac:dyDescent="0.3">
      <c r="A262" s="13" t="s">
        <v>468</v>
      </c>
      <c r="B262" s="14" t="s">
        <v>14</v>
      </c>
      <c r="C262" s="15">
        <v>45489</v>
      </c>
      <c r="D262" s="14" t="s">
        <v>22</v>
      </c>
      <c r="E262" s="14" t="s">
        <v>23</v>
      </c>
      <c r="F262" s="8">
        <v>4725</v>
      </c>
      <c r="G262" s="8">
        <v>400</v>
      </c>
      <c r="H262" s="8">
        <v>362</v>
      </c>
      <c r="I262" s="8">
        <v>75600</v>
      </c>
      <c r="J262" s="8">
        <v>74927</v>
      </c>
      <c r="K262" s="8">
        <v>43</v>
      </c>
      <c r="L262" s="14" t="s">
        <v>62</v>
      </c>
      <c r="M262" s="16" t="s">
        <v>38</v>
      </c>
      <c r="N262">
        <f t="shared" si="4"/>
        <v>7.2579365079365077E-2</v>
      </c>
    </row>
    <row r="263" spans="1:14" x14ac:dyDescent="0.3">
      <c r="A263" s="17" t="s">
        <v>470</v>
      </c>
      <c r="B263" s="18" t="s">
        <v>27</v>
      </c>
      <c r="C263" s="19">
        <v>45712</v>
      </c>
      <c r="D263" s="18" t="s">
        <v>22</v>
      </c>
      <c r="E263" s="18" t="s">
        <v>104</v>
      </c>
      <c r="F263" s="9">
        <v>4188</v>
      </c>
      <c r="G263" s="9">
        <v>942</v>
      </c>
      <c r="H263" s="9">
        <v>118</v>
      </c>
      <c r="I263" s="9">
        <v>20940</v>
      </c>
      <c r="J263" s="9">
        <v>20471</v>
      </c>
      <c r="K263" s="9">
        <v>102</v>
      </c>
      <c r="L263" s="18" t="s">
        <v>62</v>
      </c>
      <c r="M263" s="20"/>
      <c r="N263">
        <f t="shared" si="4"/>
        <v>0.25062082139446035</v>
      </c>
    </row>
    <row r="264" spans="1:14" x14ac:dyDescent="0.3">
      <c r="A264" s="13" t="s">
        <v>471</v>
      </c>
      <c r="B264" s="14" t="s">
        <v>14</v>
      </c>
      <c r="C264" s="15">
        <v>45530</v>
      </c>
      <c r="D264" s="14" t="s">
        <v>45</v>
      </c>
      <c r="E264" s="14" t="s">
        <v>49</v>
      </c>
      <c r="F264" s="8">
        <v>929</v>
      </c>
      <c r="G264" s="8">
        <v>192</v>
      </c>
      <c r="H264" s="8">
        <v>322</v>
      </c>
      <c r="I264" s="8">
        <v>16722</v>
      </c>
      <c r="J264" s="8">
        <v>15996</v>
      </c>
      <c r="K264" s="8">
        <v>145</v>
      </c>
      <c r="L264" s="14" t="s">
        <v>37</v>
      </c>
      <c r="M264" s="16" t="s">
        <v>31</v>
      </c>
      <c r="N264">
        <f t="shared" si="4"/>
        <v>8.6293505561535699E-2</v>
      </c>
    </row>
    <row r="265" spans="1:14" x14ac:dyDescent="0.3">
      <c r="A265" s="17" t="s">
        <v>471</v>
      </c>
      <c r="B265" s="18" t="s">
        <v>14</v>
      </c>
      <c r="C265" s="19">
        <v>45530</v>
      </c>
      <c r="D265" s="18" t="s">
        <v>45</v>
      </c>
      <c r="E265" s="18" t="s">
        <v>49</v>
      </c>
      <c r="F265" s="9">
        <v>929</v>
      </c>
      <c r="G265" s="9">
        <v>192</v>
      </c>
      <c r="H265" s="9">
        <v>322</v>
      </c>
      <c r="I265" s="9">
        <v>16722</v>
      </c>
      <c r="J265" s="9">
        <v>15996</v>
      </c>
      <c r="K265" s="9">
        <v>145</v>
      </c>
      <c r="L265" s="18" t="s">
        <v>30</v>
      </c>
      <c r="M265" s="20" t="s">
        <v>31</v>
      </c>
      <c r="N265">
        <f t="shared" si="4"/>
        <v>8.6293505561535699E-2</v>
      </c>
    </row>
    <row r="266" spans="1:14" x14ac:dyDescent="0.3">
      <c r="A266" s="13" t="s">
        <v>471</v>
      </c>
      <c r="B266" s="14" t="s">
        <v>14</v>
      </c>
      <c r="C266" s="15">
        <v>45530</v>
      </c>
      <c r="D266" s="14" t="s">
        <v>45</v>
      </c>
      <c r="E266" s="14" t="s">
        <v>49</v>
      </c>
      <c r="F266" s="8">
        <v>929</v>
      </c>
      <c r="G266" s="8">
        <v>192</v>
      </c>
      <c r="H266" s="8">
        <v>322</v>
      </c>
      <c r="I266" s="8">
        <v>16722</v>
      </c>
      <c r="J266" s="8">
        <v>15996</v>
      </c>
      <c r="K266" s="8">
        <v>145</v>
      </c>
      <c r="L266" s="14" t="s">
        <v>613</v>
      </c>
      <c r="M266" s="16" t="s">
        <v>31</v>
      </c>
      <c r="N266">
        <f t="shared" si="4"/>
        <v>8.6293505561535699E-2</v>
      </c>
    </row>
    <row r="267" spans="1:14" x14ac:dyDescent="0.3">
      <c r="A267" s="17" t="s">
        <v>472</v>
      </c>
      <c r="B267" s="18" t="s">
        <v>43</v>
      </c>
      <c r="C267" s="19">
        <v>45675</v>
      </c>
      <c r="D267" s="18" t="s">
        <v>35</v>
      </c>
      <c r="E267" s="18" t="s">
        <v>71</v>
      </c>
      <c r="F267" s="9">
        <v>4321</v>
      </c>
      <c r="G267" s="9">
        <v>874</v>
      </c>
      <c r="H267" s="9">
        <v>172</v>
      </c>
      <c r="I267" s="9">
        <v>30247</v>
      </c>
      <c r="J267" s="9">
        <v>29254</v>
      </c>
      <c r="K267" s="9">
        <v>122</v>
      </c>
      <c r="L267" s="18" t="s">
        <v>30</v>
      </c>
      <c r="M267" s="20" t="s">
        <v>38</v>
      </c>
      <c r="N267">
        <f t="shared" si="4"/>
        <v>0.17743908486792079</v>
      </c>
    </row>
    <row r="268" spans="1:14" x14ac:dyDescent="0.3">
      <c r="A268" s="13" t="s">
        <v>474</v>
      </c>
      <c r="B268" s="14" t="s">
        <v>43</v>
      </c>
      <c r="C268" s="15">
        <v>45480</v>
      </c>
      <c r="D268" s="14" t="s">
        <v>16</v>
      </c>
      <c r="E268" s="14" t="s">
        <v>65</v>
      </c>
      <c r="F268" s="8">
        <v>4767</v>
      </c>
      <c r="G268" s="8">
        <v>190</v>
      </c>
      <c r="H268" s="8">
        <v>340</v>
      </c>
      <c r="I268" s="8">
        <v>28602</v>
      </c>
      <c r="J268" s="8">
        <v>28044</v>
      </c>
      <c r="K268" s="8">
        <v>210</v>
      </c>
      <c r="L268" s="14" t="s">
        <v>37</v>
      </c>
      <c r="M268" s="16" t="s">
        <v>31</v>
      </c>
      <c r="N268">
        <f t="shared" si="4"/>
        <v>0.18519683938186141</v>
      </c>
    </row>
    <row r="269" spans="1:14" x14ac:dyDescent="0.3">
      <c r="A269" s="17" t="s">
        <v>475</v>
      </c>
      <c r="B269" s="18" t="s">
        <v>14</v>
      </c>
      <c r="C269" s="19">
        <v>45722</v>
      </c>
      <c r="D269" s="18" t="s">
        <v>52</v>
      </c>
      <c r="E269" s="18" t="s">
        <v>132</v>
      </c>
      <c r="F269" s="9">
        <v>3592</v>
      </c>
      <c r="G269" s="9">
        <v>911</v>
      </c>
      <c r="H269" s="9">
        <v>375</v>
      </c>
      <c r="I269" s="9">
        <v>50288</v>
      </c>
      <c r="J269" s="9">
        <v>49490</v>
      </c>
      <c r="K269" s="9">
        <v>32</v>
      </c>
      <c r="L269" s="18" t="s">
        <v>62</v>
      </c>
      <c r="M269" s="20" t="s">
        <v>38</v>
      </c>
      <c r="N269">
        <f t="shared" si="4"/>
        <v>9.7001272669424113E-2</v>
      </c>
    </row>
    <row r="270" spans="1:14" x14ac:dyDescent="0.3">
      <c r="A270" s="13" t="s">
        <v>477</v>
      </c>
      <c r="B270" s="14" t="s">
        <v>27</v>
      </c>
      <c r="C270" s="15">
        <v>45590</v>
      </c>
      <c r="D270" s="14" t="s">
        <v>74</v>
      </c>
      <c r="E270" s="14" t="s">
        <v>219</v>
      </c>
      <c r="F270" s="8">
        <v>4661</v>
      </c>
      <c r="G270" s="8">
        <v>935</v>
      </c>
      <c r="H270" s="8">
        <v>433</v>
      </c>
      <c r="I270" s="8">
        <v>23305</v>
      </c>
      <c r="J270" s="8">
        <v>22583</v>
      </c>
      <c r="K270" s="8">
        <v>63</v>
      </c>
      <c r="L270" s="14" t="s">
        <v>62</v>
      </c>
      <c r="M270" s="16" t="s">
        <v>31</v>
      </c>
      <c r="N270">
        <f t="shared" si="4"/>
        <v>0.25869984981763572</v>
      </c>
    </row>
    <row r="271" spans="1:14" x14ac:dyDescent="0.3">
      <c r="A271" s="17" t="s">
        <v>479</v>
      </c>
      <c r="B271" s="18" t="s">
        <v>43</v>
      </c>
      <c r="C271" s="19">
        <v>45669</v>
      </c>
      <c r="D271" s="18" t="s">
        <v>16</v>
      </c>
      <c r="E271" s="18" t="s">
        <v>65</v>
      </c>
      <c r="F271" s="9">
        <v>4134</v>
      </c>
      <c r="G271" s="9">
        <v>824</v>
      </c>
      <c r="H271" s="9">
        <v>99</v>
      </c>
      <c r="I271" s="9">
        <v>41340</v>
      </c>
      <c r="J271" s="9">
        <v>41050</v>
      </c>
      <c r="K271" s="9">
        <v>177</v>
      </c>
      <c r="L271" s="18" t="s">
        <v>37</v>
      </c>
      <c r="M271" s="20" t="s">
        <v>19</v>
      </c>
      <c r="N271">
        <f t="shared" si="4"/>
        <v>0.12232704402515723</v>
      </c>
    </row>
    <row r="272" spans="1:14" x14ac:dyDescent="0.3">
      <c r="A272" s="13" t="s">
        <v>481</v>
      </c>
      <c r="B272" s="14" t="s">
        <v>43</v>
      </c>
      <c r="C272" s="15">
        <v>45576</v>
      </c>
      <c r="D272" s="14" t="s">
        <v>52</v>
      </c>
      <c r="E272" s="14" t="s">
        <v>59</v>
      </c>
      <c r="F272" s="8">
        <v>400</v>
      </c>
      <c r="G272" s="8">
        <v>680</v>
      </c>
      <c r="H272" s="8">
        <v>434</v>
      </c>
      <c r="I272" s="8">
        <v>6400</v>
      </c>
      <c r="J272" s="8">
        <v>5472</v>
      </c>
      <c r="K272" s="8">
        <v>160</v>
      </c>
      <c r="L272" s="14" t="s">
        <v>62</v>
      </c>
      <c r="M272" s="16" t="s">
        <v>25</v>
      </c>
      <c r="N272">
        <f t="shared" si="4"/>
        <v>0.23656250000000001</v>
      </c>
    </row>
    <row r="273" spans="1:14" x14ac:dyDescent="0.3">
      <c r="A273" s="17" t="s">
        <v>483</v>
      </c>
      <c r="B273" s="18" t="s">
        <v>43</v>
      </c>
      <c r="C273" s="19">
        <v>45531</v>
      </c>
      <c r="D273" s="18" t="s">
        <v>16</v>
      </c>
      <c r="E273" s="18" t="s">
        <v>65</v>
      </c>
      <c r="F273" s="9">
        <v>3960</v>
      </c>
      <c r="G273" s="9">
        <v>266</v>
      </c>
      <c r="H273" s="9">
        <v>8</v>
      </c>
      <c r="I273" s="9">
        <v>35640</v>
      </c>
      <c r="J273" s="9">
        <v>34850</v>
      </c>
      <c r="K273" s="9">
        <v>208</v>
      </c>
      <c r="L273" s="18" t="s">
        <v>62</v>
      </c>
      <c r="M273" s="20"/>
      <c r="N273">
        <f t="shared" si="4"/>
        <v>0.11879910213243547</v>
      </c>
    </row>
    <row r="274" spans="1:14" x14ac:dyDescent="0.3">
      <c r="A274" s="13" t="s">
        <v>483</v>
      </c>
      <c r="B274" s="14" t="s">
        <v>43</v>
      </c>
      <c r="C274" s="15">
        <v>45531</v>
      </c>
      <c r="D274" s="14" t="s">
        <v>16</v>
      </c>
      <c r="E274" s="14" t="s">
        <v>65</v>
      </c>
      <c r="F274" s="8">
        <v>3960</v>
      </c>
      <c r="G274" s="8">
        <v>266</v>
      </c>
      <c r="H274" s="8">
        <v>8</v>
      </c>
      <c r="I274" s="8">
        <v>35640</v>
      </c>
      <c r="J274" s="8">
        <v>34850</v>
      </c>
      <c r="K274" s="8">
        <v>208</v>
      </c>
      <c r="L274" s="14" t="s">
        <v>37</v>
      </c>
      <c r="M274" s="16"/>
      <c r="N274">
        <f t="shared" si="4"/>
        <v>0.11879910213243547</v>
      </c>
    </row>
    <row r="275" spans="1:14" x14ac:dyDescent="0.3">
      <c r="A275" s="17" t="s">
        <v>483</v>
      </c>
      <c r="B275" s="18" t="s">
        <v>43</v>
      </c>
      <c r="C275" s="19">
        <v>45531</v>
      </c>
      <c r="D275" s="18" t="s">
        <v>16</v>
      </c>
      <c r="E275" s="18" t="s">
        <v>65</v>
      </c>
      <c r="F275" s="9">
        <v>3960</v>
      </c>
      <c r="G275" s="9">
        <v>266</v>
      </c>
      <c r="H275" s="9">
        <v>8</v>
      </c>
      <c r="I275" s="9">
        <v>35640</v>
      </c>
      <c r="J275" s="9">
        <v>34850</v>
      </c>
      <c r="K275" s="9">
        <v>208</v>
      </c>
      <c r="L275" s="18" t="s">
        <v>614</v>
      </c>
      <c r="M275" s="20"/>
      <c r="N275">
        <f t="shared" si="4"/>
        <v>0.11879910213243547</v>
      </c>
    </row>
    <row r="276" spans="1:14" x14ac:dyDescent="0.3">
      <c r="A276" s="13" t="s">
        <v>486</v>
      </c>
      <c r="B276" s="14" t="s">
        <v>43</v>
      </c>
      <c r="C276" s="15">
        <v>45690</v>
      </c>
      <c r="D276" s="14" t="s">
        <v>35</v>
      </c>
      <c r="E276" s="14" t="s">
        <v>71</v>
      </c>
      <c r="F276" s="8">
        <v>886</v>
      </c>
      <c r="G276" s="8">
        <v>126</v>
      </c>
      <c r="H276" s="8">
        <v>153</v>
      </c>
      <c r="I276" s="8">
        <v>4430</v>
      </c>
      <c r="J276" s="8">
        <v>4037</v>
      </c>
      <c r="K276" s="8">
        <v>212</v>
      </c>
      <c r="L276" s="14" t="s">
        <v>37</v>
      </c>
      <c r="M276" s="16"/>
      <c r="N276">
        <f t="shared" si="4"/>
        <v>0.26297968397291194</v>
      </c>
    </row>
    <row r="277" spans="1:14" x14ac:dyDescent="0.3">
      <c r="A277" s="17" t="s">
        <v>487</v>
      </c>
      <c r="B277" s="18" t="s">
        <v>14</v>
      </c>
      <c r="C277" s="19">
        <v>45491</v>
      </c>
      <c r="D277" s="18" t="s">
        <v>52</v>
      </c>
      <c r="E277" s="18" t="s">
        <v>132</v>
      </c>
      <c r="F277" s="9">
        <v>827</v>
      </c>
      <c r="G277" s="9">
        <v>77</v>
      </c>
      <c r="H277" s="9">
        <v>402</v>
      </c>
      <c r="I277" s="9">
        <v>14886</v>
      </c>
      <c r="J277" s="9">
        <v>14129</v>
      </c>
      <c r="K277" s="9">
        <v>254</v>
      </c>
      <c r="L277" s="18" t="s">
        <v>37</v>
      </c>
      <c r="M277" s="20" t="s">
        <v>25</v>
      </c>
      <c r="N277">
        <f t="shared" si="4"/>
        <v>8.7733440816874911E-2</v>
      </c>
    </row>
    <row r="278" spans="1:14" x14ac:dyDescent="0.3">
      <c r="A278" s="13" t="s">
        <v>488</v>
      </c>
      <c r="B278" s="14" t="s">
        <v>43</v>
      </c>
      <c r="C278" s="15">
        <v>45465</v>
      </c>
      <c r="D278" s="14" t="s">
        <v>16</v>
      </c>
      <c r="E278" s="14" t="s">
        <v>65</v>
      </c>
      <c r="F278" s="8">
        <v>3813</v>
      </c>
      <c r="G278" s="8">
        <v>935</v>
      </c>
      <c r="H278" s="8">
        <v>274</v>
      </c>
      <c r="I278" s="8">
        <v>68634</v>
      </c>
      <c r="J278" s="8">
        <v>68488</v>
      </c>
      <c r="K278" s="8">
        <v>251</v>
      </c>
      <c r="L278" s="14" t="s">
        <v>62</v>
      </c>
      <c r="M278" s="16"/>
      <c r="N278">
        <f t="shared" si="4"/>
        <v>7.3170731707317069E-2</v>
      </c>
    </row>
    <row r="279" spans="1:14" x14ac:dyDescent="0.3">
      <c r="A279" s="17" t="s">
        <v>489</v>
      </c>
      <c r="B279" s="18" t="s">
        <v>33</v>
      </c>
      <c r="C279" s="19">
        <v>45743</v>
      </c>
      <c r="D279" s="18" t="s">
        <v>45</v>
      </c>
      <c r="E279" s="18" t="s">
        <v>88</v>
      </c>
      <c r="F279" s="9">
        <v>1377</v>
      </c>
      <c r="G279" s="9">
        <v>796</v>
      </c>
      <c r="H279" s="9">
        <v>387</v>
      </c>
      <c r="I279" s="9">
        <v>22032</v>
      </c>
      <c r="J279" s="9">
        <v>21869</v>
      </c>
      <c r="K279" s="9">
        <v>189</v>
      </c>
      <c r="L279" s="18" t="s">
        <v>62</v>
      </c>
      <c r="M279" s="20"/>
      <c r="N279">
        <f t="shared" si="4"/>
        <v>0.11619462599854757</v>
      </c>
    </row>
    <row r="280" spans="1:14" x14ac:dyDescent="0.3">
      <c r="A280" s="13" t="s">
        <v>491</v>
      </c>
      <c r="B280" s="14" t="s">
        <v>43</v>
      </c>
      <c r="C280" s="15">
        <v>45775</v>
      </c>
      <c r="D280" s="14" t="s">
        <v>45</v>
      </c>
      <c r="E280" s="14" t="s">
        <v>46</v>
      </c>
      <c r="F280" s="8">
        <v>2089</v>
      </c>
      <c r="G280" s="8">
        <v>476</v>
      </c>
      <c r="H280" s="8">
        <v>69</v>
      </c>
      <c r="I280" s="8">
        <v>16712</v>
      </c>
      <c r="J280" s="8">
        <v>16309</v>
      </c>
      <c r="K280" s="8">
        <v>64</v>
      </c>
      <c r="L280" s="14" t="s">
        <v>62</v>
      </c>
      <c r="M280" s="16" t="s">
        <v>31</v>
      </c>
      <c r="N280">
        <f t="shared" si="4"/>
        <v>0.15761129727142173</v>
      </c>
    </row>
    <row r="281" spans="1:14" x14ac:dyDescent="0.3">
      <c r="A281" s="17" t="s">
        <v>492</v>
      </c>
      <c r="B281" s="18" t="s">
        <v>14</v>
      </c>
      <c r="C281" s="19">
        <v>45507</v>
      </c>
      <c r="D281" s="18" t="s">
        <v>16</v>
      </c>
      <c r="E281" s="18" t="s">
        <v>17</v>
      </c>
      <c r="F281" s="9">
        <v>3791</v>
      </c>
      <c r="G281" s="9">
        <v>593</v>
      </c>
      <c r="H281" s="9">
        <v>228</v>
      </c>
      <c r="I281" s="9">
        <v>53074</v>
      </c>
      <c r="J281" s="9">
        <v>52613</v>
      </c>
      <c r="K281" s="9">
        <v>205</v>
      </c>
      <c r="L281" s="18" t="s">
        <v>37</v>
      </c>
      <c r="M281" s="20"/>
      <c r="N281">
        <f t="shared" si="4"/>
        <v>8.6897539284772202E-2</v>
      </c>
    </row>
    <row r="282" spans="1:14" x14ac:dyDescent="0.3">
      <c r="A282" s="13" t="s">
        <v>494</v>
      </c>
      <c r="B282" s="14" t="s">
        <v>14</v>
      </c>
      <c r="C282" s="15">
        <v>45671</v>
      </c>
      <c r="D282" s="14" t="s">
        <v>52</v>
      </c>
      <c r="E282" s="14" t="s">
        <v>132</v>
      </c>
      <c r="F282" s="8">
        <v>2692</v>
      </c>
      <c r="G282" s="8">
        <v>115</v>
      </c>
      <c r="H282" s="8">
        <v>64</v>
      </c>
      <c r="I282" s="8">
        <v>21536</v>
      </c>
      <c r="J282" s="8">
        <v>21120</v>
      </c>
      <c r="K282" s="8">
        <v>224</v>
      </c>
      <c r="L282" s="14" t="s">
        <v>62</v>
      </c>
      <c r="M282" s="16" t="s">
        <v>25</v>
      </c>
      <c r="N282">
        <f t="shared" si="4"/>
        <v>0.13331166419019316</v>
      </c>
    </row>
    <row r="283" spans="1:14" x14ac:dyDescent="0.3">
      <c r="A283" s="17" t="s">
        <v>496</v>
      </c>
      <c r="B283" s="18" t="s">
        <v>43</v>
      </c>
      <c r="C283" s="19">
        <v>45750</v>
      </c>
      <c r="D283" s="18" t="s">
        <v>35</v>
      </c>
      <c r="E283" s="18" t="s">
        <v>71</v>
      </c>
      <c r="F283" s="9">
        <v>3767</v>
      </c>
      <c r="G283" s="9">
        <v>514</v>
      </c>
      <c r="H283" s="9">
        <v>238</v>
      </c>
      <c r="I283" s="9">
        <v>37670</v>
      </c>
      <c r="J283" s="9">
        <v>36807</v>
      </c>
      <c r="K283" s="9">
        <v>226</v>
      </c>
      <c r="L283" s="18" t="s">
        <v>62</v>
      </c>
      <c r="M283" s="20" t="s">
        <v>38</v>
      </c>
      <c r="N283">
        <f t="shared" si="4"/>
        <v>0.11996283514733209</v>
      </c>
    </row>
    <row r="284" spans="1:14" x14ac:dyDescent="0.3">
      <c r="A284" s="13" t="s">
        <v>497</v>
      </c>
      <c r="B284" s="14" t="s">
        <v>27</v>
      </c>
      <c r="C284" s="15">
        <v>45553</v>
      </c>
      <c r="D284" s="14" t="s">
        <v>45</v>
      </c>
      <c r="E284" s="14" t="s">
        <v>68</v>
      </c>
      <c r="F284" s="8">
        <v>2143</v>
      </c>
      <c r="G284" s="8">
        <v>12</v>
      </c>
      <c r="H284" s="8">
        <v>204</v>
      </c>
      <c r="I284" s="8">
        <v>40717</v>
      </c>
      <c r="J284" s="8">
        <v>40125</v>
      </c>
      <c r="K284" s="8">
        <v>248</v>
      </c>
      <c r="L284" s="14" t="s">
        <v>37</v>
      </c>
      <c r="M284" s="16" t="s">
        <v>25</v>
      </c>
      <c r="N284">
        <f t="shared" si="4"/>
        <v>5.7936488444630008E-2</v>
      </c>
    </row>
    <row r="285" spans="1:14" x14ac:dyDescent="0.3">
      <c r="A285" s="17" t="s">
        <v>498</v>
      </c>
      <c r="B285" s="18" t="s">
        <v>43</v>
      </c>
      <c r="C285" s="19">
        <v>45753</v>
      </c>
      <c r="D285" s="18" t="s">
        <v>52</v>
      </c>
      <c r="E285" s="18" t="s">
        <v>59</v>
      </c>
      <c r="F285" s="9">
        <v>3090</v>
      </c>
      <c r="G285" s="9">
        <v>697</v>
      </c>
      <c r="H285" s="9">
        <v>164</v>
      </c>
      <c r="I285" s="9">
        <v>49440</v>
      </c>
      <c r="J285" s="9">
        <v>48524</v>
      </c>
      <c r="K285" s="9">
        <v>25</v>
      </c>
      <c r="L285" s="18" t="s">
        <v>37</v>
      </c>
      <c r="M285" s="20" t="s">
        <v>25</v>
      </c>
      <c r="N285">
        <f t="shared" si="4"/>
        <v>7.9915048543689318E-2</v>
      </c>
    </row>
    <row r="286" spans="1:14" x14ac:dyDescent="0.3">
      <c r="A286" s="13" t="s">
        <v>498</v>
      </c>
      <c r="B286" s="14" t="s">
        <v>43</v>
      </c>
      <c r="C286" s="15">
        <v>45753</v>
      </c>
      <c r="D286" s="14" t="s">
        <v>52</v>
      </c>
      <c r="E286" s="14" t="s">
        <v>59</v>
      </c>
      <c r="F286" s="8">
        <v>3090</v>
      </c>
      <c r="G286" s="8">
        <v>697</v>
      </c>
      <c r="H286" s="8">
        <v>164</v>
      </c>
      <c r="I286" s="8">
        <v>49440</v>
      </c>
      <c r="J286" s="8">
        <v>48524</v>
      </c>
      <c r="K286" s="8">
        <v>25</v>
      </c>
      <c r="L286" s="14" t="s">
        <v>37</v>
      </c>
      <c r="M286" s="16" t="s">
        <v>25</v>
      </c>
      <c r="N286">
        <f t="shared" si="4"/>
        <v>7.9915048543689318E-2</v>
      </c>
    </row>
    <row r="287" spans="1:14" x14ac:dyDescent="0.3">
      <c r="A287" s="17" t="s">
        <v>498</v>
      </c>
      <c r="B287" s="18" t="s">
        <v>43</v>
      </c>
      <c r="C287" s="19">
        <v>45753</v>
      </c>
      <c r="D287" s="18" t="s">
        <v>52</v>
      </c>
      <c r="E287" s="18" t="s">
        <v>59</v>
      </c>
      <c r="F287" s="9">
        <v>3090</v>
      </c>
      <c r="G287" s="9">
        <v>697</v>
      </c>
      <c r="H287" s="9">
        <v>164</v>
      </c>
      <c r="I287" s="9">
        <v>49440</v>
      </c>
      <c r="J287" s="9">
        <v>48524</v>
      </c>
      <c r="K287" s="9">
        <v>25</v>
      </c>
      <c r="L287" s="18" t="s">
        <v>614</v>
      </c>
      <c r="M287" s="20" t="s">
        <v>25</v>
      </c>
      <c r="N287">
        <f t="shared" si="4"/>
        <v>7.9915048543689318E-2</v>
      </c>
    </row>
    <row r="288" spans="1:14" x14ac:dyDescent="0.3">
      <c r="A288" s="13" t="s">
        <v>500</v>
      </c>
      <c r="B288" s="14" t="s">
        <v>33</v>
      </c>
      <c r="C288" s="15">
        <v>45509</v>
      </c>
      <c r="D288" s="14" t="s">
        <v>35</v>
      </c>
      <c r="E288" s="14" t="s">
        <v>36</v>
      </c>
      <c r="F288" s="8">
        <v>3601</v>
      </c>
      <c r="G288" s="8">
        <v>695</v>
      </c>
      <c r="H288" s="8">
        <v>75</v>
      </c>
      <c r="I288" s="8">
        <v>21606</v>
      </c>
      <c r="J288" s="8">
        <v>21454</v>
      </c>
      <c r="K288" s="8">
        <v>172</v>
      </c>
      <c r="L288" s="14" t="s">
        <v>37</v>
      </c>
      <c r="M288" s="16" t="s">
        <v>25</v>
      </c>
      <c r="N288">
        <f t="shared" si="4"/>
        <v>0.2023049153013052</v>
      </c>
    </row>
    <row r="289" spans="1:14" x14ac:dyDescent="0.3">
      <c r="A289" s="17" t="s">
        <v>502</v>
      </c>
      <c r="B289" s="18" t="s">
        <v>43</v>
      </c>
      <c r="C289" s="19">
        <v>45698</v>
      </c>
      <c r="D289" s="18" t="s">
        <v>22</v>
      </c>
      <c r="E289" s="18" t="s">
        <v>56</v>
      </c>
      <c r="F289" s="9">
        <v>562</v>
      </c>
      <c r="G289" s="9">
        <v>158</v>
      </c>
      <c r="H289" s="9">
        <v>149</v>
      </c>
      <c r="I289" s="9">
        <v>3372</v>
      </c>
      <c r="J289" s="9">
        <v>2940</v>
      </c>
      <c r="K289" s="9">
        <v>93</v>
      </c>
      <c r="L289" s="18" t="s">
        <v>30</v>
      </c>
      <c r="M289" s="20" t="s">
        <v>19</v>
      </c>
      <c r="N289">
        <f t="shared" si="4"/>
        <v>0.25771055753262156</v>
      </c>
    </row>
    <row r="290" spans="1:14" x14ac:dyDescent="0.3">
      <c r="A290" s="13" t="s">
        <v>503</v>
      </c>
      <c r="B290" s="14" t="s">
        <v>33</v>
      </c>
      <c r="C290" s="15">
        <v>45700</v>
      </c>
      <c r="D290" s="14" t="s">
        <v>35</v>
      </c>
      <c r="E290" s="14" t="s">
        <v>36</v>
      </c>
      <c r="F290" s="8">
        <v>4332</v>
      </c>
      <c r="G290" s="8">
        <v>771</v>
      </c>
      <c r="H290" s="8">
        <v>219</v>
      </c>
      <c r="I290" s="8">
        <v>60648</v>
      </c>
      <c r="J290" s="8">
        <v>60397</v>
      </c>
      <c r="K290" s="8">
        <v>10</v>
      </c>
      <c r="L290" s="14" t="s">
        <v>30</v>
      </c>
      <c r="M290" s="16" t="s">
        <v>31</v>
      </c>
      <c r="N290">
        <f t="shared" si="4"/>
        <v>8.7752275425405618E-2</v>
      </c>
    </row>
    <row r="291" spans="1:14" x14ac:dyDescent="0.3">
      <c r="A291" s="17" t="s">
        <v>503</v>
      </c>
      <c r="B291" s="18" t="s">
        <v>33</v>
      </c>
      <c r="C291" s="19">
        <v>45700</v>
      </c>
      <c r="D291" s="18" t="s">
        <v>35</v>
      </c>
      <c r="E291" s="18" t="s">
        <v>36</v>
      </c>
      <c r="F291" s="9">
        <v>4332</v>
      </c>
      <c r="G291" s="9">
        <v>771</v>
      </c>
      <c r="H291" s="9">
        <v>219</v>
      </c>
      <c r="I291" s="9">
        <v>60648</v>
      </c>
      <c r="J291" s="9">
        <v>60397</v>
      </c>
      <c r="K291" s="9">
        <v>10</v>
      </c>
      <c r="L291" s="18" t="s">
        <v>37</v>
      </c>
      <c r="M291" s="20" t="s">
        <v>31</v>
      </c>
      <c r="N291">
        <f t="shared" si="4"/>
        <v>8.7752275425405618E-2</v>
      </c>
    </row>
    <row r="292" spans="1:14" x14ac:dyDescent="0.3">
      <c r="A292" s="13" t="s">
        <v>503</v>
      </c>
      <c r="B292" s="14" t="s">
        <v>33</v>
      </c>
      <c r="C292" s="15">
        <v>45700</v>
      </c>
      <c r="D292" s="14" t="s">
        <v>35</v>
      </c>
      <c r="E292" s="14" t="s">
        <v>36</v>
      </c>
      <c r="F292" s="8">
        <v>4332</v>
      </c>
      <c r="G292" s="8">
        <v>771</v>
      </c>
      <c r="H292" s="8">
        <v>219</v>
      </c>
      <c r="I292" s="8">
        <v>60648</v>
      </c>
      <c r="J292" s="8">
        <v>60397</v>
      </c>
      <c r="K292" s="8">
        <v>10</v>
      </c>
      <c r="L292" s="14" t="s">
        <v>614</v>
      </c>
      <c r="M292" s="16" t="s">
        <v>31</v>
      </c>
      <c r="N292">
        <f t="shared" si="4"/>
        <v>8.7752275425405618E-2</v>
      </c>
    </row>
    <row r="293" spans="1:14" x14ac:dyDescent="0.3">
      <c r="A293" s="17" t="s">
        <v>506</v>
      </c>
      <c r="B293" s="18" t="s">
        <v>33</v>
      </c>
      <c r="C293" s="19">
        <v>45592</v>
      </c>
      <c r="D293" s="18" t="s">
        <v>52</v>
      </c>
      <c r="E293" s="18" t="s">
        <v>215</v>
      </c>
      <c r="F293" s="9">
        <v>4853</v>
      </c>
      <c r="G293" s="9">
        <v>837</v>
      </c>
      <c r="H293" s="9">
        <v>340</v>
      </c>
      <c r="I293" s="9">
        <v>72795</v>
      </c>
      <c r="J293" s="9">
        <v>72237</v>
      </c>
      <c r="K293" s="9">
        <v>170</v>
      </c>
      <c r="L293" s="18" t="s">
        <v>37</v>
      </c>
      <c r="M293" s="20" t="s">
        <v>19</v>
      </c>
      <c r="N293">
        <f t="shared" si="4"/>
        <v>8.2835359571399134E-2</v>
      </c>
    </row>
    <row r="294" spans="1:14" x14ac:dyDescent="0.3">
      <c r="A294" s="13" t="s">
        <v>508</v>
      </c>
      <c r="B294" s="14" t="s">
        <v>27</v>
      </c>
      <c r="C294" s="15">
        <v>45675</v>
      </c>
      <c r="D294" s="14" t="s">
        <v>52</v>
      </c>
      <c r="E294" s="14" t="s">
        <v>53</v>
      </c>
      <c r="F294" s="8">
        <v>1206</v>
      </c>
      <c r="G294" s="8">
        <v>238</v>
      </c>
      <c r="H294" s="8">
        <v>36</v>
      </c>
      <c r="I294" s="8">
        <v>9648</v>
      </c>
      <c r="J294" s="8">
        <v>9417</v>
      </c>
      <c r="K294" s="8">
        <v>237</v>
      </c>
      <c r="L294" s="14" t="s">
        <v>30</v>
      </c>
      <c r="M294" s="16"/>
      <c r="N294">
        <f t="shared" si="4"/>
        <v>0.15339966832504145</v>
      </c>
    </row>
    <row r="295" spans="1:14" x14ac:dyDescent="0.3">
      <c r="A295" s="17" t="s">
        <v>509</v>
      </c>
      <c r="B295" s="18" t="s">
        <v>33</v>
      </c>
      <c r="C295" s="19">
        <v>45524</v>
      </c>
      <c r="D295" s="18" t="s">
        <v>16</v>
      </c>
      <c r="E295" s="18" t="s">
        <v>82</v>
      </c>
      <c r="F295" s="9">
        <v>2603</v>
      </c>
      <c r="G295" s="9">
        <v>690</v>
      </c>
      <c r="H295" s="9">
        <v>205</v>
      </c>
      <c r="I295" s="9">
        <v>13015</v>
      </c>
      <c r="J295" s="9">
        <v>12130</v>
      </c>
      <c r="K295" s="9">
        <v>20</v>
      </c>
      <c r="L295" s="18" t="s">
        <v>62</v>
      </c>
      <c r="M295" s="20" t="s">
        <v>25</v>
      </c>
      <c r="N295">
        <f t="shared" si="4"/>
        <v>0.26876680752977333</v>
      </c>
    </row>
    <row r="296" spans="1:14" x14ac:dyDescent="0.3">
      <c r="A296" s="13" t="s">
        <v>511</v>
      </c>
      <c r="B296" s="14" t="s">
        <v>14</v>
      </c>
      <c r="C296" s="15">
        <v>45687</v>
      </c>
      <c r="D296" s="14" t="s">
        <v>52</v>
      </c>
      <c r="E296" s="14" t="s">
        <v>132</v>
      </c>
      <c r="F296" s="8">
        <v>59</v>
      </c>
      <c r="G296" s="8">
        <v>163</v>
      </c>
      <c r="H296" s="8">
        <v>93</v>
      </c>
      <c r="I296" s="8">
        <v>590</v>
      </c>
      <c r="J296" s="8">
        <v>475</v>
      </c>
      <c r="K296" s="8">
        <v>293</v>
      </c>
      <c r="L296" s="14" t="s">
        <v>30</v>
      </c>
      <c r="M296" s="16" t="s">
        <v>25</v>
      </c>
      <c r="N296">
        <f t="shared" si="4"/>
        <v>0.53389830508474578</v>
      </c>
    </row>
    <row r="297" spans="1:14" x14ac:dyDescent="0.3">
      <c r="A297" s="17" t="s">
        <v>513</v>
      </c>
      <c r="B297" s="18" t="s">
        <v>14</v>
      </c>
      <c r="C297" s="19">
        <v>45708</v>
      </c>
      <c r="D297" s="18" t="s">
        <v>45</v>
      </c>
      <c r="E297" s="18" t="s">
        <v>49</v>
      </c>
      <c r="F297" s="9">
        <v>1877</v>
      </c>
      <c r="G297" s="9">
        <v>745</v>
      </c>
      <c r="H297" s="9">
        <v>225</v>
      </c>
      <c r="I297" s="9">
        <v>11262</v>
      </c>
      <c r="J297" s="9">
        <v>10967</v>
      </c>
      <c r="K297" s="9">
        <v>41</v>
      </c>
      <c r="L297" s="18" t="s">
        <v>37</v>
      </c>
      <c r="M297" s="20" t="s">
        <v>38</v>
      </c>
      <c r="N297">
        <f t="shared" si="4"/>
        <v>0.25279701651571657</v>
      </c>
    </row>
    <row r="298" spans="1:14" x14ac:dyDescent="0.3">
      <c r="A298" s="13" t="s">
        <v>515</v>
      </c>
      <c r="B298" s="14" t="s">
        <v>43</v>
      </c>
      <c r="C298" s="15">
        <v>45621</v>
      </c>
      <c r="D298" s="14" t="s">
        <v>35</v>
      </c>
      <c r="E298" s="14" t="s">
        <v>71</v>
      </c>
      <c r="F298" s="8">
        <v>4182</v>
      </c>
      <c r="G298" s="8">
        <v>640</v>
      </c>
      <c r="H298" s="8">
        <v>240</v>
      </c>
      <c r="I298" s="8">
        <v>50184</v>
      </c>
      <c r="J298" s="8">
        <v>49351</v>
      </c>
      <c r="K298" s="8">
        <v>10</v>
      </c>
      <c r="L298" s="14" t="s">
        <v>30</v>
      </c>
      <c r="M298" s="16" t="s">
        <v>31</v>
      </c>
      <c r="N298">
        <f t="shared" si="4"/>
        <v>0.10086880280567512</v>
      </c>
    </row>
    <row r="299" spans="1:14" x14ac:dyDescent="0.3">
      <c r="A299" s="17" t="s">
        <v>516</v>
      </c>
      <c r="B299" s="18" t="s">
        <v>14</v>
      </c>
      <c r="C299" s="19">
        <v>45569</v>
      </c>
      <c r="D299" s="18" t="s">
        <v>16</v>
      </c>
      <c r="E299" s="18" t="s">
        <v>17</v>
      </c>
      <c r="F299" s="9">
        <v>4187</v>
      </c>
      <c r="G299" s="9">
        <v>66</v>
      </c>
      <c r="H299" s="9">
        <v>31</v>
      </c>
      <c r="I299" s="9">
        <v>66992</v>
      </c>
      <c r="J299" s="9">
        <v>66614</v>
      </c>
      <c r="K299" s="9">
        <v>62</v>
      </c>
      <c r="L299" s="18" t="s">
        <v>62</v>
      </c>
      <c r="M299" s="20"/>
      <c r="N299">
        <f t="shared" si="4"/>
        <v>6.3947934081681396E-2</v>
      </c>
    </row>
    <row r="300" spans="1:14" x14ac:dyDescent="0.3">
      <c r="A300" s="13" t="s">
        <v>517</v>
      </c>
      <c r="B300" s="14" t="s">
        <v>33</v>
      </c>
      <c r="C300" s="15">
        <v>45760</v>
      </c>
      <c r="D300" s="14" t="s">
        <v>16</v>
      </c>
      <c r="E300" s="14" t="s">
        <v>82</v>
      </c>
      <c r="F300" s="8">
        <v>4579</v>
      </c>
      <c r="G300" s="8">
        <v>125</v>
      </c>
      <c r="H300" s="8">
        <v>300</v>
      </c>
      <c r="I300" s="8">
        <v>59527</v>
      </c>
      <c r="J300" s="8">
        <v>59400</v>
      </c>
      <c r="K300" s="8">
        <v>269</v>
      </c>
      <c r="L300" s="14" t="s">
        <v>37</v>
      </c>
      <c r="M300" s="16" t="s">
        <v>19</v>
      </c>
      <c r="N300">
        <f t="shared" si="4"/>
        <v>8.4062694239588759E-2</v>
      </c>
    </row>
    <row r="301" spans="1:14" x14ac:dyDescent="0.3">
      <c r="A301" s="17" t="s">
        <v>519</v>
      </c>
      <c r="B301" s="18" t="s">
        <v>33</v>
      </c>
      <c r="C301" s="19">
        <v>45601</v>
      </c>
      <c r="D301" s="18" t="s">
        <v>74</v>
      </c>
      <c r="E301" s="18" t="s">
        <v>85</v>
      </c>
      <c r="F301" s="9">
        <v>4561</v>
      </c>
      <c r="G301" s="9">
        <v>51</v>
      </c>
      <c r="H301" s="9">
        <v>441</v>
      </c>
      <c r="I301" s="9">
        <v>22805</v>
      </c>
      <c r="J301" s="9">
        <v>21890</v>
      </c>
      <c r="K301" s="9">
        <v>45</v>
      </c>
      <c r="L301" s="18" t="s">
        <v>30</v>
      </c>
      <c r="M301" s="20" t="s">
        <v>25</v>
      </c>
      <c r="N301">
        <f t="shared" si="4"/>
        <v>0.22157421618066214</v>
      </c>
    </row>
    <row r="302" spans="1:14" x14ac:dyDescent="0.3">
      <c r="A302" s="13" t="s">
        <v>521</v>
      </c>
      <c r="B302" s="14" t="s">
        <v>27</v>
      </c>
      <c r="C302" s="15">
        <v>45672</v>
      </c>
      <c r="D302" s="14" t="s">
        <v>16</v>
      </c>
      <c r="E302" s="14" t="s">
        <v>29</v>
      </c>
      <c r="F302" s="8">
        <v>3774</v>
      </c>
      <c r="G302" s="8">
        <v>239</v>
      </c>
      <c r="H302" s="8">
        <v>39</v>
      </c>
      <c r="I302" s="8">
        <v>60384</v>
      </c>
      <c r="J302" s="8">
        <v>59490</v>
      </c>
      <c r="K302" s="8">
        <v>241</v>
      </c>
      <c r="L302" s="14" t="s">
        <v>30</v>
      </c>
      <c r="M302" s="16" t="s">
        <v>31</v>
      </c>
      <c r="N302">
        <f t="shared" si="4"/>
        <v>6.7103868574456813E-2</v>
      </c>
    </row>
    <row r="303" spans="1:14" x14ac:dyDescent="0.3">
      <c r="A303" s="17" t="s">
        <v>522</v>
      </c>
      <c r="B303" s="18" t="s">
        <v>33</v>
      </c>
      <c r="C303" s="19">
        <v>45582</v>
      </c>
      <c r="D303" s="18" t="s">
        <v>74</v>
      </c>
      <c r="E303" s="18" t="s">
        <v>85</v>
      </c>
      <c r="F303" s="9">
        <v>3575</v>
      </c>
      <c r="G303" s="9">
        <v>749</v>
      </c>
      <c r="H303" s="9">
        <v>111</v>
      </c>
      <c r="I303" s="9">
        <v>21450</v>
      </c>
      <c r="J303" s="9">
        <v>20785</v>
      </c>
      <c r="K303" s="9">
        <v>195</v>
      </c>
      <c r="L303" s="18" t="s">
        <v>37</v>
      </c>
      <c r="M303" s="20" t="s">
        <v>25</v>
      </c>
      <c r="N303">
        <f t="shared" si="4"/>
        <v>0.20675990675990677</v>
      </c>
    </row>
    <row r="304" spans="1:14" x14ac:dyDescent="0.3">
      <c r="A304" s="13" t="s">
        <v>524</v>
      </c>
      <c r="B304" s="14" t="s">
        <v>33</v>
      </c>
      <c r="C304" s="15">
        <v>45743</v>
      </c>
      <c r="D304" s="14" t="s">
        <v>22</v>
      </c>
      <c r="E304" s="14" t="s">
        <v>113</v>
      </c>
      <c r="F304" s="8">
        <v>4941</v>
      </c>
      <c r="G304" s="8">
        <v>414</v>
      </c>
      <c r="H304" s="8">
        <v>266</v>
      </c>
      <c r="I304" s="8">
        <v>39528</v>
      </c>
      <c r="J304" s="8">
        <v>39154</v>
      </c>
      <c r="K304" s="8">
        <v>217</v>
      </c>
      <c r="L304" s="14" t="s">
        <v>30</v>
      </c>
      <c r="M304" s="16" t="s">
        <v>31</v>
      </c>
      <c r="N304">
        <f t="shared" si="4"/>
        <v>0.14220299534507186</v>
      </c>
    </row>
    <row r="305" spans="1:14" x14ac:dyDescent="0.3">
      <c r="A305" s="17" t="s">
        <v>525</v>
      </c>
      <c r="B305" s="18" t="s">
        <v>27</v>
      </c>
      <c r="C305" s="19">
        <v>45577</v>
      </c>
      <c r="D305" s="18" t="s">
        <v>35</v>
      </c>
      <c r="E305" s="18" t="s">
        <v>154</v>
      </c>
      <c r="F305" s="9">
        <v>3641</v>
      </c>
      <c r="G305" s="9">
        <v>226</v>
      </c>
      <c r="H305" s="9">
        <v>46</v>
      </c>
      <c r="I305" s="9">
        <v>40051</v>
      </c>
      <c r="J305" s="9">
        <v>39319</v>
      </c>
      <c r="K305" s="9">
        <v>296</v>
      </c>
      <c r="L305" s="18" t="s">
        <v>37</v>
      </c>
      <c r="M305" s="20" t="s">
        <v>38</v>
      </c>
      <c r="N305">
        <f t="shared" si="4"/>
        <v>9.7700431949264685E-2</v>
      </c>
    </row>
    <row r="306" spans="1:14" x14ac:dyDescent="0.3">
      <c r="A306" s="13" t="s">
        <v>527</v>
      </c>
      <c r="B306" s="14" t="s">
        <v>14</v>
      </c>
      <c r="C306" s="15">
        <v>45658</v>
      </c>
      <c r="D306" s="14" t="s">
        <v>45</v>
      </c>
      <c r="E306" s="14" t="s">
        <v>49</v>
      </c>
      <c r="F306" s="8">
        <v>3535</v>
      </c>
      <c r="G306" s="8">
        <v>494</v>
      </c>
      <c r="H306" s="8">
        <v>152</v>
      </c>
      <c r="I306" s="8">
        <v>53025</v>
      </c>
      <c r="J306" s="8">
        <v>52791</v>
      </c>
      <c r="K306" s="8">
        <v>44</v>
      </c>
      <c r="L306" s="14" t="s">
        <v>30</v>
      </c>
      <c r="M306" s="16" t="s">
        <v>38</v>
      </c>
      <c r="N306">
        <f t="shared" si="4"/>
        <v>7.8849599245638849E-2</v>
      </c>
    </row>
    <row r="307" spans="1:14" x14ac:dyDescent="0.3">
      <c r="A307" s="17" t="s">
        <v>528</v>
      </c>
      <c r="B307" s="18" t="s">
        <v>43</v>
      </c>
      <c r="C307" s="19">
        <v>45509</v>
      </c>
      <c r="D307" s="18" t="s">
        <v>16</v>
      </c>
      <c r="E307" s="18" t="s">
        <v>65</v>
      </c>
      <c r="F307" s="9">
        <v>1741</v>
      </c>
      <c r="G307" s="9">
        <v>831</v>
      </c>
      <c r="H307" s="9">
        <v>345</v>
      </c>
      <c r="I307" s="9">
        <v>17410</v>
      </c>
      <c r="J307" s="9">
        <v>16844</v>
      </c>
      <c r="K307" s="9">
        <v>58</v>
      </c>
      <c r="L307" s="18" t="s">
        <v>37</v>
      </c>
      <c r="M307" s="20" t="s">
        <v>31</v>
      </c>
      <c r="N307">
        <f t="shared" si="4"/>
        <v>0.16754738655944859</v>
      </c>
    </row>
    <row r="308" spans="1:14" x14ac:dyDescent="0.3">
      <c r="A308" s="13" t="s">
        <v>529</v>
      </c>
      <c r="B308" s="14" t="s">
        <v>14</v>
      </c>
      <c r="C308" s="15">
        <v>45450</v>
      </c>
      <c r="D308" s="14" t="s">
        <v>45</v>
      </c>
      <c r="E308" s="14" t="s">
        <v>49</v>
      </c>
      <c r="F308" s="8">
        <v>1556</v>
      </c>
      <c r="G308" s="8">
        <v>195</v>
      </c>
      <c r="H308" s="8">
        <v>131</v>
      </c>
      <c r="I308" s="8">
        <v>9336</v>
      </c>
      <c r="J308" s="8">
        <v>8875</v>
      </c>
      <c r="K308" s="8">
        <v>137</v>
      </c>
      <c r="L308" s="14" t="s">
        <v>30</v>
      </c>
      <c r="M308" s="16" t="s">
        <v>25</v>
      </c>
      <c r="N308">
        <f t="shared" si="4"/>
        <v>0.2015852613538989</v>
      </c>
    </row>
    <row r="309" spans="1:14" x14ac:dyDescent="0.3">
      <c r="A309" s="17" t="s">
        <v>531</v>
      </c>
      <c r="B309" s="18" t="s">
        <v>43</v>
      </c>
      <c r="C309" s="19">
        <v>45753</v>
      </c>
      <c r="D309" s="18" t="s">
        <v>52</v>
      </c>
      <c r="E309" s="18" t="s">
        <v>59</v>
      </c>
      <c r="F309" s="9">
        <v>4236</v>
      </c>
      <c r="G309" s="9">
        <v>711</v>
      </c>
      <c r="H309" s="9">
        <v>298</v>
      </c>
      <c r="I309" s="9">
        <v>21180</v>
      </c>
      <c r="J309" s="9">
        <v>20516</v>
      </c>
      <c r="K309" s="9">
        <v>238</v>
      </c>
      <c r="L309" s="18" t="s">
        <v>62</v>
      </c>
      <c r="M309" s="20" t="s">
        <v>19</v>
      </c>
      <c r="N309">
        <f t="shared" si="4"/>
        <v>0.24763928234183191</v>
      </c>
    </row>
    <row r="310" spans="1:14" x14ac:dyDescent="0.3">
      <c r="A310" s="13" t="s">
        <v>532</v>
      </c>
      <c r="B310" s="14" t="s">
        <v>14</v>
      </c>
      <c r="C310" s="15">
        <v>45622</v>
      </c>
      <c r="D310" s="14" t="s">
        <v>22</v>
      </c>
      <c r="E310" s="14" t="s">
        <v>23</v>
      </c>
      <c r="F310" s="8">
        <v>4516</v>
      </c>
      <c r="G310" s="8">
        <v>836</v>
      </c>
      <c r="H310" s="8">
        <v>169</v>
      </c>
      <c r="I310" s="8">
        <v>49676</v>
      </c>
      <c r="J310" s="8">
        <v>49257</v>
      </c>
      <c r="K310" s="8">
        <v>282</v>
      </c>
      <c r="L310" s="14" t="s">
        <v>37</v>
      </c>
      <c r="M310" s="16" t="s">
        <v>38</v>
      </c>
      <c r="N310">
        <f t="shared" si="4"/>
        <v>0.11114018842096787</v>
      </c>
    </row>
    <row r="311" spans="1:14" x14ac:dyDescent="0.3">
      <c r="A311" s="17" t="s">
        <v>534</v>
      </c>
      <c r="B311" s="18" t="s">
        <v>27</v>
      </c>
      <c r="C311" s="19">
        <v>45537</v>
      </c>
      <c r="D311" s="18" t="s">
        <v>52</v>
      </c>
      <c r="E311" s="18" t="s">
        <v>53</v>
      </c>
      <c r="F311" s="9">
        <v>4905</v>
      </c>
      <c r="G311" s="9">
        <v>845</v>
      </c>
      <c r="H311" s="9">
        <v>129</v>
      </c>
      <c r="I311" s="9">
        <v>98100</v>
      </c>
      <c r="J311" s="9">
        <v>97772</v>
      </c>
      <c r="K311" s="9">
        <v>279</v>
      </c>
      <c r="L311" s="18" t="s">
        <v>30</v>
      </c>
      <c r="M311" s="20" t="s">
        <v>25</v>
      </c>
      <c r="N311">
        <f t="shared" si="4"/>
        <v>5.9928644240570844E-2</v>
      </c>
    </row>
    <row r="312" spans="1:14" x14ac:dyDescent="0.3">
      <c r="A312" s="13" t="s">
        <v>535</v>
      </c>
      <c r="B312" s="14" t="s">
        <v>27</v>
      </c>
      <c r="C312" s="15">
        <v>45586</v>
      </c>
      <c r="D312" s="14" t="s">
        <v>74</v>
      </c>
      <c r="E312" s="14" t="s">
        <v>219</v>
      </c>
      <c r="F312" s="8">
        <v>4275</v>
      </c>
      <c r="G312" s="8">
        <v>680</v>
      </c>
      <c r="H312" s="8">
        <v>385</v>
      </c>
      <c r="I312" s="8">
        <v>64125</v>
      </c>
      <c r="J312" s="8">
        <v>63650</v>
      </c>
      <c r="K312" s="8">
        <v>104</v>
      </c>
      <c r="L312" s="14" t="s">
        <v>37</v>
      </c>
      <c r="M312" s="16" t="s">
        <v>38</v>
      </c>
      <c r="N312">
        <f t="shared" si="4"/>
        <v>8.3274853801169585E-2</v>
      </c>
    </row>
    <row r="313" spans="1:14" x14ac:dyDescent="0.3">
      <c r="A313" s="17" t="s">
        <v>535</v>
      </c>
      <c r="B313" s="18" t="s">
        <v>27</v>
      </c>
      <c r="C313" s="19">
        <v>45586</v>
      </c>
      <c r="D313" s="18" t="s">
        <v>74</v>
      </c>
      <c r="E313" s="18" t="s">
        <v>219</v>
      </c>
      <c r="F313" s="9">
        <v>4275</v>
      </c>
      <c r="G313" s="9">
        <v>680</v>
      </c>
      <c r="H313" s="9">
        <v>385</v>
      </c>
      <c r="I313" s="9">
        <v>64125</v>
      </c>
      <c r="J313" s="9">
        <v>63650</v>
      </c>
      <c r="K313" s="9">
        <v>104</v>
      </c>
      <c r="L313" s="18" t="s">
        <v>30</v>
      </c>
      <c r="M313" s="20" t="s">
        <v>38</v>
      </c>
      <c r="N313">
        <f t="shared" si="4"/>
        <v>8.3274853801169585E-2</v>
      </c>
    </row>
    <row r="314" spans="1:14" x14ac:dyDescent="0.3">
      <c r="A314" s="13" t="s">
        <v>535</v>
      </c>
      <c r="B314" s="14" t="s">
        <v>27</v>
      </c>
      <c r="C314" s="15">
        <v>45586</v>
      </c>
      <c r="D314" s="14" t="s">
        <v>74</v>
      </c>
      <c r="E314" s="14" t="s">
        <v>219</v>
      </c>
      <c r="F314" s="8">
        <v>4275</v>
      </c>
      <c r="G314" s="8">
        <v>680</v>
      </c>
      <c r="H314" s="8">
        <v>385</v>
      </c>
      <c r="I314" s="8">
        <v>64125</v>
      </c>
      <c r="J314" s="8">
        <v>63650</v>
      </c>
      <c r="K314" s="8">
        <v>104</v>
      </c>
      <c r="L314" s="14" t="s">
        <v>613</v>
      </c>
      <c r="M314" s="16" t="s">
        <v>38</v>
      </c>
      <c r="N314">
        <f t="shared" si="4"/>
        <v>8.3274853801169585E-2</v>
      </c>
    </row>
    <row r="315" spans="1:14" x14ac:dyDescent="0.3">
      <c r="A315" s="17" t="s">
        <v>536</v>
      </c>
      <c r="B315" s="18" t="s">
        <v>27</v>
      </c>
      <c r="C315" s="19">
        <v>45738</v>
      </c>
      <c r="D315" s="18" t="s">
        <v>52</v>
      </c>
      <c r="E315" s="18" t="s">
        <v>53</v>
      </c>
      <c r="F315" s="9">
        <v>3166</v>
      </c>
      <c r="G315" s="9">
        <v>90</v>
      </c>
      <c r="H315" s="9">
        <v>341</v>
      </c>
      <c r="I315" s="9">
        <v>56988</v>
      </c>
      <c r="J315" s="9">
        <v>56125</v>
      </c>
      <c r="K315" s="9">
        <v>135</v>
      </c>
      <c r="L315" s="18" t="s">
        <v>37</v>
      </c>
      <c r="M315" s="20" t="s">
        <v>25</v>
      </c>
      <c r="N315">
        <f t="shared" si="4"/>
        <v>6.3118551273952411E-2</v>
      </c>
    </row>
    <row r="316" spans="1:14" x14ac:dyDescent="0.3">
      <c r="A316" s="13" t="s">
        <v>538</v>
      </c>
      <c r="B316" s="14" t="s">
        <v>33</v>
      </c>
      <c r="C316" s="15">
        <v>45568</v>
      </c>
      <c r="D316" s="14" t="s">
        <v>74</v>
      </c>
      <c r="E316" s="14" t="s">
        <v>85</v>
      </c>
      <c r="F316" s="8">
        <v>1488</v>
      </c>
      <c r="G316" s="8">
        <v>417</v>
      </c>
      <c r="H316" s="8">
        <v>168</v>
      </c>
      <c r="I316" s="8">
        <v>19344</v>
      </c>
      <c r="J316" s="8">
        <v>18395</v>
      </c>
      <c r="K316" s="8">
        <v>30</v>
      </c>
      <c r="L316" s="14" t="s">
        <v>62</v>
      </c>
      <c r="M316" s="16" t="s">
        <v>31</v>
      </c>
      <c r="N316">
        <f t="shared" si="4"/>
        <v>0.1071650124069479</v>
      </c>
    </row>
    <row r="317" spans="1:14" x14ac:dyDescent="0.3">
      <c r="A317" s="17" t="s">
        <v>540</v>
      </c>
      <c r="B317" s="18" t="s">
        <v>14</v>
      </c>
      <c r="C317" s="19">
        <v>45786</v>
      </c>
      <c r="D317" s="18" t="s">
        <v>16</v>
      </c>
      <c r="E317" s="18" t="s">
        <v>17</v>
      </c>
      <c r="F317" s="9">
        <v>3367</v>
      </c>
      <c r="G317" s="9">
        <v>302</v>
      </c>
      <c r="H317" s="9">
        <v>57</v>
      </c>
      <c r="I317" s="9">
        <v>63973</v>
      </c>
      <c r="J317" s="9">
        <v>63789</v>
      </c>
      <c r="K317" s="9">
        <v>157</v>
      </c>
      <c r="L317" s="18" t="s">
        <v>62</v>
      </c>
      <c r="M317" s="20" t="s">
        <v>25</v>
      </c>
      <c r="N317">
        <f t="shared" si="4"/>
        <v>5.8243321401216137E-2</v>
      </c>
    </row>
    <row r="318" spans="1:14" x14ac:dyDescent="0.3">
      <c r="A318" s="13" t="s">
        <v>542</v>
      </c>
      <c r="B318" s="14" t="s">
        <v>14</v>
      </c>
      <c r="C318" s="15">
        <v>45552</v>
      </c>
      <c r="D318" s="14" t="s">
        <v>22</v>
      </c>
      <c r="E318" s="14" t="s">
        <v>23</v>
      </c>
      <c r="F318" s="8">
        <v>571</v>
      </c>
      <c r="G318" s="8">
        <v>190</v>
      </c>
      <c r="H318" s="8">
        <v>352</v>
      </c>
      <c r="I318" s="8">
        <v>9707</v>
      </c>
      <c r="J318" s="8">
        <v>9418</v>
      </c>
      <c r="K318" s="8">
        <v>231</v>
      </c>
      <c r="L318" s="14" t="s">
        <v>30</v>
      </c>
      <c r="M318" s="16" t="s">
        <v>38</v>
      </c>
      <c r="N318">
        <f t="shared" si="4"/>
        <v>0.11465952405480581</v>
      </c>
    </row>
    <row r="319" spans="1:14" x14ac:dyDescent="0.3">
      <c r="A319" s="17" t="s">
        <v>543</v>
      </c>
      <c r="B319" s="18" t="s">
        <v>27</v>
      </c>
      <c r="C319" s="19">
        <v>45491</v>
      </c>
      <c r="D319" s="18" t="s">
        <v>22</v>
      </c>
      <c r="E319" s="18" t="s">
        <v>104</v>
      </c>
      <c r="F319" s="9">
        <v>4021</v>
      </c>
      <c r="G319" s="9">
        <v>794</v>
      </c>
      <c r="H319" s="9">
        <v>77</v>
      </c>
      <c r="I319" s="9">
        <v>36189</v>
      </c>
      <c r="J319" s="9">
        <v>35505</v>
      </c>
      <c r="K319" s="9">
        <v>174</v>
      </c>
      <c r="L319" s="18" t="s">
        <v>37</v>
      </c>
      <c r="M319" s="20"/>
      <c r="N319">
        <f t="shared" si="4"/>
        <v>0.13517919809886983</v>
      </c>
    </row>
    <row r="320" spans="1:14" x14ac:dyDescent="0.3">
      <c r="A320" s="13" t="s">
        <v>544</v>
      </c>
      <c r="B320" s="14" t="s">
        <v>27</v>
      </c>
      <c r="C320" s="15">
        <v>45560</v>
      </c>
      <c r="D320" s="14" t="s">
        <v>74</v>
      </c>
      <c r="E320" s="14" t="s">
        <v>219</v>
      </c>
      <c r="F320" s="8">
        <v>3389</v>
      </c>
      <c r="G320" s="8">
        <v>344</v>
      </c>
      <c r="H320" s="8">
        <v>229</v>
      </c>
      <c r="I320" s="8">
        <v>20334</v>
      </c>
      <c r="J320" s="8">
        <v>19443</v>
      </c>
      <c r="K320" s="8">
        <v>228</v>
      </c>
      <c r="L320" s="14" t="s">
        <v>62</v>
      </c>
      <c r="M320" s="16" t="s">
        <v>31</v>
      </c>
      <c r="N320">
        <f t="shared" si="4"/>
        <v>0.19484607062063539</v>
      </c>
    </row>
    <row r="321" spans="1:14" x14ac:dyDescent="0.3">
      <c r="A321" s="17" t="s">
        <v>546</v>
      </c>
      <c r="B321" s="18" t="s">
        <v>33</v>
      </c>
      <c r="C321" s="19">
        <v>45519</v>
      </c>
      <c r="D321" s="18" t="s">
        <v>16</v>
      </c>
      <c r="E321" s="18" t="s">
        <v>82</v>
      </c>
      <c r="F321" s="9">
        <v>1164</v>
      </c>
      <c r="G321" s="9">
        <v>616</v>
      </c>
      <c r="H321" s="9">
        <v>324</v>
      </c>
      <c r="I321" s="9">
        <v>6984</v>
      </c>
      <c r="J321" s="9">
        <v>6636</v>
      </c>
      <c r="K321" s="9">
        <v>82</v>
      </c>
      <c r="L321" s="18" t="s">
        <v>37</v>
      </c>
      <c r="M321" s="20" t="s">
        <v>19</v>
      </c>
      <c r="N321">
        <f t="shared" si="4"/>
        <v>0.30126002290950743</v>
      </c>
    </row>
    <row r="322" spans="1:14" x14ac:dyDescent="0.3">
      <c r="A322" s="13" t="s">
        <v>547</v>
      </c>
      <c r="B322" s="14" t="s">
        <v>27</v>
      </c>
      <c r="C322" s="15">
        <v>45764</v>
      </c>
      <c r="D322" s="14" t="s">
        <v>45</v>
      </c>
      <c r="E322" s="14" t="s">
        <v>68</v>
      </c>
      <c r="F322" s="8">
        <v>4780</v>
      </c>
      <c r="G322" s="8">
        <v>691</v>
      </c>
      <c r="H322" s="8">
        <v>380</v>
      </c>
      <c r="I322" s="8">
        <v>86040</v>
      </c>
      <c r="J322" s="8">
        <v>85743</v>
      </c>
      <c r="K322" s="8">
        <v>262</v>
      </c>
      <c r="L322" s="14" t="s">
        <v>62</v>
      </c>
      <c r="M322" s="16" t="s">
        <v>31</v>
      </c>
      <c r="N322">
        <f t="shared" ref="N322:N340" si="5">(F322+G322+H322)/I322</f>
        <v>6.800325430032543E-2</v>
      </c>
    </row>
    <row r="323" spans="1:14" x14ac:dyDescent="0.3">
      <c r="A323" s="17" t="s">
        <v>549</v>
      </c>
      <c r="B323" s="18" t="s">
        <v>43</v>
      </c>
      <c r="C323" s="19">
        <v>45624</v>
      </c>
      <c r="D323" s="18" t="s">
        <v>45</v>
      </c>
      <c r="E323" s="18" t="s">
        <v>46</v>
      </c>
      <c r="F323" s="9">
        <v>2751</v>
      </c>
      <c r="G323" s="9">
        <v>33</v>
      </c>
      <c r="H323" s="9">
        <v>430</v>
      </c>
      <c r="I323" s="9">
        <v>44016</v>
      </c>
      <c r="J323" s="9">
        <v>43415</v>
      </c>
      <c r="K323" s="9">
        <v>129</v>
      </c>
      <c r="L323" s="18" t="s">
        <v>62</v>
      </c>
      <c r="M323" s="20"/>
      <c r="N323">
        <f t="shared" si="5"/>
        <v>7.3018902217375503E-2</v>
      </c>
    </row>
    <row r="324" spans="1:14" x14ac:dyDescent="0.3">
      <c r="A324" s="13" t="s">
        <v>550</v>
      </c>
      <c r="B324" s="14" t="s">
        <v>33</v>
      </c>
      <c r="C324" s="15">
        <v>45646</v>
      </c>
      <c r="D324" s="14" t="s">
        <v>45</v>
      </c>
      <c r="E324" s="14" t="s">
        <v>88</v>
      </c>
      <c r="F324" s="8">
        <v>2107</v>
      </c>
      <c r="G324" s="8">
        <v>550</v>
      </c>
      <c r="H324" s="8">
        <v>349</v>
      </c>
      <c r="I324" s="8">
        <v>35819</v>
      </c>
      <c r="J324" s="8">
        <v>35340</v>
      </c>
      <c r="K324" s="8">
        <v>191</v>
      </c>
      <c r="L324" s="14" t="s">
        <v>37</v>
      </c>
      <c r="M324" s="16" t="s">
        <v>38</v>
      </c>
      <c r="N324">
        <f t="shared" si="5"/>
        <v>8.3921940869371006E-2</v>
      </c>
    </row>
    <row r="325" spans="1:14" x14ac:dyDescent="0.3">
      <c r="A325" s="17" t="s">
        <v>552</v>
      </c>
      <c r="B325" s="18" t="s">
        <v>43</v>
      </c>
      <c r="C325" s="19">
        <v>45602</v>
      </c>
      <c r="D325" s="18" t="s">
        <v>74</v>
      </c>
      <c r="E325" s="18" t="s">
        <v>75</v>
      </c>
      <c r="F325" s="9">
        <v>4663</v>
      </c>
      <c r="G325" s="9">
        <v>145</v>
      </c>
      <c r="H325" s="9">
        <v>225</v>
      </c>
      <c r="I325" s="9">
        <v>69945</v>
      </c>
      <c r="J325" s="9">
        <v>69596</v>
      </c>
      <c r="K325" s="9">
        <v>35</v>
      </c>
      <c r="L325" s="18" t="s">
        <v>37</v>
      </c>
      <c r="M325" s="20" t="s">
        <v>38</v>
      </c>
      <c r="N325">
        <f t="shared" si="5"/>
        <v>7.1956537279290869E-2</v>
      </c>
    </row>
    <row r="326" spans="1:14" x14ac:dyDescent="0.3">
      <c r="A326" s="13" t="s">
        <v>553</v>
      </c>
      <c r="B326" s="14" t="s">
        <v>43</v>
      </c>
      <c r="C326" s="15">
        <v>45613</v>
      </c>
      <c r="D326" s="14" t="s">
        <v>22</v>
      </c>
      <c r="E326" s="14" t="s">
        <v>56</v>
      </c>
      <c r="F326" s="8">
        <v>880</v>
      </c>
      <c r="G326" s="8">
        <v>297</v>
      </c>
      <c r="H326" s="8">
        <v>345</v>
      </c>
      <c r="I326" s="8">
        <v>12320</v>
      </c>
      <c r="J326" s="8">
        <v>11978</v>
      </c>
      <c r="K326" s="8">
        <v>238</v>
      </c>
      <c r="L326" s="14" t="s">
        <v>30</v>
      </c>
      <c r="M326" s="16"/>
      <c r="N326">
        <f t="shared" si="5"/>
        <v>0.12353896103896105</v>
      </c>
    </row>
    <row r="327" spans="1:14" x14ac:dyDescent="0.3">
      <c r="A327" s="17" t="s">
        <v>553</v>
      </c>
      <c r="B327" s="18" t="s">
        <v>43</v>
      </c>
      <c r="C327" s="19">
        <v>45613</v>
      </c>
      <c r="D327" s="18" t="s">
        <v>22</v>
      </c>
      <c r="E327" s="18" t="s">
        <v>56</v>
      </c>
      <c r="F327" s="9">
        <v>880</v>
      </c>
      <c r="G327" s="9">
        <v>297</v>
      </c>
      <c r="H327" s="9">
        <v>345</v>
      </c>
      <c r="I327" s="9">
        <v>12320</v>
      </c>
      <c r="J327" s="9">
        <v>11978</v>
      </c>
      <c r="K327" s="9">
        <v>238</v>
      </c>
      <c r="L327" s="18" t="s">
        <v>613</v>
      </c>
      <c r="M327" s="20"/>
      <c r="N327">
        <f t="shared" si="5"/>
        <v>0.12353896103896105</v>
      </c>
    </row>
    <row r="328" spans="1:14" x14ac:dyDescent="0.3">
      <c r="A328" s="13" t="s">
        <v>555</v>
      </c>
      <c r="B328" s="14" t="s">
        <v>43</v>
      </c>
      <c r="C328" s="15">
        <v>45791</v>
      </c>
      <c r="D328" s="14" t="s">
        <v>22</v>
      </c>
      <c r="E328" s="14" t="s">
        <v>56</v>
      </c>
      <c r="F328" s="8">
        <v>2634</v>
      </c>
      <c r="G328" s="8">
        <v>726</v>
      </c>
      <c r="H328" s="8">
        <v>241</v>
      </c>
      <c r="I328" s="8">
        <v>28974</v>
      </c>
      <c r="J328" s="8">
        <v>28102</v>
      </c>
      <c r="K328" s="8">
        <v>277</v>
      </c>
      <c r="L328" s="14" t="s">
        <v>37</v>
      </c>
      <c r="M328" s="16" t="s">
        <v>19</v>
      </c>
      <c r="N328">
        <f t="shared" si="5"/>
        <v>0.12428384068475185</v>
      </c>
    </row>
    <row r="329" spans="1:14" x14ac:dyDescent="0.3">
      <c r="A329" s="17" t="s">
        <v>557</v>
      </c>
      <c r="B329" s="18" t="s">
        <v>43</v>
      </c>
      <c r="C329" s="19">
        <v>45462</v>
      </c>
      <c r="D329" s="18" t="s">
        <v>45</v>
      </c>
      <c r="E329" s="18" t="s">
        <v>46</v>
      </c>
      <c r="F329" s="9">
        <v>4731</v>
      </c>
      <c r="G329" s="9">
        <v>173</v>
      </c>
      <c r="H329" s="9">
        <v>276</v>
      </c>
      <c r="I329" s="9">
        <v>28386</v>
      </c>
      <c r="J329" s="9">
        <v>28185</v>
      </c>
      <c r="K329" s="9">
        <v>89</v>
      </c>
      <c r="L329" s="18" t="s">
        <v>37</v>
      </c>
      <c r="M329" s="20" t="s">
        <v>31</v>
      </c>
      <c r="N329">
        <f t="shared" si="5"/>
        <v>0.18248432325794406</v>
      </c>
    </row>
    <row r="330" spans="1:14" x14ac:dyDescent="0.3">
      <c r="A330" s="13" t="s">
        <v>559</v>
      </c>
      <c r="B330" s="14" t="s">
        <v>14</v>
      </c>
      <c r="C330" s="15">
        <v>45783</v>
      </c>
      <c r="D330" s="14" t="s">
        <v>52</v>
      </c>
      <c r="E330" s="14" t="s">
        <v>132</v>
      </c>
      <c r="F330" s="8">
        <v>1952</v>
      </c>
      <c r="G330" s="8">
        <v>344</v>
      </c>
      <c r="H330" s="8">
        <v>287</v>
      </c>
      <c r="I330" s="8">
        <v>15616</v>
      </c>
      <c r="J330" s="8">
        <v>15403</v>
      </c>
      <c r="K330" s="8">
        <v>235</v>
      </c>
      <c r="L330" s="14" t="s">
        <v>62</v>
      </c>
      <c r="M330" s="16" t="s">
        <v>25</v>
      </c>
      <c r="N330">
        <f t="shared" si="5"/>
        <v>0.16540727459016394</v>
      </c>
    </row>
    <row r="331" spans="1:14" x14ac:dyDescent="0.3">
      <c r="A331" s="17" t="s">
        <v>559</v>
      </c>
      <c r="B331" s="18" t="s">
        <v>14</v>
      </c>
      <c r="C331" s="19">
        <v>45783</v>
      </c>
      <c r="D331" s="18" t="s">
        <v>52</v>
      </c>
      <c r="E331" s="18" t="s">
        <v>132</v>
      </c>
      <c r="F331" s="9">
        <v>1952</v>
      </c>
      <c r="G331" s="9">
        <v>344</v>
      </c>
      <c r="H331" s="9">
        <v>287</v>
      </c>
      <c r="I331" s="9">
        <v>15616</v>
      </c>
      <c r="J331" s="9">
        <v>15403</v>
      </c>
      <c r="K331" s="9">
        <v>235</v>
      </c>
      <c r="L331" s="18" t="s">
        <v>30</v>
      </c>
      <c r="M331" s="20" t="s">
        <v>25</v>
      </c>
      <c r="N331">
        <f t="shared" si="5"/>
        <v>0.16540727459016394</v>
      </c>
    </row>
    <row r="332" spans="1:14" x14ac:dyDescent="0.3">
      <c r="A332" s="13" t="s">
        <v>559</v>
      </c>
      <c r="B332" s="14" t="s">
        <v>14</v>
      </c>
      <c r="C332" s="15">
        <v>45783</v>
      </c>
      <c r="D332" s="14" t="s">
        <v>52</v>
      </c>
      <c r="E332" s="14" t="s">
        <v>132</v>
      </c>
      <c r="F332" s="8">
        <v>1952</v>
      </c>
      <c r="G332" s="8">
        <v>344</v>
      </c>
      <c r="H332" s="8">
        <v>287</v>
      </c>
      <c r="I332" s="8">
        <v>15616</v>
      </c>
      <c r="J332" s="8">
        <v>15403</v>
      </c>
      <c r="K332" s="8">
        <v>235</v>
      </c>
      <c r="L332" s="14" t="s">
        <v>613</v>
      </c>
      <c r="M332" s="16" t="s">
        <v>25</v>
      </c>
      <c r="N332">
        <f t="shared" si="5"/>
        <v>0.16540727459016394</v>
      </c>
    </row>
    <row r="333" spans="1:14" x14ac:dyDescent="0.3">
      <c r="A333" s="17" t="s">
        <v>560</v>
      </c>
      <c r="B333" s="18" t="s">
        <v>14</v>
      </c>
      <c r="C333" s="19">
        <v>45699</v>
      </c>
      <c r="D333" s="18" t="s">
        <v>74</v>
      </c>
      <c r="E333" s="18" t="s">
        <v>145</v>
      </c>
      <c r="F333" s="9">
        <v>3440</v>
      </c>
      <c r="G333" s="9">
        <v>13</v>
      </c>
      <c r="H333" s="9">
        <v>20</v>
      </c>
      <c r="I333" s="9">
        <v>58480</v>
      </c>
      <c r="J333" s="9">
        <v>58146</v>
      </c>
      <c r="K333" s="9">
        <v>210</v>
      </c>
      <c r="L333" s="18" t="s">
        <v>30</v>
      </c>
      <c r="M333" s="20" t="s">
        <v>38</v>
      </c>
      <c r="N333">
        <f t="shared" si="5"/>
        <v>5.9387824897400819E-2</v>
      </c>
    </row>
    <row r="334" spans="1:14" x14ac:dyDescent="0.3">
      <c r="A334" s="13" t="s">
        <v>560</v>
      </c>
      <c r="B334" s="14" t="s">
        <v>14</v>
      </c>
      <c r="C334" s="15">
        <v>45699</v>
      </c>
      <c r="D334" s="14" t="s">
        <v>74</v>
      </c>
      <c r="E334" s="14" t="s">
        <v>145</v>
      </c>
      <c r="F334" s="8">
        <v>3440</v>
      </c>
      <c r="G334" s="8">
        <v>13</v>
      </c>
      <c r="H334" s="8">
        <v>20</v>
      </c>
      <c r="I334" s="8">
        <v>58480</v>
      </c>
      <c r="J334" s="8">
        <v>58146</v>
      </c>
      <c r="K334" s="8">
        <v>210</v>
      </c>
      <c r="L334" s="14" t="s">
        <v>607</v>
      </c>
      <c r="M334" s="16" t="s">
        <v>38</v>
      </c>
      <c r="N334">
        <f t="shared" si="5"/>
        <v>5.9387824897400819E-2</v>
      </c>
    </row>
    <row r="335" spans="1:14" x14ac:dyDescent="0.3">
      <c r="A335" s="17" t="s">
        <v>562</v>
      </c>
      <c r="B335" s="18" t="s">
        <v>14</v>
      </c>
      <c r="C335" s="19">
        <v>45650</v>
      </c>
      <c r="D335" s="18" t="s">
        <v>22</v>
      </c>
      <c r="E335" s="18" t="s">
        <v>23</v>
      </c>
      <c r="F335" s="9">
        <v>2166</v>
      </c>
      <c r="G335" s="9">
        <v>354</v>
      </c>
      <c r="H335" s="9">
        <v>117</v>
      </c>
      <c r="I335" s="9">
        <v>10830</v>
      </c>
      <c r="J335" s="9">
        <v>10245</v>
      </c>
      <c r="K335" s="9">
        <v>24</v>
      </c>
      <c r="L335" s="18" t="s">
        <v>37</v>
      </c>
      <c r="M335" s="20" t="s">
        <v>38</v>
      </c>
      <c r="N335">
        <f t="shared" si="5"/>
        <v>0.24349030470914126</v>
      </c>
    </row>
    <row r="336" spans="1:14" x14ac:dyDescent="0.3">
      <c r="A336" s="13" t="s">
        <v>564</v>
      </c>
      <c r="B336" s="14" t="s">
        <v>43</v>
      </c>
      <c r="C336" s="15">
        <v>45589</v>
      </c>
      <c r="D336" s="14" t="s">
        <v>52</v>
      </c>
      <c r="E336" s="14" t="s">
        <v>59</v>
      </c>
      <c r="F336" s="8">
        <v>4303</v>
      </c>
      <c r="G336" s="8">
        <v>451</v>
      </c>
      <c r="H336" s="8">
        <v>286</v>
      </c>
      <c r="I336" s="8">
        <v>86060</v>
      </c>
      <c r="J336" s="8">
        <v>85823</v>
      </c>
      <c r="K336" s="8">
        <v>14</v>
      </c>
      <c r="L336" s="14" t="s">
        <v>30</v>
      </c>
      <c r="M336" s="16" t="s">
        <v>31</v>
      </c>
      <c r="N336">
        <f t="shared" si="5"/>
        <v>5.8563792702765516E-2</v>
      </c>
    </row>
    <row r="337" spans="1:14" x14ac:dyDescent="0.3">
      <c r="A337" s="17" t="s">
        <v>565</v>
      </c>
      <c r="B337" s="18" t="s">
        <v>43</v>
      </c>
      <c r="C337" s="19">
        <v>45530</v>
      </c>
      <c r="D337" s="18" t="s">
        <v>52</v>
      </c>
      <c r="E337" s="18" t="s">
        <v>59</v>
      </c>
      <c r="F337" s="9">
        <v>2581</v>
      </c>
      <c r="G337" s="9">
        <v>517</v>
      </c>
      <c r="H337" s="9">
        <v>117</v>
      </c>
      <c r="I337" s="9">
        <v>23229</v>
      </c>
      <c r="J337" s="9">
        <v>22331</v>
      </c>
      <c r="K337" s="9">
        <v>70</v>
      </c>
      <c r="L337" s="18" t="s">
        <v>62</v>
      </c>
      <c r="M337" s="20" t="s">
        <v>31</v>
      </c>
      <c r="N337">
        <f t="shared" si="5"/>
        <v>0.13840458048129492</v>
      </c>
    </row>
    <row r="338" spans="1:14" x14ac:dyDescent="0.3">
      <c r="A338" s="13" t="s">
        <v>566</v>
      </c>
      <c r="B338" s="14" t="s">
        <v>14</v>
      </c>
      <c r="C338" s="15">
        <v>45535</v>
      </c>
      <c r="D338" s="14" t="s">
        <v>45</v>
      </c>
      <c r="E338" s="14" t="s">
        <v>49</v>
      </c>
      <c r="F338" s="8">
        <v>4494</v>
      </c>
      <c r="G338" s="8">
        <v>717</v>
      </c>
      <c r="H338" s="8">
        <v>45</v>
      </c>
      <c r="I338" s="8">
        <v>62916</v>
      </c>
      <c r="J338" s="8">
        <v>62688</v>
      </c>
      <c r="K338" s="8">
        <v>191</v>
      </c>
      <c r="L338" s="14" t="s">
        <v>30</v>
      </c>
      <c r="M338" s="16" t="s">
        <v>19</v>
      </c>
      <c r="N338">
        <f t="shared" si="5"/>
        <v>8.3539958039290485E-2</v>
      </c>
    </row>
    <row r="339" spans="1:14" x14ac:dyDescent="0.3">
      <c r="A339" s="17" t="s">
        <v>566</v>
      </c>
      <c r="B339" s="18" t="s">
        <v>14</v>
      </c>
      <c r="C339" s="19">
        <v>45535</v>
      </c>
      <c r="D339" s="18" t="s">
        <v>45</v>
      </c>
      <c r="E339" s="18" t="s">
        <v>49</v>
      </c>
      <c r="F339" s="9">
        <v>4494</v>
      </c>
      <c r="G339" s="9">
        <v>717</v>
      </c>
      <c r="H339" s="9">
        <v>45</v>
      </c>
      <c r="I339" s="9">
        <v>62916</v>
      </c>
      <c r="J339" s="9">
        <v>62688</v>
      </c>
      <c r="K339" s="9">
        <v>191</v>
      </c>
      <c r="L339" s="18" t="s">
        <v>37</v>
      </c>
      <c r="M339" s="20" t="s">
        <v>19</v>
      </c>
      <c r="N339">
        <f t="shared" si="5"/>
        <v>8.3539958039290485E-2</v>
      </c>
    </row>
    <row r="340" spans="1:14" x14ac:dyDescent="0.3">
      <c r="A340" s="13" t="s">
        <v>566</v>
      </c>
      <c r="B340" s="14" t="s">
        <v>14</v>
      </c>
      <c r="C340" s="15">
        <v>45535</v>
      </c>
      <c r="D340" s="14" t="s">
        <v>45</v>
      </c>
      <c r="E340" s="14" t="s">
        <v>49</v>
      </c>
      <c r="F340" s="8">
        <v>4494</v>
      </c>
      <c r="G340" s="8">
        <v>717</v>
      </c>
      <c r="H340" s="8">
        <v>45</v>
      </c>
      <c r="I340" s="8">
        <v>62916</v>
      </c>
      <c r="J340" s="8">
        <v>62688</v>
      </c>
      <c r="K340" s="8">
        <v>191</v>
      </c>
      <c r="L340" s="14" t="s">
        <v>614</v>
      </c>
      <c r="M340" s="16" t="s">
        <v>19</v>
      </c>
      <c r="N340">
        <f t="shared" si="5"/>
        <v>8.3539958039290485E-2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2D28-1CFA-4E83-95A6-A59DF83F0A6D}">
  <dimension ref="A1:B8"/>
  <sheetViews>
    <sheetView workbookViewId="0">
      <selection activeCell="K24" sqref="K24"/>
    </sheetView>
  </sheetViews>
  <sheetFormatPr defaultRowHeight="14.4" x14ac:dyDescent="0.3"/>
  <cols>
    <col min="1" max="1" width="20.21875" bestFit="1" customWidth="1"/>
    <col min="2" max="2" width="15.33203125" bestFit="1" customWidth="1"/>
  </cols>
  <sheetData>
    <row r="1" spans="1:2" x14ac:dyDescent="0.3">
      <c r="A1" s="11" t="s">
        <v>619</v>
      </c>
      <c r="B1" t="s">
        <v>625</v>
      </c>
    </row>
    <row r="2" spans="1:2" x14ac:dyDescent="0.3">
      <c r="A2" s="12" t="s">
        <v>613</v>
      </c>
      <c r="B2" s="4">
        <v>161.19999999999999</v>
      </c>
    </row>
    <row r="3" spans="1:2" x14ac:dyDescent="0.3">
      <c r="A3" s="12" t="s">
        <v>30</v>
      </c>
      <c r="B3" s="4">
        <v>158.65420560747663</v>
      </c>
    </row>
    <row r="4" spans="1:2" x14ac:dyDescent="0.3">
      <c r="A4" s="12" t="s">
        <v>37</v>
      </c>
      <c r="B4" s="4">
        <v>151.52941176470588</v>
      </c>
    </row>
    <row r="5" spans="1:2" x14ac:dyDescent="0.3">
      <c r="A5" s="12" t="s">
        <v>62</v>
      </c>
      <c r="B5" s="4">
        <v>144.03883495145632</v>
      </c>
    </row>
    <row r="6" spans="1:2" x14ac:dyDescent="0.3">
      <c r="A6" s="12" t="s">
        <v>614</v>
      </c>
      <c r="B6" s="4">
        <v>114.85714285714286</v>
      </c>
    </row>
    <row r="7" spans="1:2" x14ac:dyDescent="0.3">
      <c r="A7" s="12" t="s">
        <v>607</v>
      </c>
      <c r="B7" s="4">
        <v>111.8</v>
      </c>
    </row>
    <row r="8" spans="1:2" x14ac:dyDescent="0.3">
      <c r="A8" s="12" t="s">
        <v>620</v>
      </c>
      <c r="B8" s="4">
        <v>150.58702064896755</v>
      </c>
    </row>
  </sheetData>
  <conditionalFormatting pivot="1" sqref="B2">
    <cfRule type="top10" dxfId="1" priority="2" rank="3"/>
  </conditionalFormatting>
  <conditionalFormatting pivot="1" sqref="B2:B7">
    <cfRule type="top10" dxfId="0" priority="1" rank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DDD0-9D3D-420D-A820-568125E26ED2}">
  <dimension ref="A1:H201"/>
  <sheetViews>
    <sheetView topLeftCell="B1" workbookViewId="0">
      <selection activeCell="E24" sqref="E24"/>
    </sheetView>
  </sheetViews>
  <sheetFormatPr defaultColWidth="28.109375" defaultRowHeight="14.4" x14ac:dyDescent="0.3"/>
  <sheetData>
    <row r="1" spans="1:8" x14ac:dyDescent="0.3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10" t="s">
        <v>627</v>
      </c>
    </row>
    <row r="2" spans="1:8" x14ac:dyDescent="0.3">
      <c r="A2" s="2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  <c r="H2">
        <f>C2-D2</f>
        <v>1047</v>
      </c>
    </row>
    <row r="3" spans="1:8" x14ac:dyDescent="0.3">
      <c r="A3" s="2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  <c r="H3">
        <f t="shared" ref="H3:H66" si="0">C3-D3</f>
        <v>1002</v>
      </c>
    </row>
    <row r="4" spans="1:8" x14ac:dyDescent="0.3">
      <c r="A4" s="2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  <c r="H4">
        <f t="shared" si="0"/>
        <v>415</v>
      </c>
    </row>
    <row r="5" spans="1:8" x14ac:dyDescent="0.3">
      <c r="A5" s="2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  <c r="H5">
        <f t="shared" si="0"/>
        <v>1090</v>
      </c>
    </row>
    <row r="6" spans="1:8" x14ac:dyDescent="0.3">
      <c r="A6" s="2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  <c r="H6">
        <f t="shared" si="0"/>
        <v>517</v>
      </c>
    </row>
    <row r="7" spans="1:8" x14ac:dyDescent="0.3">
      <c r="A7" s="2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  <c r="H7">
        <f t="shared" si="0"/>
        <v>1283</v>
      </c>
    </row>
    <row r="8" spans="1:8" x14ac:dyDescent="0.3">
      <c r="A8" s="2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  <c r="H8">
        <f t="shared" si="0"/>
        <v>186</v>
      </c>
    </row>
    <row r="9" spans="1:8" x14ac:dyDescent="0.3">
      <c r="A9" s="2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  <c r="H9">
        <f t="shared" si="0"/>
        <v>994</v>
      </c>
    </row>
    <row r="10" spans="1:8" x14ac:dyDescent="0.3">
      <c r="A10" s="2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  <c r="H10">
        <f t="shared" si="0"/>
        <v>893</v>
      </c>
    </row>
    <row r="11" spans="1:8" x14ac:dyDescent="0.3">
      <c r="A11" s="2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  <c r="H11">
        <f t="shared" si="0"/>
        <v>1382</v>
      </c>
    </row>
    <row r="12" spans="1:8" x14ac:dyDescent="0.3">
      <c r="A12" s="2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  <c r="H12">
        <f t="shared" si="0"/>
        <v>1295</v>
      </c>
    </row>
    <row r="13" spans="1:8" x14ac:dyDescent="0.3">
      <c r="A13" s="2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  <c r="H13">
        <f t="shared" si="0"/>
        <v>337</v>
      </c>
    </row>
    <row r="14" spans="1:8" x14ac:dyDescent="0.3">
      <c r="A14" s="2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  <c r="H14">
        <f t="shared" si="0"/>
        <v>629</v>
      </c>
    </row>
    <row r="15" spans="1:8" x14ac:dyDescent="0.3">
      <c r="A15" s="2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  <c r="H15">
        <f t="shared" si="0"/>
        <v>1670</v>
      </c>
    </row>
    <row r="16" spans="1:8" x14ac:dyDescent="0.3">
      <c r="A16" s="2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  <c r="H16">
        <f t="shared" si="0"/>
        <v>835</v>
      </c>
    </row>
    <row r="17" spans="1:8" x14ac:dyDescent="0.3">
      <c r="A17" s="2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  <c r="H17">
        <f t="shared" si="0"/>
        <v>-123</v>
      </c>
    </row>
    <row r="18" spans="1:8" x14ac:dyDescent="0.3">
      <c r="A18" s="2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  <c r="H18">
        <f t="shared" si="0"/>
        <v>-219</v>
      </c>
    </row>
    <row r="19" spans="1:8" x14ac:dyDescent="0.3">
      <c r="A19" s="2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  <c r="H19">
        <f t="shared" si="0"/>
        <v>64</v>
      </c>
    </row>
    <row r="20" spans="1:8" x14ac:dyDescent="0.3">
      <c r="A20" s="2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  <c r="H20">
        <f t="shared" si="0"/>
        <v>1357</v>
      </c>
    </row>
    <row r="21" spans="1:8" x14ac:dyDescent="0.3">
      <c r="A21" s="2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  <c r="H21">
        <f t="shared" si="0"/>
        <v>91</v>
      </c>
    </row>
    <row r="22" spans="1:8" x14ac:dyDescent="0.3">
      <c r="A22" s="2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  <c r="H22">
        <f t="shared" si="0"/>
        <v>1672</v>
      </c>
    </row>
    <row r="23" spans="1:8" x14ac:dyDescent="0.3">
      <c r="A23" s="2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  <c r="H23">
        <f t="shared" si="0"/>
        <v>309</v>
      </c>
    </row>
    <row r="24" spans="1:8" x14ac:dyDescent="0.3">
      <c r="A24" s="2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  <c r="H24">
        <f t="shared" si="0"/>
        <v>547</v>
      </c>
    </row>
    <row r="25" spans="1:8" x14ac:dyDescent="0.3">
      <c r="A25" s="2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  <c r="H25">
        <f t="shared" si="0"/>
        <v>514</v>
      </c>
    </row>
    <row r="26" spans="1:8" x14ac:dyDescent="0.3">
      <c r="A26" s="2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  <c r="H26">
        <f t="shared" si="0"/>
        <v>1845</v>
      </c>
    </row>
    <row r="27" spans="1:8" x14ac:dyDescent="0.3">
      <c r="A27" s="2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  <c r="H27">
        <f t="shared" si="0"/>
        <v>-164</v>
      </c>
    </row>
    <row r="28" spans="1:8" x14ac:dyDescent="0.3">
      <c r="A28" s="2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  <c r="H28">
        <f t="shared" si="0"/>
        <v>429</v>
      </c>
    </row>
    <row r="29" spans="1:8" x14ac:dyDescent="0.3">
      <c r="A29" s="2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  <c r="H29">
        <f t="shared" si="0"/>
        <v>160</v>
      </c>
    </row>
    <row r="30" spans="1:8" x14ac:dyDescent="0.3">
      <c r="A30" s="2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  <c r="H30">
        <f t="shared" si="0"/>
        <v>159</v>
      </c>
    </row>
    <row r="31" spans="1:8" x14ac:dyDescent="0.3">
      <c r="A31" s="2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  <c r="H31">
        <f t="shared" si="0"/>
        <v>961</v>
      </c>
    </row>
    <row r="32" spans="1:8" x14ac:dyDescent="0.3">
      <c r="A32" s="2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  <c r="H32">
        <f t="shared" si="0"/>
        <v>1316</v>
      </c>
    </row>
    <row r="33" spans="1:8" x14ac:dyDescent="0.3">
      <c r="A33" s="2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  <c r="H33">
        <f t="shared" si="0"/>
        <v>317</v>
      </c>
    </row>
    <row r="34" spans="1:8" x14ac:dyDescent="0.3">
      <c r="A34" s="2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  <c r="H34">
        <f t="shared" si="0"/>
        <v>541</v>
      </c>
    </row>
    <row r="35" spans="1:8" x14ac:dyDescent="0.3">
      <c r="A35" s="2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  <c r="H35">
        <f t="shared" si="0"/>
        <v>-318</v>
      </c>
    </row>
    <row r="36" spans="1:8" x14ac:dyDescent="0.3">
      <c r="A36" s="2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  <c r="H36">
        <f t="shared" si="0"/>
        <v>1495</v>
      </c>
    </row>
    <row r="37" spans="1:8" x14ac:dyDescent="0.3">
      <c r="A37" s="2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  <c r="H37">
        <f t="shared" si="0"/>
        <v>475</v>
      </c>
    </row>
    <row r="38" spans="1:8" x14ac:dyDescent="0.3">
      <c r="A38" s="2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  <c r="H38">
        <f t="shared" si="0"/>
        <v>352</v>
      </c>
    </row>
    <row r="39" spans="1:8" x14ac:dyDescent="0.3">
      <c r="A39" s="2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  <c r="H39">
        <f t="shared" si="0"/>
        <v>-197</v>
      </c>
    </row>
    <row r="40" spans="1:8" x14ac:dyDescent="0.3">
      <c r="A40" s="2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  <c r="H40">
        <f t="shared" si="0"/>
        <v>328</v>
      </c>
    </row>
    <row r="41" spans="1:8" x14ac:dyDescent="0.3">
      <c r="A41" s="2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  <c r="H41">
        <f t="shared" si="0"/>
        <v>319</v>
      </c>
    </row>
    <row r="42" spans="1:8" x14ac:dyDescent="0.3">
      <c r="A42" s="2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  <c r="H42">
        <f t="shared" si="0"/>
        <v>1325</v>
      </c>
    </row>
    <row r="43" spans="1:8" x14ac:dyDescent="0.3">
      <c r="A43" s="2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  <c r="H43">
        <f t="shared" si="0"/>
        <v>1334</v>
      </c>
    </row>
    <row r="44" spans="1:8" x14ac:dyDescent="0.3">
      <c r="A44" s="2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  <c r="H44">
        <f t="shared" si="0"/>
        <v>37</v>
      </c>
    </row>
    <row r="45" spans="1:8" x14ac:dyDescent="0.3">
      <c r="A45" s="2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  <c r="H45">
        <f t="shared" si="0"/>
        <v>1032</v>
      </c>
    </row>
    <row r="46" spans="1:8" x14ac:dyDescent="0.3">
      <c r="A46" s="2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  <c r="H46">
        <f t="shared" si="0"/>
        <v>76</v>
      </c>
    </row>
    <row r="47" spans="1:8" x14ac:dyDescent="0.3">
      <c r="A47" s="2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  <c r="H47">
        <f t="shared" si="0"/>
        <v>1058</v>
      </c>
    </row>
    <row r="48" spans="1:8" x14ac:dyDescent="0.3">
      <c r="A48" s="2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  <c r="H48">
        <f t="shared" si="0"/>
        <v>1665</v>
      </c>
    </row>
    <row r="49" spans="1:8" x14ac:dyDescent="0.3">
      <c r="A49" s="2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  <c r="H49">
        <f t="shared" si="0"/>
        <v>190</v>
      </c>
    </row>
    <row r="50" spans="1:8" x14ac:dyDescent="0.3">
      <c r="A50" s="2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  <c r="H50">
        <f t="shared" si="0"/>
        <v>1609</v>
      </c>
    </row>
    <row r="51" spans="1:8" x14ac:dyDescent="0.3">
      <c r="A51" s="2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  <c r="H51">
        <f t="shared" si="0"/>
        <v>37</v>
      </c>
    </row>
    <row r="52" spans="1:8" x14ac:dyDescent="0.3">
      <c r="A52" s="2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  <c r="H52">
        <f t="shared" si="0"/>
        <v>1229</v>
      </c>
    </row>
    <row r="53" spans="1:8" x14ac:dyDescent="0.3">
      <c r="A53" s="2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  <c r="H53">
        <f t="shared" si="0"/>
        <v>28</v>
      </c>
    </row>
    <row r="54" spans="1:8" x14ac:dyDescent="0.3">
      <c r="A54" s="2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  <c r="H54">
        <f t="shared" si="0"/>
        <v>1247</v>
      </c>
    </row>
    <row r="55" spans="1:8" x14ac:dyDescent="0.3">
      <c r="A55" s="2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  <c r="H55">
        <f t="shared" si="0"/>
        <v>1045</v>
      </c>
    </row>
    <row r="56" spans="1:8" x14ac:dyDescent="0.3">
      <c r="A56" s="2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  <c r="H56">
        <f t="shared" si="0"/>
        <v>197</v>
      </c>
    </row>
    <row r="57" spans="1:8" x14ac:dyDescent="0.3">
      <c r="A57" s="2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  <c r="H57">
        <f t="shared" si="0"/>
        <v>333</v>
      </c>
    </row>
    <row r="58" spans="1:8" x14ac:dyDescent="0.3">
      <c r="A58" s="2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  <c r="H58">
        <f t="shared" si="0"/>
        <v>1572</v>
      </c>
    </row>
    <row r="59" spans="1:8" x14ac:dyDescent="0.3">
      <c r="A59" s="2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  <c r="H59">
        <f t="shared" si="0"/>
        <v>1428</v>
      </c>
    </row>
    <row r="60" spans="1:8" x14ac:dyDescent="0.3">
      <c r="A60" s="2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  <c r="H60">
        <f t="shared" si="0"/>
        <v>260</v>
      </c>
    </row>
    <row r="61" spans="1:8" x14ac:dyDescent="0.3">
      <c r="A61" s="2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  <c r="H61">
        <f t="shared" si="0"/>
        <v>1100</v>
      </c>
    </row>
    <row r="62" spans="1:8" x14ac:dyDescent="0.3">
      <c r="A62" s="2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  <c r="H62">
        <f t="shared" si="0"/>
        <v>377</v>
      </c>
    </row>
    <row r="63" spans="1:8" x14ac:dyDescent="0.3">
      <c r="A63" s="2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  <c r="H63">
        <f t="shared" si="0"/>
        <v>98</v>
      </c>
    </row>
    <row r="64" spans="1:8" x14ac:dyDescent="0.3">
      <c r="A64" s="2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  <c r="H64">
        <f t="shared" si="0"/>
        <v>1125</v>
      </c>
    </row>
    <row r="65" spans="1:8" x14ac:dyDescent="0.3">
      <c r="A65" s="2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  <c r="H65">
        <f t="shared" si="0"/>
        <v>-32</v>
      </c>
    </row>
    <row r="66" spans="1:8" x14ac:dyDescent="0.3">
      <c r="A66" s="2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  <c r="H66">
        <f t="shared" si="0"/>
        <v>666</v>
      </c>
    </row>
    <row r="67" spans="1:8" x14ac:dyDescent="0.3">
      <c r="A67" s="2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  <c r="H67">
        <f t="shared" ref="H67:H130" si="1">C67-D67</f>
        <v>-19</v>
      </c>
    </row>
    <row r="68" spans="1:8" x14ac:dyDescent="0.3">
      <c r="A68" s="2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  <c r="H68">
        <f t="shared" si="1"/>
        <v>1680</v>
      </c>
    </row>
    <row r="69" spans="1:8" x14ac:dyDescent="0.3">
      <c r="A69" s="2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  <c r="H69">
        <f t="shared" si="1"/>
        <v>1006</v>
      </c>
    </row>
    <row r="70" spans="1:8" x14ac:dyDescent="0.3">
      <c r="A70" s="2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  <c r="H70">
        <f t="shared" si="1"/>
        <v>1025</v>
      </c>
    </row>
    <row r="71" spans="1:8" x14ac:dyDescent="0.3">
      <c r="A71" s="2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  <c r="H71">
        <f t="shared" si="1"/>
        <v>-179</v>
      </c>
    </row>
    <row r="72" spans="1:8" x14ac:dyDescent="0.3">
      <c r="A72" s="2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  <c r="H72">
        <f t="shared" si="1"/>
        <v>599</v>
      </c>
    </row>
    <row r="73" spans="1:8" x14ac:dyDescent="0.3">
      <c r="A73" s="2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  <c r="H73">
        <f t="shared" si="1"/>
        <v>1706</v>
      </c>
    </row>
    <row r="74" spans="1:8" x14ac:dyDescent="0.3">
      <c r="A74" s="2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  <c r="H74">
        <f t="shared" si="1"/>
        <v>1872</v>
      </c>
    </row>
    <row r="75" spans="1:8" x14ac:dyDescent="0.3">
      <c r="A75" s="2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  <c r="H75">
        <f t="shared" si="1"/>
        <v>1662</v>
      </c>
    </row>
    <row r="76" spans="1:8" x14ac:dyDescent="0.3">
      <c r="A76" s="2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  <c r="H76">
        <f t="shared" si="1"/>
        <v>107</v>
      </c>
    </row>
    <row r="77" spans="1:8" x14ac:dyDescent="0.3">
      <c r="A77" s="2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  <c r="H77">
        <f t="shared" si="1"/>
        <v>118</v>
      </c>
    </row>
    <row r="78" spans="1:8" x14ac:dyDescent="0.3">
      <c r="A78" s="2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  <c r="H78">
        <f t="shared" si="1"/>
        <v>1224</v>
      </c>
    </row>
    <row r="79" spans="1:8" x14ac:dyDescent="0.3">
      <c r="A79" s="2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  <c r="H79">
        <f t="shared" si="1"/>
        <v>285</v>
      </c>
    </row>
    <row r="80" spans="1:8" x14ac:dyDescent="0.3">
      <c r="A80" s="2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  <c r="H80">
        <f t="shared" si="1"/>
        <v>-20</v>
      </c>
    </row>
    <row r="81" spans="1:8" x14ac:dyDescent="0.3">
      <c r="A81" s="2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  <c r="H81">
        <f t="shared" si="1"/>
        <v>367</v>
      </c>
    </row>
    <row r="82" spans="1:8" x14ac:dyDescent="0.3">
      <c r="A82" s="2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  <c r="H82">
        <f t="shared" si="1"/>
        <v>262</v>
      </c>
    </row>
    <row r="83" spans="1:8" x14ac:dyDescent="0.3">
      <c r="A83" s="2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  <c r="H83">
        <f t="shared" si="1"/>
        <v>439</v>
      </c>
    </row>
    <row r="84" spans="1:8" x14ac:dyDescent="0.3">
      <c r="A84" s="2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  <c r="H84">
        <f t="shared" si="1"/>
        <v>636</v>
      </c>
    </row>
    <row r="85" spans="1:8" x14ac:dyDescent="0.3">
      <c r="A85" s="2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  <c r="H85">
        <f t="shared" si="1"/>
        <v>1484</v>
      </c>
    </row>
    <row r="86" spans="1:8" x14ac:dyDescent="0.3">
      <c r="A86" s="2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  <c r="H86">
        <f t="shared" si="1"/>
        <v>576</v>
      </c>
    </row>
    <row r="87" spans="1:8" x14ac:dyDescent="0.3">
      <c r="A87" s="2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  <c r="H87">
        <f t="shared" si="1"/>
        <v>386</v>
      </c>
    </row>
    <row r="88" spans="1:8" x14ac:dyDescent="0.3">
      <c r="A88" s="2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  <c r="H88">
        <f t="shared" si="1"/>
        <v>37</v>
      </c>
    </row>
    <row r="89" spans="1:8" x14ac:dyDescent="0.3">
      <c r="A89" s="2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  <c r="H89">
        <f t="shared" si="1"/>
        <v>1657</v>
      </c>
    </row>
    <row r="90" spans="1:8" x14ac:dyDescent="0.3">
      <c r="A90" s="2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  <c r="H90">
        <f t="shared" si="1"/>
        <v>1397</v>
      </c>
    </row>
    <row r="91" spans="1:8" x14ac:dyDescent="0.3">
      <c r="A91" s="2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  <c r="H91">
        <f t="shared" si="1"/>
        <v>540</v>
      </c>
    </row>
    <row r="92" spans="1:8" x14ac:dyDescent="0.3">
      <c r="A92" s="2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  <c r="H92">
        <f t="shared" si="1"/>
        <v>1603</v>
      </c>
    </row>
    <row r="93" spans="1:8" x14ac:dyDescent="0.3">
      <c r="A93" s="2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  <c r="H93">
        <f t="shared" si="1"/>
        <v>1044</v>
      </c>
    </row>
    <row r="94" spans="1:8" x14ac:dyDescent="0.3">
      <c r="A94" s="2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  <c r="H94">
        <f t="shared" si="1"/>
        <v>902</v>
      </c>
    </row>
    <row r="95" spans="1:8" x14ac:dyDescent="0.3">
      <c r="A95" s="2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  <c r="H95">
        <f t="shared" si="1"/>
        <v>-106</v>
      </c>
    </row>
    <row r="96" spans="1:8" x14ac:dyDescent="0.3">
      <c r="A96" s="2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  <c r="H96">
        <f t="shared" si="1"/>
        <v>1150</v>
      </c>
    </row>
    <row r="97" spans="1:8" x14ac:dyDescent="0.3">
      <c r="A97" s="2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  <c r="H97">
        <f t="shared" si="1"/>
        <v>349</v>
      </c>
    </row>
    <row r="98" spans="1:8" x14ac:dyDescent="0.3">
      <c r="A98" s="2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  <c r="H98">
        <f t="shared" si="1"/>
        <v>-49</v>
      </c>
    </row>
    <row r="99" spans="1:8" x14ac:dyDescent="0.3">
      <c r="A99" s="2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  <c r="H99">
        <f t="shared" si="1"/>
        <v>72</v>
      </c>
    </row>
    <row r="100" spans="1:8" x14ac:dyDescent="0.3">
      <c r="A100" s="2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  <c r="H100">
        <f t="shared" si="1"/>
        <v>445</v>
      </c>
    </row>
    <row r="101" spans="1:8" x14ac:dyDescent="0.3">
      <c r="A101" s="2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  <c r="H101">
        <f t="shared" si="1"/>
        <v>60</v>
      </c>
    </row>
    <row r="102" spans="1:8" x14ac:dyDescent="0.3">
      <c r="A102" s="2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  <c r="H102">
        <f t="shared" si="1"/>
        <v>1693</v>
      </c>
    </row>
    <row r="103" spans="1:8" x14ac:dyDescent="0.3">
      <c r="A103" s="2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  <c r="H103">
        <f t="shared" si="1"/>
        <v>1332</v>
      </c>
    </row>
    <row r="104" spans="1:8" x14ac:dyDescent="0.3">
      <c r="A104" s="2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  <c r="H104">
        <f t="shared" si="1"/>
        <v>98</v>
      </c>
    </row>
    <row r="105" spans="1:8" x14ac:dyDescent="0.3">
      <c r="A105" s="2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  <c r="H105">
        <f t="shared" si="1"/>
        <v>885</v>
      </c>
    </row>
    <row r="106" spans="1:8" x14ac:dyDescent="0.3">
      <c r="A106" s="2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  <c r="H106">
        <f t="shared" si="1"/>
        <v>1625</v>
      </c>
    </row>
    <row r="107" spans="1:8" x14ac:dyDescent="0.3">
      <c r="A107" s="2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  <c r="H107">
        <f t="shared" si="1"/>
        <v>1706</v>
      </c>
    </row>
    <row r="108" spans="1:8" x14ac:dyDescent="0.3">
      <c r="A108" s="2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  <c r="H108">
        <f t="shared" si="1"/>
        <v>1173</v>
      </c>
    </row>
    <row r="109" spans="1:8" x14ac:dyDescent="0.3">
      <c r="A109" s="2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  <c r="H109">
        <f t="shared" si="1"/>
        <v>291</v>
      </c>
    </row>
    <row r="110" spans="1:8" x14ac:dyDescent="0.3">
      <c r="A110" s="2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  <c r="H110">
        <f t="shared" si="1"/>
        <v>1119</v>
      </c>
    </row>
    <row r="111" spans="1:8" x14ac:dyDescent="0.3">
      <c r="A111" s="2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  <c r="H111">
        <f t="shared" si="1"/>
        <v>1373</v>
      </c>
    </row>
    <row r="112" spans="1:8" x14ac:dyDescent="0.3">
      <c r="A112" s="2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  <c r="H112">
        <f t="shared" si="1"/>
        <v>1727</v>
      </c>
    </row>
    <row r="113" spans="1:8" x14ac:dyDescent="0.3">
      <c r="A113" s="2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  <c r="H113">
        <f t="shared" si="1"/>
        <v>573</v>
      </c>
    </row>
    <row r="114" spans="1:8" x14ac:dyDescent="0.3">
      <c r="A114" s="2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  <c r="H114">
        <f t="shared" si="1"/>
        <v>1432</v>
      </c>
    </row>
    <row r="115" spans="1:8" x14ac:dyDescent="0.3">
      <c r="A115" s="2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  <c r="H115">
        <f t="shared" si="1"/>
        <v>1377</v>
      </c>
    </row>
    <row r="116" spans="1:8" x14ac:dyDescent="0.3">
      <c r="A116" s="2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  <c r="H116">
        <f t="shared" si="1"/>
        <v>1359</v>
      </c>
    </row>
    <row r="117" spans="1:8" x14ac:dyDescent="0.3">
      <c r="A117" s="2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  <c r="H117">
        <f t="shared" si="1"/>
        <v>876</v>
      </c>
    </row>
    <row r="118" spans="1:8" x14ac:dyDescent="0.3">
      <c r="A118" s="2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  <c r="H118">
        <f t="shared" si="1"/>
        <v>684</v>
      </c>
    </row>
    <row r="119" spans="1:8" x14ac:dyDescent="0.3">
      <c r="A119" s="2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  <c r="H119">
        <f t="shared" si="1"/>
        <v>730</v>
      </c>
    </row>
    <row r="120" spans="1:8" x14ac:dyDescent="0.3">
      <c r="A120" s="2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  <c r="H120">
        <f t="shared" si="1"/>
        <v>911</v>
      </c>
    </row>
    <row r="121" spans="1:8" x14ac:dyDescent="0.3">
      <c r="A121" s="2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  <c r="H121">
        <f t="shared" si="1"/>
        <v>1589</v>
      </c>
    </row>
    <row r="122" spans="1:8" x14ac:dyDescent="0.3">
      <c r="A122" s="2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  <c r="H122">
        <f t="shared" si="1"/>
        <v>1765</v>
      </c>
    </row>
    <row r="123" spans="1:8" x14ac:dyDescent="0.3">
      <c r="A123" s="2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  <c r="H123">
        <f t="shared" si="1"/>
        <v>1776</v>
      </c>
    </row>
    <row r="124" spans="1:8" x14ac:dyDescent="0.3">
      <c r="A124" s="2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  <c r="H124">
        <f t="shared" si="1"/>
        <v>1529</v>
      </c>
    </row>
    <row r="125" spans="1:8" x14ac:dyDescent="0.3">
      <c r="A125" s="2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  <c r="H125">
        <f t="shared" si="1"/>
        <v>1460</v>
      </c>
    </row>
    <row r="126" spans="1:8" x14ac:dyDescent="0.3">
      <c r="A126" s="2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  <c r="H126">
        <f t="shared" si="1"/>
        <v>903</v>
      </c>
    </row>
    <row r="127" spans="1:8" x14ac:dyDescent="0.3">
      <c r="A127" s="2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  <c r="H127">
        <f t="shared" si="1"/>
        <v>620</v>
      </c>
    </row>
    <row r="128" spans="1:8" x14ac:dyDescent="0.3">
      <c r="A128" s="2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  <c r="H128">
        <f t="shared" si="1"/>
        <v>1188</v>
      </c>
    </row>
    <row r="129" spans="1:8" x14ac:dyDescent="0.3">
      <c r="A129" s="2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  <c r="H129">
        <f t="shared" si="1"/>
        <v>846</v>
      </c>
    </row>
    <row r="130" spans="1:8" x14ac:dyDescent="0.3">
      <c r="A130" s="2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  <c r="H130">
        <f t="shared" si="1"/>
        <v>1722</v>
      </c>
    </row>
    <row r="131" spans="1:8" x14ac:dyDescent="0.3">
      <c r="A131" s="2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  <c r="H131">
        <f t="shared" ref="H131:H194" si="2">C131-D131</f>
        <v>298</v>
      </c>
    </row>
    <row r="132" spans="1:8" x14ac:dyDescent="0.3">
      <c r="A132" s="2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  <c r="H132">
        <f t="shared" si="2"/>
        <v>-144</v>
      </c>
    </row>
    <row r="133" spans="1:8" x14ac:dyDescent="0.3">
      <c r="A133" s="2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  <c r="H133">
        <f t="shared" si="2"/>
        <v>901</v>
      </c>
    </row>
    <row r="134" spans="1:8" x14ac:dyDescent="0.3">
      <c r="A134" s="2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  <c r="H134">
        <f t="shared" si="2"/>
        <v>1572</v>
      </c>
    </row>
    <row r="135" spans="1:8" x14ac:dyDescent="0.3">
      <c r="A135" s="2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  <c r="H135">
        <f t="shared" si="2"/>
        <v>427</v>
      </c>
    </row>
    <row r="136" spans="1:8" x14ac:dyDescent="0.3">
      <c r="A136" s="2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  <c r="H136">
        <f t="shared" si="2"/>
        <v>891</v>
      </c>
    </row>
    <row r="137" spans="1:8" x14ac:dyDescent="0.3">
      <c r="A137" s="2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  <c r="H137">
        <f t="shared" si="2"/>
        <v>724</v>
      </c>
    </row>
    <row r="138" spans="1:8" x14ac:dyDescent="0.3">
      <c r="A138" s="2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  <c r="H138">
        <f t="shared" si="2"/>
        <v>-166</v>
      </c>
    </row>
    <row r="139" spans="1:8" x14ac:dyDescent="0.3">
      <c r="A139" s="2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  <c r="H139">
        <f t="shared" si="2"/>
        <v>898</v>
      </c>
    </row>
    <row r="140" spans="1:8" x14ac:dyDescent="0.3">
      <c r="A140" s="2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  <c r="H140">
        <f t="shared" si="2"/>
        <v>1426</v>
      </c>
    </row>
    <row r="141" spans="1:8" x14ac:dyDescent="0.3">
      <c r="A141" s="2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  <c r="H141">
        <f t="shared" si="2"/>
        <v>1225</v>
      </c>
    </row>
    <row r="142" spans="1:8" x14ac:dyDescent="0.3">
      <c r="A142" s="2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  <c r="H142">
        <f t="shared" si="2"/>
        <v>1080</v>
      </c>
    </row>
    <row r="143" spans="1:8" x14ac:dyDescent="0.3">
      <c r="A143" s="2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  <c r="H143">
        <f t="shared" si="2"/>
        <v>748</v>
      </c>
    </row>
    <row r="144" spans="1:8" x14ac:dyDescent="0.3">
      <c r="A144" s="2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  <c r="H144">
        <f t="shared" si="2"/>
        <v>569</v>
      </c>
    </row>
    <row r="145" spans="1:8" x14ac:dyDescent="0.3">
      <c r="A145" s="2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  <c r="H145">
        <f t="shared" si="2"/>
        <v>-203</v>
      </c>
    </row>
    <row r="146" spans="1:8" x14ac:dyDescent="0.3">
      <c r="A146" s="2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  <c r="H146">
        <f t="shared" si="2"/>
        <v>1723</v>
      </c>
    </row>
    <row r="147" spans="1:8" x14ac:dyDescent="0.3">
      <c r="A147" s="2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  <c r="H147">
        <f t="shared" si="2"/>
        <v>912</v>
      </c>
    </row>
    <row r="148" spans="1:8" x14ac:dyDescent="0.3">
      <c r="A148" s="2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  <c r="H148">
        <f t="shared" si="2"/>
        <v>1202</v>
      </c>
    </row>
    <row r="149" spans="1:8" x14ac:dyDescent="0.3">
      <c r="A149" s="2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  <c r="H149">
        <f t="shared" si="2"/>
        <v>1444</v>
      </c>
    </row>
    <row r="150" spans="1:8" x14ac:dyDescent="0.3">
      <c r="A150" s="2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  <c r="H150">
        <f t="shared" si="2"/>
        <v>965</v>
      </c>
    </row>
    <row r="151" spans="1:8" x14ac:dyDescent="0.3">
      <c r="A151" s="2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  <c r="H151">
        <f t="shared" si="2"/>
        <v>1590</v>
      </c>
    </row>
    <row r="152" spans="1:8" x14ac:dyDescent="0.3">
      <c r="A152" s="2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  <c r="H152">
        <f t="shared" si="2"/>
        <v>-37</v>
      </c>
    </row>
    <row r="153" spans="1:8" x14ac:dyDescent="0.3">
      <c r="A153" s="2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  <c r="H153">
        <f t="shared" si="2"/>
        <v>1175</v>
      </c>
    </row>
    <row r="154" spans="1:8" x14ac:dyDescent="0.3">
      <c r="A154" s="2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  <c r="H154">
        <f t="shared" si="2"/>
        <v>1375</v>
      </c>
    </row>
    <row r="155" spans="1:8" x14ac:dyDescent="0.3">
      <c r="A155" s="2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  <c r="H155">
        <f t="shared" si="2"/>
        <v>1707</v>
      </c>
    </row>
    <row r="156" spans="1:8" x14ac:dyDescent="0.3">
      <c r="A156" s="2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  <c r="H156">
        <f t="shared" si="2"/>
        <v>708</v>
      </c>
    </row>
    <row r="157" spans="1:8" x14ac:dyDescent="0.3">
      <c r="A157" s="2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  <c r="H157">
        <f t="shared" si="2"/>
        <v>1016</v>
      </c>
    </row>
    <row r="158" spans="1:8" x14ac:dyDescent="0.3">
      <c r="A158" s="2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  <c r="H158">
        <f t="shared" si="2"/>
        <v>1315</v>
      </c>
    </row>
    <row r="159" spans="1:8" x14ac:dyDescent="0.3">
      <c r="A159" s="2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  <c r="H159">
        <f t="shared" si="2"/>
        <v>-119</v>
      </c>
    </row>
    <row r="160" spans="1:8" x14ac:dyDescent="0.3">
      <c r="A160" s="2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  <c r="H160">
        <f t="shared" si="2"/>
        <v>899</v>
      </c>
    </row>
    <row r="161" spans="1:8" x14ac:dyDescent="0.3">
      <c r="A161" s="2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  <c r="H161">
        <f t="shared" si="2"/>
        <v>315</v>
      </c>
    </row>
    <row r="162" spans="1:8" x14ac:dyDescent="0.3">
      <c r="A162" s="2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  <c r="H162">
        <f t="shared" si="2"/>
        <v>212</v>
      </c>
    </row>
    <row r="163" spans="1:8" x14ac:dyDescent="0.3">
      <c r="A163" s="2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  <c r="H163">
        <f t="shared" si="2"/>
        <v>908</v>
      </c>
    </row>
    <row r="164" spans="1:8" x14ac:dyDescent="0.3">
      <c r="A164" s="2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  <c r="H164">
        <f t="shared" si="2"/>
        <v>1350</v>
      </c>
    </row>
    <row r="165" spans="1:8" x14ac:dyDescent="0.3">
      <c r="A165" s="2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  <c r="H165">
        <f t="shared" si="2"/>
        <v>1242</v>
      </c>
    </row>
    <row r="166" spans="1:8" x14ac:dyDescent="0.3">
      <c r="A166" s="2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  <c r="H166">
        <f t="shared" si="2"/>
        <v>680</v>
      </c>
    </row>
    <row r="167" spans="1:8" x14ac:dyDescent="0.3">
      <c r="A167" s="2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  <c r="H167">
        <f t="shared" si="2"/>
        <v>1116</v>
      </c>
    </row>
    <row r="168" spans="1:8" x14ac:dyDescent="0.3">
      <c r="A168" s="2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  <c r="H168">
        <f t="shared" si="2"/>
        <v>861</v>
      </c>
    </row>
    <row r="169" spans="1:8" x14ac:dyDescent="0.3">
      <c r="A169" s="2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  <c r="H169">
        <f t="shared" si="2"/>
        <v>1385</v>
      </c>
    </row>
    <row r="170" spans="1:8" x14ac:dyDescent="0.3">
      <c r="A170" s="2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  <c r="H170">
        <f t="shared" si="2"/>
        <v>461</v>
      </c>
    </row>
    <row r="171" spans="1:8" x14ac:dyDescent="0.3">
      <c r="A171" s="2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  <c r="H171">
        <f t="shared" si="2"/>
        <v>474</v>
      </c>
    </row>
    <row r="172" spans="1:8" x14ac:dyDescent="0.3">
      <c r="A172" s="2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  <c r="H172">
        <f t="shared" si="2"/>
        <v>292</v>
      </c>
    </row>
    <row r="173" spans="1:8" x14ac:dyDescent="0.3">
      <c r="A173" s="2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  <c r="H173">
        <f t="shared" si="2"/>
        <v>389</v>
      </c>
    </row>
    <row r="174" spans="1:8" x14ac:dyDescent="0.3">
      <c r="A174" s="2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  <c r="H174">
        <f t="shared" si="2"/>
        <v>641</v>
      </c>
    </row>
    <row r="175" spans="1:8" x14ac:dyDescent="0.3">
      <c r="A175" s="2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  <c r="H175">
        <f t="shared" si="2"/>
        <v>514</v>
      </c>
    </row>
    <row r="176" spans="1:8" x14ac:dyDescent="0.3">
      <c r="A176" s="2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  <c r="H176">
        <f t="shared" si="2"/>
        <v>1676</v>
      </c>
    </row>
    <row r="177" spans="1:8" x14ac:dyDescent="0.3">
      <c r="A177" s="2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  <c r="H177">
        <f t="shared" si="2"/>
        <v>1467</v>
      </c>
    </row>
    <row r="178" spans="1:8" x14ac:dyDescent="0.3">
      <c r="A178" s="2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  <c r="H178">
        <f t="shared" si="2"/>
        <v>167</v>
      </c>
    </row>
    <row r="179" spans="1:8" x14ac:dyDescent="0.3">
      <c r="A179" s="2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  <c r="H179">
        <f t="shared" si="2"/>
        <v>1029</v>
      </c>
    </row>
    <row r="180" spans="1:8" x14ac:dyDescent="0.3">
      <c r="A180" s="2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  <c r="H180">
        <f t="shared" si="2"/>
        <v>1007</v>
      </c>
    </row>
    <row r="181" spans="1:8" x14ac:dyDescent="0.3">
      <c r="A181" s="2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  <c r="H181">
        <f t="shared" si="2"/>
        <v>209</v>
      </c>
    </row>
    <row r="182" spans="1:8" x14ac:dyDescent="0.3">
      <c r="A182" s="2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  <c r="H182">
        <f t="shared" si="2"/>
        <v>-160</v>
      </c>
    </row>
    <row r="183" spans="1:8" x14ac:dyDescent="0.3">
      <c r="A183" s="2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  <c r="H183">
        <f t="shared" si="2"/>
        <v>-175</v>
      </c>
    </row>
    <row r="184" spans="1:8" x14ac:dyDescent="0.3">
      <c r="A184" s="2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  <c r="H184">
        <f t="shared" si="2"/>
        <v>53</v>
      </c>
    </row>
    <row r="185" spans="1:8" x14ac:dyDescent="0.3">
      <c r="A185" s="2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  <c r="H185">
        <f t="shared" si="2"/>
        <v>145</v>
      </c>
    </row>
    <row r="186" spans="1:8" x14ac:dyDescent="0.3">
      <c r="A186" s="2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  <c r="H186">
        <f t="shared" si="2"/>
        <v>603</v>
      </c>
    </row>
    <row r="187" spans="1:8" x14ac:dyDescent="0.3">
      <c r="A187" s="2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  <c r="H187">
        <f t="shared" si="2"/>
        <v>1045</v>
      </c>
    </row>
    <row r="188" spans="1:8" x14ac:dyDescent="0.3">
      <c r="A188" s="2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  <c r="H188">
        <f t="shared" si="2"/>
        <v>759</v>
      </c>
    </row>
    <row r="189" spans="1:8" x14ac:dyDescent="0.3">
      <c r="A189" s="2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  <c r="H189">
        <f t="shared" si="2"/>
        <v>1633</v>
      </c>
    </row>
    <row r="190" spans="1:8" x14ac:dyDescent="0.3">
      <c r="A190" s="2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  <c r="H190">
        <f t="shared" si="2"/>
        <v>1539</v>
      </c>
    </row>
    <row r="191" spans="1:8" x14ac:dyDescent="0.3">
      <c r="A191" s="2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  <c r="H191">
        <f t="shared" si="2"/>
        <v>453</v>
      </c>
    </row>
    <row r="192" spans="1:8" x14ac:dyDescent="0.3">
      <c r="A192" s="2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  <c r="H192">
        <f t="shared" si="2"/>
        <v>948</v>
      </c>
    </row>
    <row r="193" spans="1:8" x14ac:dyDescent="0.3">
      <c r="A193" s="2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  <c r="H193">
        <f t="shared" si="2"/>
        <v>637</v>
      </c>
    </row>
    <row r="194" spans="1:8" x14ac:dyDescent="0.3">
      <c r="A194" s="2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  <c r="H194">
        <f t="shared" si="2"/>
        <v>1881</v>
      </c>
    </row>
    <row r="195" spans="1:8" x14ac:dyDescent="0.3">
      <c r="A195" s="2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  <c r="H195">
        <f t="shared" ref="H195:H201" si="3">C195-D195</f>
        <v>339</v>
      </c>
    </row>
    <row r="196" spans="1:8" x14ac:dyDescent="0.3">
      <c r="A196" s="2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  <c r="H196">
        <f t="shared" si="3"/>
        <v>1510</v>
      </c>
    </row>
    <row r="197" spans="1:8" x14ac:dyDescent="0.3">
      <c r="A197" s="2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  <c r="H197">
        <f t="shared" si="3"/>
        <v>864</v>
      </c>
    </row>
    <row r="198" spans="1:8" x14ac:dyDescent="0.3">
      <c r="A198" s="2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  <c r="H198">
        <f t="shared" si="3"/>
        <v>1656</v>
      </c>
    </row>
    <row r="199" spans="1:8" x14ac:dyDescent="0.3">
      <c r="A199" s="2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  <c r="H199">
        <f t="shared" si="3"/>
        <v>407</v>
      </c>
    </row>
    <row r="200" spans="1:8" x14ac:dyDescent="0.3">
      <c r="A200" s="2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  <c r="H200">
        <f t="shared" si="3"/>
        <v>269</v>
      </c>
    </row>
    <row r="201" spans="1:8" x14ac:dyDescent="0.3">
      <c r="A201" s="2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  <c r="H201">
        <f t="shared" si="3"/>
        <v>-337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0BF3-C53B-4F72-97FC-33FE5B8E3ECF}">
  <dimension ref="A3:B8"/>
  <sheetViews>
    <sheetView workbookViewId="0">
      <selection activeCell="W19" sqref="W19"/>
    </sheetView>
  </sheetViews>
  <sheetFormatPr defaultRowHeight="14.4" x14ac:dyDescent="0.3"/>
  <cols>
    <col min="1" max="1" width="12.5546875" bestFit="1" customWidth="1"/>
    <col min="2" max="2" width="26.33203125" bestFit="1" customWidth="1"/>
    <col min="3" max="41" width="6" bestFit="1" customWidth="1"/>
    <col min="42" max="201" width="7" bestFit="1" customWidth="1"/>
    <col min="202" max="202" width="10.77734375" bestFit="1" customWidth="1"/>
  </cols>
  <sheetData>
    <row r="3" spans="1:2" x14ac:dyDescent="0.3">
      <c r="A3" s="11" t="s">
        <v>619</v>
      </c>
      <c r="B3" t="s">
        <v>626</v>
      </c>
    </row>
    <row r="4" spans="1:2" x14ac:dyDescent="0.3">
      <c r="A4" s="12" t="s">
        <v>33</v>
      </c>
      <c r="B4" s="4">
        <v>5.7156000000000002</v>
      </c>
    </row>
    <row r="5" spans="1:2" x14ac:dyDescent="0.3">
      <c r="A5" s="12" t="s">
        <v>14</v>
      </c>
      <c r="B5" s="4">
        <v>5.6558000000000002</v>
      </c>
    </row>
    <row r="6" spans="1:2" x14ac:dyDescent="0.3">
      <c r="A6" s="12" t="s">
        <v>43</v>
      </c>
      <c r="B6" s="4">
        <v>5.6486000000000001</v>
      </c>
    </row>
    <row r="7" spans="1:2" x14ac:dyDescent="0.3">
      <c r="A7" s="12" t="s">
        <v>27</v>
      </c>
      <c r="B7" s="4">
        <v>5.5587999999999997</v>
      </c>
    </row>
    <row r="8" spans="1:2" x14ac:dyDescent="0.3">
      <c r="A8" s="12" t="s">
        <v>620</v>
      </c>
      <c r="B8" s="4">
        <v>5.6446999999999994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4841-3C53-45F5-BF66-67FBEB882A0C}">
  <dimension ref="A1:D6"/>
  <sheetViews>
    <sheetView workbookViewId="0">
      <selection activeCell="F22" sqref="F22"/>
    </sheetView>
  </sheetViews>
  <sheetFormatPr defaultRowHeight="14.4" x14ac:dyDescent="0.3"/>
  <cols>
    <col min="1" max="1" width="12.5546875" bestFit="1" customWidth="1"/>
    <col min="2" max="2" width="17.88671875" bestFit="1" customWidth="1"/>
    <col min="3" max="3" width="26.33203125" bestFit="1" customWidth="1"/>
    <col min="4" max="4" width="16.21875" bestFit="1" customWidth="1"/>
  </cols>
  <sheetData>
    <row r="1" spans="1:4" x14ac:dyDescent="0.3">
      <c r="A1" s="11" t="s">
        <v>619</v>
      </c>
      <c r="B1" t="s">
        <v>628</v>
      </c>
      <c r="C1" t="s">
        <v>626</v>
      </c>
      <c r="D1" t="s">
        <v>629</v>
      </c>
    </row>
    <row r="2" spans="1:4" x14ac:dyDescent="0.3">
      <c r="A2" s="12" t="s">
        <v>43</v>
      </c>
      <c r="B2" s="4">
        <v>35557</v>
      </c>
      <c r="C2" s="4">
        <v>5.6486000000000001</v>
      </c>
      <c r="D2" s="4">
        <v>1379539</v>
      </c>
    </row>
    <row r="3" spans="1:4" x14ac:dyDescent="0.3">
      <c r="A3" s="12" t="s">
        <v>33</v>
      </c>
      <c r="B3" s="4">
        <v>48004</v>
      </c>
      <c r="C3" s="4">
        <v>5.7156000000000002</v>
      </c>
      <c r="D3" s="4">
        <v>1164373</v>
      </c>
    </row>
    <row r="4" spans="1:4" x14ac:dyDescent="0.3">
      <c r="A4" s="12" t="s">
        <v>14</v>
      </c>
      <c r="B4" s="4">
        <v>41177</v>
      </c>
      <c r="C4" s="4">
        <v>5.6558000000000002</v>
      </c>
      <c r="D4" s="4">
        <v>1060357</v>
      </c>
    </row>
    <row r="5" spans="1:4" x14ac:dyDescent="0.3">
      <c r="A5" s="12" t="s">
        <v>27</v>
      </c>
      <c r="B5" s="4">
        <v>35367</v>
      </c>
      <c r="C5" s="4">
        <v>5.5587999999999997</v>
      </c>
      <c r="D5" s="4">
        <v>1228647</v>
      </c>
    </row>
    <row r="6" spans="1:4" x14ac:dyDescent="0.3">
      <c r="A6" s="12" t="s">
        <v>620</v>
      </c>
      <c r="B6" s="4">
        <v>160105</v>
      </c>
      <c r="C6" s="4">
        <v>5.6446999999999994</v>
      </c>
      <c r="D6" s="4">
        <v>4832916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AB19-3AC7-40C1-89D0-7DD2BC25B1A4}">
  <dimension ref="A1:N340"/>
  <sheetViews>
    <sheetView topLeftCell="G1" workbookViewId="0">
      <selection activeCell="N1" sqref="N1"/>
    </sheetView>
  </sheetViews>
  <sheetFormatPr defaultColWidth="21.33203125" defaultRowHeight="14.4" x14ac:dyDescent="0.3"/>
  <sheetData>
    <row r="1" spans="1:14" x14ac:dyDescent="0.3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612</v>
      </c>
      <c r="M1" s="7" t="s">
        <v>12</v>
      </c>
      <c r="N1" s="21" t="s">
        <v>635</v>
      </c>
    </row>
    <row r="2" spans="1:14" x14ac:dyDescent="0.3">
      <c r="A2" s="13" t="s">
        <v>13</v>
      </c>
      <c r="B2" s="14" t="s">
        <v>14</v>
      </c>
      <c r="C2" s="15">
        <v>45649</v>
      </c>
      <c r="D2" s="14" t="s">
        <v>16</v>
      </c>
      <c r="E2" s="14" t="s">
        <v>17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14" t="s">
        <v>62</v>
      </c>
      <c r="M2" s="16" t="s">
        <v>19</v>
      </c>
      <c r="N2" s="8">
        <v>5.6557999999999993</v>
      </c>
    </row>
    <row r="3" spans="1:14" x14ac:dyDescent="0.3">
      <c r="A3" s="17" t="s">
        <v>13</v>
      </c>
      <c r="B3" s="18" t="s">
        <v>14</v>
      </c>
      <c r="C3" s="19">
        <v>45649</v>
      </c>
      <c r="D3" s="18" t="s">
        <v>16</v>
      </c>
      <c r="E3" s="18" t="s">
        <v>17</v>
      </c>
      <c r="F3" s="9">
        <v>1461</v>
      </c>
      <c r="G3" s="9">
        <v>184</v>
      </c>
      <c r="H3" s="9">
        <v>344</v>
      </c>
      <c r="I3" s="9">
        <v>21915</v>
      </c>
      <c r="J3" s="9">
        <v>21675</v>
      </c>
      <c r="K3" s="9">
        <v>15</v>
      </c>
      <c r="L3" s="18" t="s">
        <v>613</v>
      </c>
      <c r="M3" s="20" t="s">
        <v>19</v>
      </c>
      <c r="N3" s="9">
        <v>5.6557999999999993</v>
      </c>
    </row>
    <row r="4" spans="1:14" x14ac:dyDescent="0.3">
      <c r="A4" s="13" t="s">
        <v>20</v>
      </c>
      <c r="B4" s="14" t="s">
        <v>14</v>
      </c>
      <c r="C4" s="15">
        <v>45750</v>
      </c>
      <c r="D4" s="14" t="s">
        <v>22</v>
      </c>
      <c r="E4" s="14" t="s">
        <v>23</v>
      </c>
      <c r="F4" s="8">
        <v>4054</v>
      </c>
      <c r="G4" s="8">
        <v>389</v>
      </c>
      <c r="H4" s="8">
        <v>493</v>
      </c>
      <c r="I4" s="8">
        <v>64864</v>
      </c>
      <c r="J4" s="8">
        <v>64383</v>
      </c>
      <c r="K4" s="8">
        <v>117</v>
      </c>
      <c r="L4" s="14" t="s">
        <v>30</v>
      </c>
      <c r="M4" s="16" t="s">
        <v>25</v>
      </c>
      <c r="N4" s="8">
        <v>5.7155999999999993</v>
      </c>
    </row>
    <row r="5" spans="1:14" x14ac:dyDescent="0.3">
      <c r="A5" s="17" t="s">
        <v>20</v>
      </c>
      <c r="B5" s="18" t="s">
        <v>14</v>
      </c>
      <c r="C5" s="19">
        <v>45750</v>
      </c>
      <c r="D5" s="18" t="s">
        <v>22</v>
      </c>
      <c r="E5" s="18" t="s">
        <v>23</v>
      </c>
      <c r="F5" s="9">
        <v>4054</v>
      </c>
      <c r="G5" s="9">
        <v>389</v>
      </c>
      <c r="H5" s="9">
        <v>493</v>
      </c>
      <c r="I5" s="9">
        <v>64864</v>
      </c>
      <c r="J5" s="9">
        <v>64383</v>
      </c>
      <c r="K5" s="9">
        <v>117</v>
      </c>
      <c r="L5" s="18" t="s">
        <v>614</v>
      </c>
      <c r="M5" s="20" t="s">
        <v>25</v>
      </c>
      <c r="N5" s="9">
        <v>5.5587999999999997</v>
      </c>
    </row>
    <row r="6" spans="1:14" x14ac:dyDescent="0.3">
      <c r="A6" s="13" t="s">
        <v>26</v>
      </c>
      <c r="B6" s="14" t="s">
        <v>27</v>
      </c>
      <c r="C6" s="15">
        <v>45789</v>
      </c>
      <c r="D6" s="14" t="s">
        <v>16</v>
      </c>
      <c r="E6" s="14" t="s">
        <v>29</v>
      </c>
      <c r="F6" s="8">
        <v>2795</v>
      </c>
      <c r="G6" s="8">
        <v>105</v>
      </c>
      <c r="H6" s="8">
        <v>49</v>
      </c>
      <c r="I6" s="8">
        <v>53105</v>
      </c>
      <c r="J6" s="8">
        <v>52307</v>
      </c>
      <c r="K6" s="8">
        <v>204</v>
      </c>
      <c r="L6" s="14" t="s">
        <v>30</v>
      </c>
      <c r="M6" s="16" t="s">
        <v>31</v>
      </c>
      <c r="N6" s="8">
        <v>5.5587999999999997</v>
      </c>
    </row>
    <row r="7" spans="1:14" x14ac:dyDescent="0.3">
      <c r="A7" s="17" t="s">
        <v>32</v>
      </c>
      <c r="B7" s="18" t="s">
        <v>33</v>
      </c>
      <c r="C7" s="19">
        <v>45516</v>
      </c>
      <c r="D7" s="18" t="s">
        <v>35</v>
      </c>
      <c r="E7" s="18" t="s">
        <v>36</v>
      </c>
      <c r="F7" s="9">
        <v>2404</v>
      </c>
      <c r="G7" s="9">
        <v>363</v>
      </c>
      <c r="H7" s="9">
        <v>138</v>
      </c>
      <c r="I7" s="9">
        <v>19232</v>
      </c>
      <c r="J7" s="9">
        <v>18636</v>
      </c>
      <c r="K7" s="9">
        <v>128</v>
      </c>
      <c r="L7" s="18" t="s">
        <v>37</v>
      </c>
      <c r="M7" s="20" t="s">
        <v>38</v>
      </c>
      <c r="N7" s="9">
        <v>5.6486000000000001</v>
      </c>
    </row>
    <row r="8" spans="1:14" x14ac:dyDescent="0.3">
      <c r="A8" s="13" t="s">
        <v>39</v>
      </c>
      <c r="B8" s="14" t="s">
        <v>27</v>
      </c>
      <c r="C8" s="15">
        <v>45469</v>
      </c>
      <c r="D8" s="14" t="s">
        <v>16</v>
      </c>
      <c r="E8" s="14" t="s">
        <v>29</v>
      </c>
      <c r="F8" s="8">
        <v>3557</v>
      </c>
      <c r="G8" s="8">
        <v>687</v>
      </c>
      <c r="H8" s="8">
        <v>424</v>
      </c>
      <c r="I8" s="8">
        <v>71140</v>
      </c>
      <c r="J8" s="8">
        <v>70701</v>
      </c>
      <c r="K8" s="8">
        <v>224</v>
      </c>
      <c r="L8" s="14" t="s">
        <v>37</v>
      </c>
      <c r="M8" s="16" t="s">
        <v>19</v>
      </c>
      <c r="N8" s="8">
        <v>5.6557999999999993</v>
      </c>
    </row>
    <row r="9" spans="1:14" x14ac:dyDescent="0.3">
      <c r="A9" s="17" t="s">
        <v>39</v>
      </c>
      <c r="B9" s="18" t="s">
        <v>27</v>
      </c>
      <c r="C9" s="19">
        <v>45469</v>
      </c>
      <c r="D9" s="18" t="s">
        <v>16</v>
      </c>
      <c r="E9" s="18" t="s">
        <v>29</v>
      </c>
      <c r="F9" s="9">
        <v>3557</v>
      </c>
      <c r="G9" s="9">
        <v>687</v>
      </c>
      <c r="H9" s="9">
        <v>424</v>
      </c>
      <c r="I9" s="9">
        <v>71140</v>
      </c>
      <c r="J9" s="9">
        <v>70701</v>
      </c>
      <c r="K9" s="9">
        <v>224</v>
      </c>
      <c r="L9" s="18" t="s">
        <v>30</v>
      </c>
      <c r="M9" s="20" t="s">
        <v>19</v>
      </c>
      <c r="N9" s="9">
        <v>5.5587999999999997</v>
      </c>
    </row>
    <row r="10" spans="1:14" x14ac:dyDescent="0.3">
      <c r="A10" s="13" t="s">
        <v>42</v>
      </c>
      <c r="B10" s="14" t="s">
        <v>43</v>
      </c>
      <c r="C10" s="15">
        <v>45596</v>
      </c>
      <c r="D10" s="14" t="s">
        <v>45</v>
      </c>
      <c r="E10" s="14" t="s">
        <v>46</v>
      </c>
      <c r="F10" s="8">
        <v>2945</v>
      </c>
      <c r="G10" s="8">
        <v>930</v>
      </c>
      <c r="H10" s="8">
        <v>355</v>
      </c>
      <c r="I10" s="8">
        <v>23560</v>
      </c>
      <c r="J10" s="8">
        <v>23275</v>
      </c>
      <c r="K10" s="8">
        <v>256</v>
      </c>
      <c r="L10" s="14" t="s">
        <v>30</v>
      </c>
      <c r="M10" s="16" t="s">
        <v>25</v>
      </c>
      <c r="N10" s="8">
        <v>5.6486000000000001</v>
      </c>
    </row>
    <row r="11" spans="1:14" x14ac:dyDescent="0.3">
      <c r="A11" s="17" t="s">
        <v>47</v>
      </c>
      <c r="B11" s="18" t="s">
        <v>14</v>
      </c>
      <c r="C11" s="19">
        <v>45467</v>
      </c>
      <c r="D11" s="18" t="s">
        <v>45</v>
      </c>
      <c r="E11" s="18" t="s">
        <v>49</v>
      </c>
      <c r="F11" s="9">
        <v>3860</v>
      </c>
      <c r="G11" s="9">
        <v>201</v>
      </c>
      <c r="H11" s="9">
        <v>279</v>
      </c>
      <c r="I11" s="9">
        <v>61760</v>
      </c>
      <c r="J11" s="9">
        <v>61660</v>
      </c>
      <c r="K11" s="9">
        <v>235</v>
      </c>
      <c r="L11" s="18" t="s">
        <v>30</v>
      </c>
      <c r="M11" s="20" t="s">
        <v>25</v>
      </c>
      <c r="N11" s="9">
        <v>5.6486000000000001</v>
      </c>
    </row>
    <row r="12" spans="1:14" x14ac:dyDescent="0.3">
      <c r="A12" s="13" t="s">
        <v>50</v>
      </c>
      <c r="B12" s="14" t="s">
        <v>27</v>
      </c>
      <c r="C12" s="15">
        <v>45486</v>
      </c>
      <c r="D12" s="14" t="s">
        <v>52</v>
      </c>
      <c r="E12" s="14" t="s">
        <v>53</v>
      </c>
      <c r="F12" s="8">
        <v>3929</v>
      </c>
      <c r="G12" s="8">
        <v>262</v>
      </c>
      <c r="H12" s="8">
        <v>278</v>
      </c>
      <c r="I12" s="8">
        <v>43219</v>
      </c>
      <c r="J12" s="8">
        <v>42841</v>
      </c>
      <c r="K12" s="8">
        <v>39</v>
      </c>
      <c r="L12" s="14" t="s">
        <v>37</v>
      </c>
      <c r="M12" s="16" t="s">
        <v>38</v>
      </c>
      <c r="N12" s="8">
        <v>5.7155999999999993</v>
      </c>
    </row>
    <row r="13" spans="1:14" x14ac:dyDescent="0.3">
      <c r="A13" s="17" t="s">
        <v>54</v>
      </c>
      <c r="B13" s="18" t="s">
        <v>43</v>
      </c>
      <c r="C13" s="19">
        <v>45534</v>
      </c>
      <c r="D13" s="18" t="s">
        <v>22</v>
      </c>
      <c r="E13" s="18" t="s">
        <v>56</v>
      </c>
      <c r="F13" s="9">
        <v>3784</v>
      </c>
      <c r="G13" s="9">
        <v>808</v>
      </c>
      <c r="H13" s="9">
        <v>404</v>
      </c>
      <c r="I13" s="9">
        <v>56760</v>
      </c>
      <c r="J13" s="9">
        <v>56343</v>
      </c>
      <c r="K13" s="9">
        <v>131</v>
      </c>
      <c r="L13" s="18" t="s">
        <v>30</v>
      </c>
      <c r="M13" s="20" t="s">
        <v>25</v>
      </c>
      <c r="N13" s="9">
        <v>5.6486000000000001</v>
      </c>
    </row>
    <row r="14" spans="1:14" x14ac:dyDescent="0.3">
      <c r="A14" s="13" t="s">
        <v>57</v>
      </c>
      <c r="B14" s="14" t="s">
        <v>43</v>
      </c>
      <c r="C14" s="15">
        <v>45727</v>
      </c>
      <c r="D14" s="14" t="s">
        <v>52</v>
      </c>
      <c r="E14" s="14" t="s">
        <v>59</v>
      </c>
      <c r="F14" s="8">
        <v>4241</v>
      </c>
      <c r="G14" s="8">
        <v>902</v>
      </c>
      <c r="H14" s="8">
        <v>47</v>
      </c>
      <c r="I14" s="8">
        <v>72097</v>
      </c>
      <c r="J14" s="8">
        <v>71598</v>
      </c>
      <c r="K14" s="8">
        <v>167</v>
      </c>
      <c r="L14" s="14" t="s">
        <v>30</v>
      </c>
      <c r="M14" s="16" t="s">
        <v>25</v>
      </c>
      <c r="N14" s="8">
        <v>5.5587999999999997</v>
      </c>
    </row>
    <row r="15" spans="1:14" x14ac:dyDescent="0.3">
      <c r="A15" s="17" t="s">
        <v>60</v>
      </c>
      <c r="B15" s="18" t="s">
        <v>33</v>
      </c>
      <c r="C15" s="19">
        <v>45690</v>
      </c>
      <c r="D15" s="18" t="s">
        <v>35</v>
      </c>
      <c r="E15" s="18" t="s">
        <v>36</v>
      </c>
      <c r="F15" s="9">
        <v>1792</v>
      </c>
      <c r="G15" s="9">
        <v>614</v>
      </c>
      <c r="H15" s="9">
        <v>497</v>
      </c>
      <c r="I15" s="9">
        <v>25088</v>
      </c>
      <c r="J15" s="9">
        <v>24675</v>
      </c>
      <c r="K15" s="9">
        <v>65</v>
      </c>
      <c r="L15" s="18" t="s">
        <v>62</v>
      </c>
      <c r="M15" s="20" t="s">
        <v>38</v>
      </c>
      <c r="N15" s="9">
        <v>5.6486000000000001</v>
      </c>
    </row>
    <row r="16" spans="1:14" x14ac:dyDescent="0.3">
      <c r="A16" s="13" t="s">
        <v>63</v>
      </c>
      <c r="B16" s="14" t="s">
        <v>43</v>
      </c>
      <c r="C16" s="15">
        <v>45494</v>
      </c>
      <c r="D16" s="14" t="s">
        <v>16</v>
      </c>
      <c r="E16" s="14" t="s">
        <v>65</v>
      </c>
      <c r="F16" s="8">
        <v>1946</v>
      </c>
      <c r="G16" s="8">
        <v>686</v>
      </c>
      <c r="H16" s="8">
        <v>377</v>
      </c>
      <c r="I16" s="8">
        <v>23352</v>
      </c>
      <c r="J16" s="8">
        <v>22982</v>
      </c>
      <c r="K16" s="8">
        <v>213</v>
      </c>
      <c r="L16" s="14" t="s">
        <v>62</v>
      </c>
      <c r="M16" s="16" t="s">
        <v>31</v>
      </c>
      <c r="N16" s="8">
        <v>5.6486000000000001</v>
      </c>
    </row>
    <row r="17" spans="1:14" x14ac:dyDescent="0.3">
      <c r="A17" s="17" t="s">
        <v>66</v>
      </c>
      <c r="B17" s="18" t="s">
        <v>27</v>
      </c>
      <c r="C17" s="19">
        <v>45614</v>
      </c>
      <c r="D17" s="18" t="s">
        <v>45</v>
      </c>
      <c r="E17" s="18" t="s">
        <v>68</v>
      </c>
      <c r="F17" s="9">
        <v>1171</v>
      </c>
      <c r="G17" s="9">
        <v>286</v>
      </c>
      <c r="H17" s="9">
        <v>231</v>
      </c>
      <c r="I17" s="9">
        <v>22249</v>
      </c>
      <c r="J17" s="9">
        <v>21282</v>
      </c>
      <c r="K17" s="9">
        <v>114</v>
      </c>
      <c r="L17" s="18" t="s">
        <v>37</v>
      </c>
      <c r="M17" s="20" t="s">
        <v>19</v>
      </c>
      <c r="N17" s="9">
        <v>5.6486000000000001</v>
      </c>
    </row>
    <row r="18" spans="1:14" x14ac:dyDescent="0.3">
      <c r="A18" s="13" t="s">
        <v>69</v>
      </c>
      <c r="B18" s="14" t="s">
        <v>43</v>
      </c>
      <c r="C18" s="15">
        <v>45704</v>
      </c>
      <c r="D18" s="14" t="s">
        <v>35</v>
      </c>
      <c r="E18" s="14" t="s">
        <v>71</v>
      </c>
      <c r="F18" s="8">
        <v>4242</v>
      </c>
      <c r="G18" s="8">
        <v>555</v>
      </c>
      <c r="H18" s="8">
        <v>131</v>
      </c>
      <c r="I18" s="8">
        <v>33936</v>
      </c>
      <c r="J18" s="8">
        <v>33802</v>
      </c>
      <c r="K18" s="8">
        <v>265</v>
      </c>
      <c r="L18" s="14" t="s">
        <v>62</v>
      </c>
      <c r="M18" s="16"/>
      <c r="N18" s="8">
        <v>5.6486000000000001</v>
      </c>
    </row>
    <row r="19" spans="1:14" x14ac:dyDescent="0.3">
      <c r="A19" s="17" t="s">
        <v>72</v>
      </c>
      <c r="B19" s="18" t="s">
        <v>43</v>
      </c>
      <c r="C19" s="19">
        <v>45589</v>
      </c>
      <c r="D19" s="18" t="s">
        <v>74</v>
      </c>
      <c r="E19" s="18" t="s">
        <v>75</v>
      </c>
      <c r="F19" s="9">
        <v>3888</v>
      </c>
      <c r="G19" s="9">
        <v>604</v>
      </c>
      <c r="H19" s="9">
        <v>128</v>
      </c>
      <c r="I19" s="9">
        <v>77760</v>
      </c>
      <c r="J19" s="9">
        <v>77167</v>
      </c>
      <c r="K19" s="9">
        <v>20</v>
      </c>
      <c r="L19" s="18" t="s">
        <v>62</v>
      </c>
      <c r="M19" s="20" t="s">
        <v>19</v>
      </c>
      <c r="N19" s="9">
        <v>5.7155999999999993</v>
      </c>
    </row>
    <row r="20" spans="1:14" x14ac:dyDescent="0.3">
      <c r="A20" s="13" t="s">
        <v>76</v>
      </c>
      <c r="B20" s="14" t="s">
        <v>43</v>
      </c>
      <c r="C20" s="15">
        <v>45530</v>
      </c>
      <c r="D20" s="14" t="s">
        <v>22</v>
      </c>
      <c r="E20" s="14" t="s">
        <v>56</v>
      </c>
      <c r="F20" s="8">
        <v>3452</v>
      </c>
      <c r="G20" s="8">
        <v>377</v>
      </c>
      <c r="H20" s="8">
        <v>360</v>
      </c>
      <c r="I20" s="8">
        <v>55232</v>
      </c>
      <c r="J20" s="8">
        <v>55075</v>
      </c>
      <c r="K20" s="8">
        <v>87</v>
      </c>
      <c r="L20" s="14" t="s">
        <v>62</v>
      </c>
      <c r="M20" s="16" t="s">
        <v>31</v>
      </c>
      <c r="N20" s="8">
        <v>5.7155999999999993</v>
      </c>
    </row>
    <row r="21" spans="1:14" x14ac:dyDescent="0.3">
      <c r="A21" s="17" t="s">
        <v>78</v>
      </c>
      <c r="B21" s="18" t="s">
        <v>43</v>
      </c>
      <c r="C21" s="19">
        <v>45782</v>
      </c>
      <c r="D21" s="18" t="s">
        <v>22</v>
      </c>
      <c r="E21" s="18" t="s">
        <v>56</v>
      </c>
      <c r="F21" s="9">
        <v>4441</v>
      </c>
      <c r="G21" s="9">
        <v>511</v>
      </c>
      <c r="H21" s="9">
        <v>70</v>
      </c>
      <c r="I21" s="9">
        <v>53292</v>
      </c>
      <c r="J21" s="9">
        <v>53082</v>
      </c>
      <c r="K21" s="9">
        <v>159</v>
      </c>
      <c r="L21" s="18" t="s">
        <v>37</v>
      </c>
      <c r="M21" s="20" t="s">
        <v>38</v>
      </c>
      <c r="N21" s="9">
        <v>5.7155999999999993</v>
      </c>
    </row>
    <row r="22" spans="1:14" x14ac:dyDescent="0.3">
      <c r="A22" s="13" t="s">
        <v>80</v>
      </c>
      <c r="B22" s="14" t="s">
        <v>33</v>
      </c>
      <c r="C22" s="15">
        <v>45523</v>
      </c>
      <c r="D22" s="14" t="s">
        <v>16</v>
      </c>
      <c r="E22" s="14" t="s">
        <v>82</v>
      </c>
      <c r="F22" s="8">
        <v>3000</v>
      </c>
      <c r="G22" s="8">
        <v>382</v>
      </c>
      <c r="H22" s="8">
        <v>325</v>
      </c>
      <c r="I22" s="8">
        <v>36000</v>
      </c>
      <c r="J22" s="8">
        <v>35819</v>
      </c>
      <c r="K22" s="8">
        <v>19</v>
      </c>
      <c r="L22" s="14" t="s">
        <v>62</v>
      </c>
      <c r="M22" s="16" t="s">
        <v>19</v>
      </c>
      <c r="N22" s="8">
        <v>5.7155999999999993</v>
      </c>
    </row>
    <row r="23" spans="1:14" x14ac:dyDescent="0.3">
      <c r="A23" s="17" t="s">
        <v>83</v>
      </c>
      <c r="B23" s="18" t="s">
        <v>33</v>
      </c>
      <c r="C23" s="19">
        <v>45466</v>
      </c>
      <c r="D23" s="18" t="s">
        <v>74</v>
      </c>
      <c r="E23" s="18" t="s">
        <v>85</v>
      </c>
      <c r="F23" s="9">
        <v>1071</v>
      </c>
      <c r="G23" s="9">
        <v>519</v>
      </c>
      <c r="H23" s="9">
        <v>22</v>
      </c>
      <c r="I23" s="9">
        <v>16065</v>
      </c>
      <c r="J23" s="9">
        <v>15865</v>
      </c>
      <c r="K23" s="9">
        <v>103</v>
      </c>
      <c r="L23" s="18" t="s">
        <v>30</v>
      </c>
      <c r="M23" s="20" t="s">
        <v>38</v>
      </c>
      <c r="N23" s="9">
        <v>5.6486000000000001</v>
      </c>
    </row>
    <row r="24" spans="1:14" x14ac:dyDescent="0.3">
      <c r="A24" s="13" t="s">
        <v>86</v>
      </c>
      <c r="B24" s="14" t="s">
        <v>33</v>
      </c>
      <c r="C24" s="15">
        <v>45544</v>
      </c>
      <c r="D24" s="14" t="s">
        <v>45</v>
      </c>
      <c r="E24" s="14" t="s">
        <v>88</v>
      </c>
      <c r="F24" s="8">
        <v>4054</v>
      </c>
      <c r="G24" s="8">
        <v>488</v>
      </c>
      <c r="H24" s="8">
        <v>373</v>
      </c>
      <c r="I24" s="8">
        <v>77026</v>
      </c>
      <c r="J24" s="8">
        <v>76881</v>
      </c>
      <c r="K24" s="8">
        <v>25</v>
      </c>
      <c r="L24" s="14" t="s">
        <v>30</v>
      </c>
      <c r="M24" s="16" t="s">
        <v>19</v>
      </c>
      <c r="N24" s="8">
        <v>5.6486000000000001</v>
      </c>
    </row>
    <row r="25" spans="1:14" x14ac:dyDescent="0.3">
      <c r="A25" s="17" t="s">
        <v>89</v>
      </c>
      <c r="B25" s="18" t="s">
        <v>33</v>
      </c>
      <c r="C25" s="19">
        <v>45661</v>
      </c>
      <c r="D25" s="18" t="s">
        <v>16</v>
      </c>
      <c r="E25" s="18" t="s">
        <v>82</v>
      </c>
      <c r="F25" s="9">
        <v>4838</v>
      </c>
      <c r="G25" s="9">
        <v>640</v>
      </c>
      <c r="H25" s="9">
        <v>128</v>
      </c>
      <c r="I25" s="9">
        <v>72570</v>
      </c>
      <c r="J25" s="9">
        <v>72396</v>
      </c>
      <c r="K25" s="9">
        <v>83</v>
      </c>
      <c r="L25" s="18" t="s">
        <v>62</v>
      </c>
      <c r="M25" s="20" t="s">
        <v>38</v>
      </c>
      <c r="N25" s="9">
        <v>5.6486000000000001</v>
      </c>
    </row>
    <row r="26" spans="1:14" x14ac:dyDescent="0.3">
      <c r="A26" s="13" t="s">
        <v>91</v>
      </c>
      <c r="B26" s="14" t="s">
        <v>43</v>
      </c>
      <c r="C26" s="15">
        <v>45715</v>
      </c>
      <c r="D26" s="14" t="s">
        <v>22</v>
      </c>
      <c r="E26" s="14" t="s">
        <v>56</v>
      </c>
      <c r="F26" s="8">
        <v>1570</v>
      </c>
      <c r="G26" s="8">
        <v>187</v>
      </c>
      <c r="H26" s="8">
        <v>260</v>
      </c>
      <c r="I26" s="8">
        <v>25120</v>
      </c>
      <c r="J26" s="8">
        <v>24613</v>
      </c>
      <c r="K26" s="8">
        <v>133</v>
      </c>
      <c r="L26" s="14" t="s">
        <v>30</v>
      </c>
      <c r="M26" s="16" t="s">
        <v>38</v>
      </c>
      <c r="N26" s="8">
        <v>5.6557999999999993</v>
      </c>
    </row>
    <row r="27" spans="1:14" x14ac:dyDescent="0.3">
      <c r="A27" s="17" t="s">
        <v>93</v>
      </c>
      <c r="B27" s="18" t="s">
        <v>43</v>
      </c>
      <c r="C27" s="19">
        <v>45602</v>
      </c>
      <c r="D27" s="18" t="s">
        <v>74</v>
      </c>
      <c r="E27" s="18" t="s">
        <v>75</v>
      </c>
      <c r="F27" s="9">
        <v>1606</v>
      </c>
      <c r="G27" s="9">
        <v>547</v>
      </c>
      <c r="H27" s="9">
        <v>316</v>
      </c>
      <c r="I27" s="9">
        <v>32120</v>
      </c>
      <c r="J27" s="9">
        <v>31736</v>
      </c>
      <c r="K27" s="9">
        <v>225</v>
      </c>
      <c r="L27" s="18" t="s">
        <v>30</v>
      </c>
      <c r="M27" s="20" t="s">
        <v>25</v>
      </c>
      <c r="N27" s="9">
        <v>5.5587999999999997</v>
      </c>
    </row>
    <row r="28" spans="1:14" x14ac:dyDescent="0.3">
      <c r="A28" s="13" t="s">
        <v>93</v>
      </c>
      <c r="B28" s="14" t="s">
        <v>43</v>
      </c>
      <c r="C28" s="15">
        <v>45602</v>
      </c>
      <c r="D28" s="14" t="s">
        <v>74</v>
      </c>
      <c r="E28" s="14" t="s">
        <v>75</v>
      </c>
      <c r="F28" s="8">
        <v>1606</v>
      </c>
      <c r="G28" s="8">
        <v>547</v>
      </c>
      <c r="H28" s="8">
        <v>316</v>
      </c>
      <c r="I28" s="8">
        <v>32120</v>
      </c>
      <c r="J28" s="8">
        <v>31736</v>
      </c>
      <c r="K28" s="8">
        <v>225</v>
      </c>
      <c r="L28" s="14" t="s">
        <v>613</v>
      </c>
      <c r="M28" s="16" t="s">
        <v>25</v>
      </c>
      <c r="N28" s="8">
        <v>5.5587999999999997</v>
      </c>
    </row>
    <row r="29" spans="1:14" x14ac:dyDescent="0.3">
      <c r="A29" s="17" t="s">
        <v>96</v>
      </c>
      <c r="B29" s="18" t="s">
        <v>43</v>
      </c>
      <c r="C29" s="19">
        <v>45680</v>
      </c>
      <c r="D29" s="18" t="s">
        <v>74</v>
      </c>
      <c r="E29" s="18" t="s">
        <v>75</v>
      </c>
      <c r="F29" s="9">
        <v>3961</v>
      </c>
      <c r="G29" s="9">
        <v>761</v>
      </c>
      <c r="H29" s="9">
        <v>131</v>
      </c>
      <c r="I29" s="9">
        <v>67337</v>
      </c>
      <c r="J29" s="9">
        <v>66615</v>
      </c>
      <c r="K29" s="9">
        <v>161</v>
      </c>
      <c r="L29" s="18" t="s">
        <v>62</v>
      </c>
      <c r="M29" s="20" t="s">
        <v>31</v>
      </c>
      <c r="N29" s="9">
        <v>5.7155999999999993</v>
      </c>
    </row>
    <row r="30" spans="1:14" x14ac:dyDescent="0.3">
      <c r="A30" s="13" t="s">
        <v>98</v>
      </c>
      <c r="B30" s="14" t="s">
        <v>14</v>
      </c>
      <c r="C30" s="15">
        <v>45757</v>
      </c>
      <c r="D30" s="14" t="s">
        <v>45</v>
      </c>
      <c r="E30" s="14" t="s">
        <v>49</v>
      </c>
      <c r="F30" s="8">
        <v>3128</v>
      </c>
      <c r="G30" s="8">
        <v>211</v>
      </c>
      <c r="H30" s="8">
        <v>197</v>
      </c>
      <c r="I30" s="8">
        <v>59432</v>
      </c>
      <c r="J30" s="8">
        <v>59182</v>
      </c>
      <c r="K30" s="8">
        <v>238</v>
      </c>
      <c r="L30" s="14" t="s">
        <v>37</v>
      </c>
      <c r="M30" s="16"/>
      <c r="N30" s="8">
        <v>5.7155999999999993</v>
      </c>
    </row>
    <row r="31" spans="1:14" x14ac:dyDescent="0.3">
      <c r="A31" s="17" t="s">
        <v>100</v>
      </c>
      <c r="B31" s="18" t="s">
        <v>27</v>
      </c>
      <c r="C31" s="19">
        <v>45752</v>
      </c>
      <c r="D31" s="18" t="s">
        <v>16</v>
      </c>
      <c r="E31" s="18" t="s">
        <v>29</v>
      </c>
      <c r="F31" s="9">
        <v>3009</v>
      </c>
      <c r="G31" s="9">
        <v>413</v>
      </c>
      <c r="H31" s="9">
        <v>358</v>
      </c>
      <c r="I31" s="9">
        <v>42126</v>
      </c>
      <c r="J31" s="9">
        <v>41309</v>
      </c>
      <c r="K31" s="9">
        <v>211</v>
      </c>
      <c r="L31" s="18" t="s">
        <v>62</v>
      </c>
      <c r="M31" s="20" t="s">
        <v>25</v>
      </c>
      <c r="N31" s="9">
        <v>5.7155999999999993</v>
      </c>
    </row>
    <row r="32" spans="1:14" x14ac:dyDescent="0.3">
      <c r="A32" s="13" t="s">
        <v>102</v>
      </c>
      <c r="B32" s="14" t="s">
        <v>27</v>
      </c>
      <c r="C32" s="15">
        <v>45552</v>
      </c>
      <c r="D32" s="14" t="s">
        <v>22</v>
      </c>
      <c r="E32" s="14" t="s">
        <v>104</v>
      </c>
      <c r="F32" s="8">
        <v>2076</v>
      </c>
      <c r="G32" s="8">
        <v>195</v>
      </c>
      <c r="H32" s="8">
        <v>104</v>
      </c>
      <c r="I32" s="8">
        <v>33216</v>
      </c>
      <c r="J32" s="8">
        <v>32244</v>
      </c>
      <c r="K32" s="8">
        <v>51</v>
      </c>
      <c r="L32" s="14" t="s">
        <v>62</v>
      </c>
      <c r="M32" s="16" t="s">
        <v>38</v>
      </c>
      <c r="N32" s="8">
        <v>5.7155999999999993</v>
      </c>
    </row>
    <row r="33" spans="1:14" x14ac:dyDescent="0.3">
      <c r="A33" s="17" t="s">
        <v>105</v>
      </c>
      <c r="B33" s="18" t="s">
        <v>33</v>
      </c>
      <c r="C33" s="19">
        <v>45720</v>
      </c>
      <c r="D33" s="18" t="s">
        <v>74</v>
      </c>
      <c r="E33" s="18" t="s">
        <v>85</v>
      </c>
      <c r="F33" s="9">
        <v>432</v>
      </c>
      <c r="G33" s="9">
        <v>624</v>
      </c>
      <c r="H33" s="9">
        <v>123</v>
      </c>
      <c r="I33" s="9">
        <v>6912</v>
      </c>
      <c r="J33" s="9">
        <v>6259</v>
      </c>
      <c r="K33" s="9">
        <v>79</v>
      </c>
      <c r="L33" s="18" t="s">
        <v>62</v>
      </c>
      <c r="M33" s="20" t="s">
        <v>38</v>
      </c>
      <c r="N33" s="9">
        <v>5.6557999999999993</v>
      </c>
    </row>
    <row r="34" spans="1:14" x14ac:dyDescent="0.3">
      <c r="A34" s="13" t="s">
        <v>107</v>
      </c>
      <c r="B34" s="14" t="s">
        <v>33</v>
      </c>
      <c r="C34" s="15">
        <v>45688</v>
      </c>
      <c r="D34" s="14" t="s">
        <v>45</v>
      </c>
      <c r="E34" s="14" t="s">
        <v>88</v>
      </c>
      <c r="F34" s="8">
        <v>2566</v>
      </c>
      <c r="G34" s="8">
        <v>118</v>
      </c>
      <c r="H34" s="8">
        <v>37</v>
      </c>
      <c r="I34" s="8">
        <v>12830</v>
      </c>
      <c r="J34" s="8">
        <v>12264</v>
      </c>
      <c r="K34" s="8">
        <v>221</v>
      </c>
      <c r="L34" s="14" t="s">
        <v>62</v>
      </c>
      <c r="M34" s="16" t="s">
        <v>31</v>
      </c>
      <c r="N34" s="8">
        <v>5.6486000000000001</v>
      </c>
    </row>
    <row r="35" spans="1:14" x14ac:dyDescent="0.3">
      <c r="A35" s="17" t="s">
        <v>109</v>
      </c>
      <c r="B35" s="18" t="s">
        <v>33</v>
      </c>
      <c r="C35" s="19">
        <v>45713</v>
      </c>
      <c r="D35" s="18" t="s">
        <v>74</v>
      </c>
      <c r="E35" s="18" t="s">
        <v>85</v>
      </c>
      <c r="F35" s="9">
        <v>3095</v>
      </c>
      <c r="G35" s="9">
        <v>39</v>
      </c>
      <c r="H35" s="9">
        <v>78</v>
      </c>
      <c r="I35" s="9">
        <v>55710</v>
      </c>
      <c r="J35" s="9">
        <v>54808</v>
      </c>
      <c r="K35" s="9">
        <v>93</v>
      </c>
      <c r="L35" s="18" t="s">
        <v>37</v>
      </c>
      <c r="M35" s="20"/>
      <c r="N35" s="9">
        <v>5.6486000000000001</v>
      </c>
    </row>
    <row r="36" spans="1:14" x14ac:dyDescent="0.3">
      <c r="A36" s="13" t="s">
        <v>111</v>
      </c>
      <c r="B36" s="14" t="s">
        <v>33</v>
      </c>
      <c r="C36" s="15">
        <v>45642</v>
      </c>
      <c r="D36" s="14" t="s">
        <v>22</v>
      </c>
      <c r="E36" s="14" t="s">
        <v>113</v>
      </c>
      <c r="F36" s="8">
        <v>438</v>
      </c>
      <c r="G36" s="8">
        <v>153</v>
      </c>
      <c r="H36" s="8">
        <v>275</v>
      </c>
      <c r="I36" s="8">
        <v>3066</v>
      </c>
      <c r="J36" s="8">
        <v>2701</v>
      </c>
      <c r="K36" s="8">
        <v>282</v>
      </c>
      <c r="L36" s="14" t="s">
        <v>30</v>
      </c>
      <c r="M36" s="16" t="s">
        <v>25</v>
      </c>
      <c r="N36" s="8">
        <v>5.7155999999999993</v>
      </c>
    </row>
    <row r="37" spans="1:14" x14ac:dyDescent="0.3">
      <c r="A37" s="17" t="s">
        <v>114</v>
      </c>
      <c r="B37" s="18" t="s">
        <v>14</v>
      </c>
      <c r="C37" s="19">
        <v>45504</v>
      </c>
      <c r="D37" s="18" t="s">
        <v>45</v>
      </c>
      <c r="E37" s="18" t="s">
        <v>49</v>
      </c>
      <c r="F37" s="9">
        <v>2278</v>
      </c>
      <c r="G37" s="9">
        <v>10</v>
      </c>
      <c r="H37" s="9">
        <v>321</v>
      </c>
      <c r="I37" s="9">
        <v>13668</v>
      </c>
      <c r="J37" s="9">
        <v>12676</v>
      </c>
      <c r="K37" s="9">
        <v>275</v>
      </c>
      <c r="L37" s="18" t="s">
        <v>37</v>
      </c>
      <c r="M37" s="20" t="s">
        <v>19</v>
      </c>
      <c r="N37" s="9">
        <v>5.7155999999999993</v>
      </c>
    </row>
    <row r="38" spans="1:14" x14ac:dyDescent="0.3">
      <c r="A38" s="13" t="s">
        <v>116</v>
      </c>
      <c r="B38" s="14" t="s">
        <v>43</v>
      </c>
      <c r="C38" s="15">
        <v>45525</v>
      </c>
      <c r="D38" s="14" t="s">
        <v>52</v>
      </c>
      <c r="E38" s="14" t="s">
        <v>59</v>
      </c>
      <c r="F38" s="8">
        <v>1407</v>
      </c>
      <c r="G38" s="8">
        <v>400</v>
      </c>
      <c r="H38" s="8">
        <v>351</v>
      </c>
      <c r="I38" s="8">
        <v>16884</v>
      </c>
      <c r="J38" s="8">
        <v>15954</v>
      </c>
      <c r="K38" s="8">
        <v>113</v>
      </c>
      <c r="L38" s="14" t="s">
        <v>30</v>
      </c>
      <c r="M38" s="16" t="s">
        <v>19</v>
      </c>
      <c r="N38" s="8">
        <v>5.6486000000000001</v>
      </c>
    </row>
    <row r="39" spans="1:14" x14ac:dyDescent="0.3">
      <c r="A39" s="17" t="s">
        <v>118</v>
      </c>
      <c r="B39" s="18" t="s">
        <v>43</v>
      </c>
      <c r="C39" s="19">
        <v>45742</v>
      </c>
      <c r="D39" s="18" t="s">
        <v>22</v>
      </c>
      <c r="E39" s="18" t="s">
        <v>56</v>
      </c>
      <c r="F39" s="9">
        <v>1652</v>
      </c>
      <c r="G39" s="9">
        <v>89</v>
      </c>
      <c r="H39" s="9">
        <v>357</v>
      </c>
      <c r="I39" s="9">
        <v>29736</v>
      </c>
      <c r="J39" s="9">
        <v>28771</v>
      </c>
      <c r="K39" s="9">
        <v>215</v>
      </c>
      <c r="L39" s="18" t="s">
        <v>30</v>
      </c>
      <c r="M39" s="20" t="s">
        <v>31</v>
      </c>
      <c r="N39" s="9">
        <v>5.5587999999999997</v>
      </c>
    </row>
    <row r="40" spans="1:14" x14ac:dyDescent="0.3">
      <c r="A40" s="13" t="s">
        <v>120</v>
      </c>
      <c r="B40" s="14" t="s">
        <v>33</v>
      </c>
      <c r="C40" s="15">
        <v>45626</v>
      </c>
      <c r="D40" s="14" t="s">
        <v>74</v>
      </c>
      <c r="E40" s="14" t="s">
        <v>85</v>
      </c>
      <c r="F40" s="8">
        <v>3775</v>
      </c>
      <c r="G40" s="8">
        <v>16</v>
      </c>
      <c r="H40" s="8">
        <v>239</v>
      </c>
      <c r="I40" s="8">
        <v>33975</v>
      </c>
      <c r="J40" s="8">
        <v>33310</v>
      </c>
      <c r="K40" s="8">
        <v>271</v>
      </c>
      <c r="L40" s="14" t="s">
        <v>62</v>
      </c>
      <c r="M40" s="16" t="s">
        <v>25</v>
      </c>
      <c r="N40" s="8">
        <v>5.6486000000000001</v>
      </c>
    </row>
    <row r="41" spans="1:14" x14ac:dyDescent="0.3">
      <c r="A41" s="17" t="s">
        <v>122</v>
      </c>
      <c r="B41" s="18" t="s">
        <v>33</v>
      </c>
      <c r="C41" s="19">
        <v>45766</v>
      </c>
      <c r="D41" s="18" t="s">
        <v>35</v>
      </c>
      <c r="E41" s="18" t="s">
        <v>36</v>
      </c>
      <c r="F41" s="9">
        <v>4518</v>
      </c>
      <c r="G41" s="9">
        <v>285</v>
      </c>
      <c r="H41" s="9">
        <v>383</v>
      </c>
      <c r="I41" s="9">
        <v>67770</v>
      </c>
      <c r="J41" s="9">
        <v>67621</v>
      </c>
      <c r="K41" s="9">
        <v>31</v>
      </c>
      <c r="L41" s="18" t="s">
        <v>37</v>
      </c>
      <c r="M41" s="20" t="s">
        <v>25</v>
      </c>
      <c r="N41" s="9">
        <v>5.6557999999999993</v>
      </c>
    </row>
    <row r="42" spans="1:14" x14ac:dyDescent="0.3">
      <c r="A42" s="13" t="s">
        <v>124</v>
      </c>
      <c r="B42" s="14" t="s">
        <v>43</v>
      </c>
      <c r="C42" s="15">
        <v>45663</v>
      </c>
      <c r="D42" s="14" t="s">
        <v>45</v>
      </c>
      <c r="E42" s="14" t="s">
        <v>46</v>
      </c>
      <c r="F42" s="8">
        <v>3024</v>
      </c>
      <c r="G42" s="8">
        <v>925</v>
      </c>
      <c r="H42" s="8">
        <v>350</v>
      </c>
      <c r="I42" s="8">
        <v>24192</v>
      </c>
      <c r="J42" s="8">
        <v>23518</v>
      </c>
      <c r="K42" s="8">
        <v>36</v>
      </c>
      <c r="L42" s="14" t="s">
        <v>37</v>
      </c>
      <c r="M42" s="16" t="s">
        <v>25</v>
      </c>
      <c r="N42" s="8">
        <v>5.7155999999999993</v>
      </c>
    </row>
    <row r="43" spans="1:14" x14ac:dyDescent="0.3">
      <c r="A43" s="17" t="s">
        <v>126</v>
      </c>
      <c r="B43" s="18" t="s">
        <v>27</v>
      </c>
      <c r="C43" s="19">
        <v>45705</v>
      </c>
      <c r="D43" s="18" t="s">
        <v>16</v>
      </c>
      <c r="E43" s="18" t="s">
        <v>29</v>
      </c>
      <c r="F43" s="9">
        <v>3138</v>
      </c>
      <c r="G43" s="9">
        <v>123</v>
      </c>
      <c r="H43" s="9">
        <v>291</v>
      </c>
      <c r="I43" s="9">
        <v>28242</v>
      </c>
      <c r="J43" s="9">
        <v>27550</v>
      </c>
      <c r="K43" s="9">
        <v>87</v>
      </c>
      <c r="L43" s="18" t="s">
        <v>30</v>
      </c>
      <c r="M43" s="20" t="s">
        <v>38</v>
      </c>
      <c r="N43" s="9">
        <v>5.5587999999999997</v>
      </c>
    </row>
    <row r="44" spans="1:14" x14ac:dyDescent="0.3">
      <c r="A44" s="13" t="s">
        <v>128</v>
      </c>
      <c r="B44" s="14" t="s">
        <v>43</v>
      </c>
      <c r="C44" s="15">
        <v>45621</v>
      </c>
      <c r="D44" s="14" t="s">
        <v>52</v>
      </c>
      <c r="E44" s="14" t="s">
        <v>59</v>
      </c>
      <c r="F44" s="8">
        <v>3564</v>
      </c>
      <c r="G44" s="8">
        <v>629</v>
      </c>
      <c r="H44" s="8">
        <v>177</v>
      </c>
      <c r="I44" s="8">
        <v>60588</v>
      </c>
      <c r="J44" s="8">
        <v>59627</v>
      </c>
      <c r="K44" s="8">
        <v>92</v>
      </c>
      <c r="L44" s="14" t="s">
        <v>30</v>
      </c>
      <c r="M44" s="16"/>
      <c r="N44" s="8">
        <v>5.7155999999999993</v>
      </c>
    </row>
    <row r="45" spans="1:14" x14ac:dyDescent="0.3">
      <c r="A45" s="17" t="s">
        <v>130</v>
      </c>
      <c r="B45" s="18" t="s">
        <v>14</v>
      </c>
      <c r="C45" s="19">
        <v>45723</v>
      </c>
      <c r="D45" s="18" t="s">
        <v>52</v>
      </c>
      <c r="E45" s="18" t="s">
        <v>132</v>
      </c>
      <c r="F45" s="9">
        <v>4750</v>
      </c>
      <c r="G45" s="9">
        <v>151</v>
      </c>
      <c r="H45" s="9">
        <v>415</v>
      </c>
      <c r="I45" s="9">
        <v>38000</v>
      </c>
      <c r="J45" s="9">
        <v>37792</v>
      </c>
      <c r="K45" s="9">
        <v>299</v>
      </c>
      <c r="L45" s="18" t="s">
        <v>37</v>
      </c>
      <c r="M45" s="20" t="s">
        <v>38</v>
      </c>
      <c r="N45" s="9">
        <v>5.6557999999999993</v>
      </c>
    </row>
    <row r="46" spans="1:14" x14ac:dyDescent="0.3">
      <c r="A46" s="13" t="s">
        <v>133</v>
      </c>
      <c r="B46" s="14" t="s">
        <v>33</v>
      </c>
      <c r="C46" s="15">
        <v>45724</v>
      </c>
      <c r="D46" s="14" t="s">
        <v>16</v>
      </c>
      <c r="E46" s="14" t="s">
        <v>82</v>
      </c>
      <c r="F46" s="8">
        <v>456</v>
      </c>
      <c r="G46" s="8">
        <v>629</v>
      </c>
      <c r="H46" s="8">
        <v>428</v>
      </c>
      <c r="I46" s="8">
        <v>8208</v>
      </c>
      <c r="J46" s="8">
        <v>7377</v>
      </c>
      <c r="K46" s="8">
        <v>205</v>
      </c>
      <c r="L46" s="14" t="s">
        <v>62</v>
      </c>
      <c r="M46" s="16" t="s">
        <v>38</v>
      </c>
      <c r="N46" s="8">
        <v>5.6486000000000001</v>
      </c>
    </row>
    <row r="47" spans="1:14" x14ac:dyDescent="0.3">
      <c r="A47" s="17" t="s">
        <v>135</v>
      </c>
      <c r="B47" s="18" t="s">
        <v>27</v>
      </c>
      <c r="C47" s="19">
        <v>45721</v>
      </c>
      <c r="D47" s="18" t="s">
        <v>16</v>
      </c>
      <c r="E47" s="18" t="s">
        <v>29</v>
      </c>
      <c r="F47" s="9">
        <v>1543</v>
      </c>
      <c r="G47" s="9">
        <v>820</v>
      </c>
      <c r="H47" s="9">
        <v>333</v>
      </c>
      <c r="I47" s="9">
        <v>12344</v>
      </c>
      <c r="J47" s="9">
        <v>11496</v>
      </c>
      <c r="K47" s="9">
        <v>241</v>
      </c>
      <c r="L47" s="18" t="s">
        <v>37</v>
      </c>
      <c r="M47" s="20"/>
      <c r="N47" s="9">
        <v>5.6557999999999993</v>
      </c>
    </row>
    <row r="48" spans="1:14" x14ac:dyDescent="0.3">
      <c r="A48" s="13" t="s">
        <v>137</v>
      </c>
      <c r="B48" s="14" t="s">
        <v>33</v>
      </c>
      <c r="C48" s="15">
        <v>45640</v>
      </c>
      <c r="D48" s="14" t="s">
        <v>45</v>
      </c>
      <c r="E48" s="14" t="s">
        <v>88</v>
      </c>
      <c r="F48" s="8">
        <v>2174</v>
      </c>
      <c r="G48" s="8">
        <v>658</v>
      </c>
      <c r="H48" s="8">
        <v>15</v>
      </c>
      <c r="I48" s="8">
        <v>13044</v>
      </c>
      <c r="J48" s="8">
        <v>12206</v>
      </c>
      <c r="K48" s="8">
        <v>137</v>
      </c>
      <c r="L48" s="14" t="s">
        <v>30</v>
      </c>
      <c r="M48" s="16" t="s">
        <v>31</v>
      </c>
      <c r="N48" s="8">
        <v>5.6557999999999993</v>
      </c>
    </row>
    <row r="49" spans="1:14" x14ac:dyDescent="0.3">
      <c r="A49" s="17" t="s">
        <v>139</v>
      </c>
      <c r="B49" s="18" t="s">
        <v>14</v>
      </c>
      <c r="C49" s="19">
        <v>45718</v>
      </c>
      <c r="D49" s="18" t="s">
        <v>52</v>
      </c>
      <c r="E49" s="18" t="s">
        <v>132</v>
      </c>
      <c r="F49" s="9">
        <v>2358</v>
      </c>
      <c r="G49" s="9">
        <v>784</v>
      </c>
      <c r="H49" s="9">
        <v>344</v>
      </c>
      <c r="I49" s="9">
        <v>35370</v>
      </c>
      <c r="J49" s="9">
        <v>34475</v>
      </c>
      <c r="K49" s="9">
        <v>216</v>
      </c>
      <c r="L49" s="18" t="s">
        <v>30</v>
      </c>
      <c r="M49" s="20"/>
      <c r="N49" s="9">
        <v>5.6557999999999993</v>
      </c>
    </row>
    <row r="50" spans="1:14" x14ac:dyDescent="0.3">
      <c r="A50" s="13" t="s">
        <v>141</v>
      </c>
      <c r="B50" s="14" t="s">
        <v>43</v>
      </c>
      <c r="C50" s="15">
        <v>45597</v>
      </c>
      <c r="D50" s="14" t="s">
        <v>74</v>
      </c>
      <c r="E50" s="14" t="s">
        <v>75</v>
      </c>
      <c r="F50" s="8">
        <v>3371</v>
      </c>
      <c r="G50" s="8">
        <v>106</v>
      </c>
      <c r="H50" s="8">
        <v>327</v>
      </c>
      <c r="I50" s="8">
        <v>50565</v>
      </c>
      <c r="J50" s="8">
        <v>49816</v>
      </c>
      <c r="K50" s="8">
        <v>176</v>
      </c>
      <c r="L50" s="14" t="s">
        <v>62</v>
      </c>
      <c r="M50" s="16" t="s">
        <v>19</v>
      </c>
      <c r="N50" s="8">
        <v>5.6557999999999993</v>
      </c>
    </row>
    <row r="51" spans="1:14" x14ac:dyDescent="0.3">
      <c r="A51" s="17" t="s">
        <v>143</v>
      </c>
      <c r="B51" s="18" t="s">
        <v>14</v>
      </c>
      <c r="C51" s="19">
        <v>45779</v>
      </c>
      <c r="D51" s="18" t="s">
        <v>74</v>
      </c>
      <c r="E51" s="18" t="s">
        <v>145</v>
      </c>
      <c r="F51" s="9">
        <v>1108</v>
      </c>
      <c r="G51" s="9">
        <v>177</v>
      </c>
      <c r="H51" s="9">
        <v>212</v>
      </c>
      <c r="I51" s="9">
        <v>8864</v>
      </c>
      <c r="J51" s="9">
        <v>8710</v>
      </c>
      <c r="K51" s="9">
        <v>97</v>
      </c>
      <c r="L51" s="18" t="s">
        <v>30</v>
      </c>
      <c r="M51" s="20" t="s">
        <v>38</v>
      </c>
      <c r="N51" s="9">
        <v>5.5587999999999997</v>
      </c>
    </row>
    <row r="52" spans="1:14" x14ac:dyDescent="0.3">
      <c r="A52" s="13" t="s">
        <v>146</v>
      </c>
      <c r="B52" s="14" t="s">
        <v>14</v>
      </c>
      <c r="C52" s="15">
        <v>45712</v>
      </c>
      <c r="D52" s="14" t="s">
        <v>45</v>
      </c>
      <c r="E52" s="14" t="s">
        <v>49</v>
      </c>
      <c r="F52" s="8">
        <v>2704</v>
      </c>
      <c r="G52" s="8">
        <v>752</v>
      </c>
      <c r="H52" s="8">
        <v>153</v>
      </c>
      <c r="I52" s="8">
        <v>21632</v>
      </c>
      <c r="J52" s="8">
        <v>20792</v>
      </c>
      <c r="K52" s="8">
        <v>127</v>
      </c>
      <c r="L52" s="14" t="s">
        <v>62</v>
      </c>
      <c r="M52" s="16"/>
      <c r="N52" s="8">
        <v>5.6486000000000001</v>
      </c>
    </row>
    <row r="53" spans="1:14" x14ac:dyDescent="0.3">
      <c r="A53" s="17" t="s">
        <v>148</v>
      </c>
      <c r="B53" s="18" t="s">
        <v>14</v>
      </c>
      <c r="C53" s="19">
        <v>45727</v>
      </c>
      <c r="D53" s="18" t="s">
        <v>35</v>
      </c>
      <c r="E53" s="18" t="s">
        <v>149</v>
      </c>
      <c r="F53" s="9">
        <v>1950</v>
      </c>
      <c r="G53" s="9">
        <v>295</v>
      </c>
      <c r="H53" s="9">
        <v>478</v>
      </c>
      <c r="I53" s="9">
        <v>37050</v>
      </c>
      <c r="J53" s="9">
        <v>36272</v>
      </c>
      <c r="K53" s="9">
        <v>119</v>
      </c>
      <c r="L53" s="18" t="s">
        <v>30</v>
      </c>
      <c r="M53" s="20"/>
      <c r="N53" s="9">
        <v>5.6486000000000001</v>
      </c>
    </row>
    <row r="54" spans="1:14" x14ac:dyDescent="0.3">
      <c r="A54" s="13" t="s">
        <v>150</v>
      </c>
      <c r="B54" s="14" t="s">
        <v>14</v>
      </c>
      <c r="C54" s="15">
        <v>45453</v>
      </c>
      <c r="D54" s="14" t="s">
        <v>35</v>
      </c>
      <c r="E54" s="14" t="s">
        <v>149</v>
      </c>
      <c r="F54" s="8">
        <v>2164</v>
      </c>
      <c r="G54" s="8">
        <v>549</v>
      </c>
      <c r="H54" s="8">
        <v>274</v>
      </c>
      <c r="I54" s="8">
        <v>28132</v>
      </c>
      <c r="J54" s="8">
        <v>27361</v>
      </c>
      <c r="K54" s="8">
        <v>177</v>
      </c>
      <c r="L54" s="14" t="s">
        <v>30</v>
      </c>
      <c r="M54" s="16" t="s">
        <v>38</v>
      </c>
      <c r="N54" s="8">
        <v>5.5587999999999997</v>
      </c>
    </row>
    <row r="55" spans="1:14" x14ac:dyDescent="0.3">
      <c r="A55" s="17" t="s">
        <v>152</v>
      </c>
      <c r="B55" s="18" t="s">
        <v>27</v>
      </c>
      <c r="C55" s="19">
        <v>45476</v>
      </c>
      <c r="D55" s="18" t="s">
        <v>35</v>
      </c>
      <c r="E55" s="18" t="s">
        <v>154</v>
      </c>
      <c r="F55" s="9">
        <v>2754</v>
      </c>
      <c r="G55" s="9">
        <v>130</v>
      </c>
      <c r="H55" s="9">
        <v>90</v>
      </c>
      <c r="I55" s="9">
        <v>22032</v>
      </c>
      <c r="J55" s="9">
        <v>21288</v>
      </c>
      <c r="K55" s="9">
        <v>112</v>
      </c>
      <c r="L55" s="18" t="s">
        <v>30</v>
      </c>
      <c r="M55" s="20" t="s">
        <v>31</v>
      </c>
      <c r="N55" s="9">
        <v>5.5587999999999997</v>
      </c>
    </row>
    <row r="56" spans="1:14" x14ac:dyDescent="0.3">
      <c r="A56" s="13" t="s">
        <v>155</v>
      </c>
      <c r="B56" s="14" t="s">
        <v>43</v>
      </c>
      <c r="C56" s="15">
        <v>45456</v>
      </c>
      <c r="D56" s="14" t="s">
        <v>45</v>
      </c>
      <c r="E56" s="14" t="s">
        <v>46</v>
      </c>
      <c r="F56" s="8">
        <v>2200</v>
      </c>
      <c r="G56" s="8">
        <v>504</v>
      </c>
      <c r="H56" s="8">
        <v>239</v>
      </c>
      <c r="I56" s="8">
        <v>37400</v>
      </c>
      <c r="J56" s="8">
        <v>36938</v>
      </c>
      <c r="K56" s="8">
        <v>225</v>
      </c>
      <c r="L56" s="14" t="s">
        <v>62</v>
      </c>
      <c r="M56" s="16" t="s">
        <v>25</v>
      </c>
      <c r="N56" s="8">
        <v>5.6486000000000001</v>
      </c>
    </row>
    <row r="57" spans="1:14" x14ac:dyDescent="0.3">
      <c r="A57" s="17" t="s">
        <v>157</v>
      </c>
      <c r="B57" s="18" t="s">
        <v>43</v>
      </c>
      <c r="C57" s="19">
        <v>45660</v>
      </c>
      <c r="D57" s="18" t="s">
        <v>52</v>
      </c>
      <c r="E57" s="18" t="s">
        <v>59</v>
      </c>
      <c r="F57" s="9">
        <v>947</v>
      </c>
      <c r="G57" s="9">
        <v>338</v>
      </c>
      <c r="H57" s="9">
        <v>350</v>
      </c>
      <c r="I57" s="9">
        <v>10417</v>
      </c>
      <c r="J57" s="9">
        <v>9730</v>
      </c>
      <c r="K57" s="9">
        <v>34</v>
      </c>
      <c r="L57" s="18" t="s">
        <v>30</v>
      </c>
      <c r="M57" s="20" t="s">
        <v>38</v>
      </c>
      <c r="N57" s="9">
        <v>5.6486000000000001</v>
      </c>
    </row>
    <row r="58" spans="1:14" x14ac:dyDescent="0.3">
      <c r="A58" s="13" t="s">
        <v>159</v>
      </c>
      <c r="B58" s="14" t="s">
        <v>27</v>
      </c>
      <c r="C58" s="15">
        <v>45712</v>
      </c>
      <c r="D58" s="14" t="s">
        <v>45</v>
      </c>
      <c r="E58" s="14" t="s">
        <v>68</v>
      </c>
      <c r="F58" s="8">
        <v>804</v>
      </c>
      <c r="G58" s="8">
        <v>639</v>
      </c>
      <c r="H58" s="8">
        <v>43</v>
      </c>
      <c r="I58" s="8">
        <v>4020</v>
      </c>
      <c r="J58" s="8">
        <v>3144</v>
      </c>
      <c r="K58" s="8">
        <v>11</v>
      </c>
      <c r="L58" s="14" t="s">
        <v>37</v>
      </c>
      <c r="M58" s="16"/>
      <c r="N58" s="8">
        <v>5.6557999999999993</v>
      </c>
    </row>
    <row r="59" spans="1:14" x14ac:dyDescent="0.3">
      <c r="A59" s="17" t="s">
        <v>159</v>
      </c>
      <c r="B59" s="18" t="s">
        <v>27</v>
      </c>
      <c r="C59" s="19">
        <v>45712</v>
      </c>
      <c r="D59" s="18" t="s">
        <v>45</v>
      </c>
      <c r="E59" s="18" t="s">
        <v>68</v>
      </c>
      <c r="F59" s="9">
        <v>804</v>
      </c>
      <c r="G59" s="9">
        <v>639</v>
      </c>
      <c r="H59" s="9">
        <v>43</v>
      </c>
      <c r="I59" s="9">
        <v>4020</v>
      </c>
      <c r="J59" s="9">
        <v>3144</v>
      </c>
      <c r="K59" s="9">
        <v>11</v>
      </c>
      <c r="L59" s="18" t="s">
        <v>614</v>
      </c>
      <c r="M59" s="20"/>
      <c r="N59" s="9">
        <v>5.7155999999999993</v>
      </c>
    </row>
    <row r="60" spans="1:14" x14ac:dyDescent="0.3">
      <c r="A60" s="13" t="s">
        <v>161</v>
      </c>
      <c r="B60" s="14" t="s">
        <v>27</v>
      </c>
      <c r="C60" s="15">
        <v>45729</v>
      </c>
      <c r="D60" s="14" t="s">
        <v>45</v>
      </c>
      <c r="E60" s="14" t="s">
        <v>68</v>
      </c>
      <c r="F60" s="8">
        <v>1686</v>
      </c>
      <c r="G60" s="8">
        <v>904</v>
      </c>
      <c r="H60" s="8">
        <v>472</v>
      </c>
      <c r="I60" s="8">
        <v>18546</v>
      </c>
      <c r="J60" s="8">
        <v>18171</v>
      </c>
      <c r="K60" s="8">
        <v>52</v>
      </c>
      <c r="L60" s="14" t="s">
        <v>62</v>
      </c>
      <c r="M60" s="16" t="s">
        <v>25</v>
      </c>
      <c r="N60" s="8">
        <v>5.7155999999999993</v>
      </c>
    </row>
    <row r="61" spans="1:14" x14ac:dyDescent="0.3">
      <c r="A61" s="17" t="s">
        <v>163</v>
      </c>
      <c r="B61" s="18" t="s">
        <v>43</v>
      </c>
      <c r="C61" s="19">
        <v>45460</v>
      </c>
      <c r="D61" s="18" t="s">
        <v>52</v>
      </c>
      <c r="E61" s="18" t="s">
        <v>59</v>
      </c>
      <c r="F61" s="9">
        <v>1226</v>
      </c>
      <c r="G61" s="9">
        <v>119</v>
      </c>
      <c r="H61" s="9">
        <v>7</v>
      </c>
      <c r="I61" s="9">
        <v>14712</v>
      </c>
      <c r="J61" s="9">
        <v>14049</v>
      </c>
      <c r="K61" s="9">
        <v>123</v>
      </c>
      <c r="L61" s="18" t="s">
        <v>37</v>
      </c>
      <c r="M61" s="20" t="s">
        <v>38</v>
      </c>
      <c r="N61" s="9">
        <v>5.7155999999999993</v>
      </c>
    </row>
    <row r="62" spans="1:14" x14ac:dyDescent="0.3">
      <c r="A62" s="13" t="s">
        <v>165</v>
      </c>
      <c r="B62" s="14" t="s">
        <v>43</v>
      </c>
      <c r="C62" s="15">
        <v>45644</v>
      </c>
      <c r="D62" s="14" t="s">
        <v>45</v>
      </c>
      <c r="E62" s="14" t="s">
        <v>46</v>
      </c>
      <c r="F62" s="8">
        <v>2946</v>
      </c>
      <c r="G62" s="8">
        <v>498</v>
      </c>
      <c r="H62" s="8">
        <v>367</v>
      </c>
      <c r="I62" s="8">
        <v>29460</v>
      </c>
      <c r="J62" s="8">
        <v>28527</v>
      </c>
      <c r="K62" s="8">
        <v>60</v>
      </c>
      <c r="L62" s="14" t="s">
        <v>62</v>
      </c>
      <c r="M62" s="16" t="s">
        <v>31</v>
      </c>
      <c r="N62" s="8">
        <v>5.6557999999999993</v>
      </c>
    </row>
    <row r="63" spans="1:14" x14ac:dyDescent="0.3">
      <c r="A63" s="17" t="s">
        <v>167</v>
      </c>
      <c r="B63" s="18" t="s">
        <v>14</v>
      </c>
      <c r="C63" s="19">
        <v>45586</v>
      </c>
      <c r="D63" s="18" t="s">
        <v>74</v>
      </c>
      <c r="E63" s="18" t="s">
        <v>145</v>
      </c>
      <c r="F63" s="9">
        <v>2825</v>
      </c>
      <c r="G63" s="9">
        <v>535</v>
      </c>
      <c r="H63" s="9">
        <v>295</v>
      </c>
      <c r="I63" s="9">
        <v>45200</v>
      </c>
      <c r="J63" s="9">
        <v>44739</v>
      </c>
      <c r="K63" s="9">
        <v>169</v>
      </c>
      <c r="L63" s="18" t="s">
        <v>30</v>
      </c>
      <c r="M63" s="20" t="s">
        <v>19</v>
      </c>
      <c r="N63" s="9">
        <v>5.6557999999999993</v>
      </c>
    </row>
    <row r="64" spans="1:14" x14ac:dyDescent="0.3">
      <c r="A64" s="13" t="s">
        <v>169</v>
      </c>
      <c r="B64" s="14" t="s">
        <v>33</v>
      </c>
      <c r="C64" s="15">
        <v>45762</v>
      </c>
      <c r="D64" s="14" t="s">
        <v>16</v>
      </c>
      <c r="E64" s="14" t="s">
        <v>82</v>
      </c>
      <c r="F64" s="8">
        <v>103</v>
      </c>
      <c r="G64" s="8">
        <v>770</v>
      </c>
      <c r="H64" s="8">
        <v>19</v>
      </c>
      <c r="I64" s="8">
        <v>1030</v>
      </c>
      <c r="J64" s="8">
        <v>410</v>
      </c>
      <c r="K64" s="8">
        <v>262</v>
      </c>
      <c r="L64" s="14" t="s">
        <v>30</v>
      </c>
      <c r="M64" s="16" t="s">
        <v>38</v>
      </c>
      <c r="N64" s="8">
        <v>5.6557999999999993</v>
      </c>
    </row>
    <row r="65" spans="1:14" x14ac:dyDescent="0.3">
      <c r="A65" s="17" t="s">
        <v>171</v>
      </c>
      <c r="B65" s="18" t="s">
        <v>33</v>
      </c>
      <c r="C65" s="19">
        <v>45465</v>
      </c>
      <c r="D65" s="18" t="s">
        <v>22</v>
      </c>
      <c r="E65" s="18" t="s">
        <v>113</v>
      </c>
      <c r="F65" s="9">
        <v>2180</v>
      </c>
      <c r="G65" s="9">
        <v>263</v>
      </c>
      <c r="H65" s="9">
        <v>387</v>
      </c>
      <c r="I65" s="9">
        <v>30520</v>
      </c>
      <c r="J65" s="9">
        <v>30059</v>
      </c>
      <c r="K65" s="9">
        <v>174</v>
      </c>
      <c r="L65" s="18" t="s">
        <v>37</v>
      </c>
      <c r="M65" s="20"/>
      <c r="N65" s="9">
        <v>5.6486000000000001</v>
      </c>
    </row>
    <row r="66" spans="1:14" x14ac:dyDescent="0.3">
      <c r="A66" s="13" t="s">
        <v>173</v>
      </c>
      <c r="B66" s="14" t="s">
        <v>33</v>
      </c>
      <c r="C66" s="15">
        <v>45685</v>
      </c>
      <c r="D66" s="14" t="s">
        <v>74</v>
      </c>
      <c r="E66" s="14" t="s">
        <v>85</v>
      </c>
      <c r="F66" s="8">
        <v>904</v>
      </c>
      <c r="G66" s="8">
        <v>973</v>
      </c>
      <c r="H66" s="8">
        <v>63</v>
      </c>
      <c r="I66" s="8">
        <v>11752</v>
      </c>
      <c r="J66" s="8">
        <v>11580</v>
      </c>
      <c r="K66" s="8">
        <v>84</v>
      </c>
      <c r="L66" s="14" t="s">
        <v>37</v>
      </c>
      <c r="M66" s="16" t="s">
        <v>31</v>
      </c>
      <c r="N66" s="8">
        <v>5.7155999999999993</v>
      </c>
    </row>
    <row r="67" spans="1:14" x14ac:dyDescent="0.3">
      <c r="A67" s="17" t="s">
        <v>173</v>
      </c>
      <c r="B67" s="18" t="s">
        <v>33</v>
      </c>
      <c r="C67" s="19">
        <v>45685</v>
      </c>
      <c r="D67" s="18" t="s">
        <v>74</v>
      </c>
      <c r="E67" s="18" t="s">
        <v>85</v>
      </c>
      <c r="F67" s="9">
        <v>904</v>
      </c>
      <c r="G67" s="9">
        <v>973</v>
      </c>
      <c r="H67" s="9">
        <v>63</v>
      </c>
      <c r="I67" s="9">
        <v>11752</v>
      </c>
      <c r="J67" s="9">
        <v>11580</v>
      </c>
      <c r="K67" s="9">
        <v>84</v>
      </c>
      <c r="L67" s="18" t="s">
        <v>30</v>
      </c>
      <c r="M67" s="20" t="s">
        <v>31</v>
      </c>
      <c r="N67" s="9">
        <v>5.6557999999999993</v>
      </c>
    </row>
    <row r="68" spans="1:14" x14ac:dyDescent="0.3">
      <c r="A68" s="13" t="s">
        <v>173</v>
      </c>
      <c r="B68" s="14" t="s">
        <v>33</v>
      </c>
      <c r="C68" s="15">
        <v>45685</v>
      </c>
      <c r="D68" s="14" t="s">
        <v>74</v>
      </c>
      <c r="E68" s="14" t="s">
        <v>85</v>
      </c>
      <c r="F68" s="8">
        <v>904</v>
      </c>
      <c r="G68" s="8">
        <v>973</v>
      </c>
      <c r="H68" s="8">
        <v>63</v>
      </c>
      <c r="I68" s="8">
        <v>11752</v>
      </c>
      <c r="J68" s="8">
        <v>11580</v>
      </c>
      <c r="K68" s="8">
        <v>84</v>
      </c>
      <c r="L68" s="14" t="s">
        <v>613</v>
      </c>
      <c r="M68" s="16" t="s">
        <v>31</v>
      </c>
      <c r="N68" s="8">
        <v>5.6486000000000001</v>
      </c>
    </row>
    <row r="69" spans="1:14" x14ac:dyDescent="0.3">
      <c r="A69" s="17" t="s">
        <v>176</v>
      </c>
      <c r="B69" s="18" t="s">
        <v>14</v>
      </c>
      <c r="C69" s="19">
        <v>45540</v>
      </c>
      <c r="D69" s="18" t="s">
        <v>74</v>
      </c>
      <c r="E69" s="18" t="s">
        <v>145</v>
      </c>
      <c r="F69" s="9">
        <v>4886</v>
      </c>
      <c r="G69" s="9">
        <v>983</v>
      </c>
      <c r="H69" s="9">
        <v>409</v>
      </c>
      <c r="I69" s="9">
        <v>43974</v>
      </c>
      <c r="J69" s="9">
        <v>43239</v>
      </c>
      <c r="K69" s="9">
        <v>65</v>
      </c>
      <c r="L69" s="18" t="s">
        <v>30</v>
      </c>
      <c r="M69" s="20" t="s">
        <v>19</v>
      </c>
      <c r="N69" s="9">
        <v>5.7155999999999993</v>
      </c>
    </row>
    <row r="70" spans="1:14" x14ac:dyDescent="0.3">
      <c r="A70" s="13" t="s">
        <v>178</v>
      </c>
      <c r="B70" s="14" t="s">
        <v>14</v>
      </c>
      <c r="C70" s="15">
        <v>45618</v>
      </c>
      <c r="D70" s="14" t="s">
        <v>45</v>
      </c>
      <c r="E70" s="14" t="s">
        <v>49</v>
      </c>
      <c r="F70" s="8">
        <v>53</v>
      </c>
      <c r="G70" s="8">
        <v>81</v>
      </c>
      <c r="H70" s="8">
        <v>379</v>
      </c>
      <c r="I70" s="8">
        <v>954</v>
      </c>
      <c r="J70" s="8">
        <v>7</v>
      </c>
      <c r="K70" s="8">
        <v>148</v>
      </c>
      <c r="L70" s="14" t="s">
        <v>30</v>
      </c>
      <c r="M70" s="16" t="s">
        <v>31</v>
      </c>
      <c r="N70" s="8">
        <v>5.6557999999999993</v>
      </c>
    </row>
    <row r="71" spans="1:14" x14ac:dyDescent="0.3">
      <c r="A71" s="17" t="s">
        <v>180</v>
      </c>
      <c r="B71" s="18" t="s">
        <v>14</v>
      </c>
      <c r="C71" s="19">
        <v>45504</v>
      </c>
      <c r="D71" s="18" t="s">
        <v>45</v>
      </c>
      <c r="E71" s="18" t="s">
        <v>49</v>
      </c>
      <c r="F71" s="9">
        <v>4507</v>
      </c>
      <c r="G71" s="9">
        <v>217</v>
      </c>
      <c r="H71" s="9">
        <v>13</v>
      </c>
      <c r="I71" s="9">
        <v>90140</v>
      </c>
      <c r="J71" s="9">
        <v>89591</v>
      </c>
      <c r="K71" s="9">
        <v>125</v>
      </c>
      <c r="L71" s="18" t="s">
        <v>62</v>
      </c>
      <c r="M71" s="20" t="s">
        <v>31</v>
      </c>
      <c r="N71" s="9">
        <v>5.6486000000000001</v>
      </c>
    </row>
    <row r="72" spans="1:14" x14ac:dyDescent="0.3">
      <c r="A72" s="13" t="s">
        <v>181</v>
      </c>
      <c r="B72" s="14" t="s">
        <v>43</v>
      </c>
      <c r="C72" s="15">
        <v>45521</v>
      </c>
      <c r="D72" s="14" t="s">
        <v>52</v>
      </c>
      <c r="E72" s="14" t="s">
        <v>59</v>
      </c>
      <c r="F72" s="8">
        <v>2878</v>
      </c>
      <c r="G72" s="8">
        <v>248</v>
      </c>
      <c r="H72" s="8">
        <v>416</v>
      </c>
      <c r="I72" s="8">
        <v>43170</v>
      </c>
      <c r="J72" s="8">
        <v>42667</v>
      </c>
      <c r="K72" s="8">
        <v>75</v>
      </c>
      <c r="L72" s="14" t="s">
        <v>62</v>
      </c>
      <c r="M72" s="16" t="s">
        <v>31</v>
      </c>
      <c r="N72" s="8">
        <v>5.5587999999999997</v>
      </c>
    </row>
    <row r="73" spans="1:14" x14ac:dyDescent="0.3">
      <c r="A73" s="17" t="s">
        <v>183</v>
      </c>
      <c r="B73" s="18" t="s">
        <v>33</v>
      </c>
      <c r="C73" s="19">
        <v>45744</v>
      </c>
      <c r="D73" s="18" t="s">
        <v>35</v>
      </c>
      <c r="E73" s="18" t="s">
        <v>36</v>
      </c>
      <c r="F73" s="9">
        <v>1881</v>
      </c>
      <c r="G73" s="9">
        <v>501</v>
      </c>
      <c r="H73" s="9">
        <v>99</v>
      </c>
      <c r="I73" s="9">
        <v>20691</v>
      </c>
      <c r="J73" s="9">
        <v>19987</v>
      </c>
      <c r="K73" s="9">
        <v>289</v>
      </c>
      <c r="L73" s="18" t="s">
        <v>37</v>
      </c>
      <c r="M73" s="20"/>
      <c r="N73" s="9">
        <v>5.5587999999999997</v>
      </c>
    </row>
    <row r="74" spans="1:14" x14ac:dyDescent="0.3">
      <c r="A74" s="13" t="s">
        <v>185</v>
      </c>
      <c r="B74" s="14" t="s">
        <v>14</v>
      </c>
      <c r="C74" s="15">
        <v>45499</v>
      </c>
      <c r="D74" s="14" t="s">
        <v>45</v>
      </c>
      <c r="E74" s="14" t="s">
        <v>49</v>
      </c>
      <c r="F74" s="8">
        <v>432</v>
      </c>
      <c r="G74" s="8">
        <v>171</v>
      </c>
      <c r="H74" s="8">
        <v>280</v>
      </c>
      <c r="I74" s="8">
        <v>3024</v>
      </c>
      <c r="J74" s="8">
        <v>2285</v>
      </c>
      <c r="K74" s="8">
        <v>184</v>
      </c>
      <c r="L74" s="14" t="s">
        <v>37</v>
      </c>
      <c r="M74" s="16" t="s">
        <v>19</v>
      </c>
      <c r="N74" s="8">
        <v>5.6486000000000001</v>
      </c>
    </row>
    <row r="75" spans="1:14" x14ac:dyDescent="0.3">
      <c r="A75" s="17" t="s">
        <v>187</v>
      </c>
      <c r="B75" s="18" t="s">
        <v>43</v>
      </c>
      <c r="C75" s="19">
        <v>45745</v>
      </c>
      <c r="D75" s="18" t="s">
        <v>45</v>
      </c>
      <c r="E75" s="18" t="s">
        <v>46</v>
      </c>
      <c r="F75" s="9">
        <v>4712</v>
      </c>
      <c r="G75" s="9">
        <v>568</v>
      </c>
      <c r="H75" s="9">
        <v>127</v>
      </c>
      <c r="I75" s="9">
        <v>84816</v>
      </c>
      <c r="J75" s="9">
        <v>84691</v>
      </c>
      <c r="K75" s="9">
        <v>100</v>
      </c>
      <c r="L75" s="18" t="s">
        <v>37</v>
      </c>
      <c r="M75" s="20" t="s">
        <v>31</v>
      </c>
      <c r="N75" s="9">
        <v>5.5587999999999997</v>
      </c>
    </row>
    <row r="76" spans="1:14" x14ac:dyDescent="0.3">
      <c r="A76" s="13" t="s">
        <v>189</v>
      </c>
      <c r="B76" s="14" t="s">
        <v>33</v>
      </c>
      <c r="C76" s="15">
        <v>45634</v>
      </c>
      <c r="D76" s="14" t="s">
        <v>35</v>
      </c>
      <c r="E76" s="14" t="s">
        <v>36</v>
      </c>
      <c r="F76" s="8">
        <v>2610</v>
      </c>
      <c r="G76" s="8">
        <v>126</v>
      </c>
      <c r="H76" s="8">
        <v>288</v>
      </c>
      <c r="I76" s="8">
        <v>15660</v>
      </c>
      <c r="J76" s="8">
        <v>15145</v>
      </c>
      <c r="K76" s="8">
        <v>73</v>
      </c>
      <c r="L76" s="14" t="s">
        <v>37</v>
      </c>
      <c r="M76" s="16"/>
      <c r="N76" s="8">
        <v>5.7155999999999993</v>
      </c>
    </row>
    <row r="77" spans="1:14" x14ac:dyDescent="0.3">
      <c r="A77" s="17" t="s">
        <v>191</v>
      </c>
      <c r="B77" s="18" t="s">
        <v>14</v>
      </c>
      <c r="C77" s="19">
        <v>45724</v>
      </c>
      <c r="D77" s="18" t="s">
        <v>22</v>
      </c>
      <c r="E77" s="18" t="s">
        <v>23</v>
      </c>
      <c r="F77" s="9">
        <v>1292</v>
      </c>
      <c r="G77" s="9">
        <v>626</v>
      </c>
      <c r="H77" s="9">
        <v>496</v>
      </c>
      <c r="I77" s="9">
        <v>25840</v>
      </c>
      <c r="J77" s="9">
        <v>24916</v>
      </c>
      <c r="K77" s="9">
        <v>149</v>
      </c>
      <c r="L77" s="18" t="s">
        <v>62</v>
      </c>
      <c r="M77" s="20" t="s">
        <v>31</v>
      </c>
      <c r="N77" s="9">
        <v>5.6557999999999993</v>
      </c>
    </row>
    <row r="78" spans="1:14" x14ac:dyDescent="0.3">
      <c r="A78" s="13" t="s">
        <v>192</v>
      </c>
      <c r="B78" s="14" t="s">
        <v>43</v>
      </c>
      <c r="C78" s="15">
        <v>45749</v>
      </c>
      <c r="D78" s="14" t="s">
        <v>74</v>
      </c>
      <c r="E78" s="14" t="s">
        <v>75</v>
      </c>
      <c r="F78" s="8">
        <v>199</v>
      </c>
      <c r="G78" s="8">
        <v>772</v>
      </c>
      <c r="H78" s="8">
        <v>400</v>
      </c>
      <c r="I78" s="8">
        <v>3582</v>
      </c>
      <c r="J78" s="8">
        <v>2988</v>
      </c>
      <c r="K78" s="8">
        <v>43</v>
      </c>
      <c r="L78" s="14" t="s">
        <v>30</v>
      </c>
      <c r="M78" s="16"/>
      <c r="N78" s="8">
        <v>5.6486000000000001</v>
      </c>
    </row>
    <row r="79" spans="1:14" x14ac:dyDescent="0.3">
      <c r="A79" s="17" t="s">
        <v>194</v>
      </c>
      <c r="B79" s="18" t="s">
        <v>27</v>
      </c>
      <c r="C79" s="19">
        <v>45537</v>
      </c>
      <c r="D79" s="18" t="s">
        <v>45</v>
      </c>
      <c r="E79" s="18" t="s">
        <v>68</v>
      </c>
      <c r="F79" s="9">
        <v>2551</v>
      </c>
      <c r="G79" s="9">
        <v>915</v>
      </c>
      <c r="H79" s="9">
        <v>205</v>
      </c>
      <c r="I79" s="9">
        <v>30612</v>
      </c>
      <c r="J79" s="9">
        <v>30360</v>
      </c>
      <c r="K79" s="9">
        <v>227</v>
      </c>
      <c r="L79" s="18" t="s">
        <v>30</v>
      </c>
      <c r="M79" s="20" t="s">
        <v>25</v>
      </c>
      <c r="N79" s="9">
        <v>5.6557999999999993</v>
      </c>
    </row>
    <row r="80" spans="1:14" x14ac:dyDescent="0.3">
      <c r="A80" s="13" t="s">
        <v>196</v>
      </c>
      <c r="B80" s="14" t="s">
        <v>27</v>
      </c>
      <c r="C80" s="15">
        <v>45719</v>
      </c>
      <c r="D80" s="14" t="s">
        <v>16</v>
      </c>
      <c r="E80" s="14" t="s">
        <v>29</v>
      </c>
      <c r="F80" s="8">
        <v>296</v>
      </c>
      <c r="G80" s="8">
        <v>60</v>
      </c>
      <c r="H80" s="8">
        <v>141</v>
      </c>
      <c r="I80" s="8">
        <v>5624</v>
      </c>
      <c r="J80" s="8">
        <v>5239</v>
      </c>
      <c r="K80" s="8">
        <v>88</v>
      </c>
      <c r="L80" s="14" t="s">
        <v>37</v>
      </c>
      <c r="M80" s="16" t="s">
        <v>25</v>
      </c>
      <c r="N80" s="8">
        <v>5.7155999999999993</v>
      </c>
    </row>
    <row r="81" spans="1:14" x14ac:dyDescent="0.3">
      <c r="A81" s="17" t="s">
        <v>198</v>
      </c>
      <c r="B81" s="18" t="s">
        <v>43</v>
      </c>
      <c r="C81" s="19">
        <v>45583</v>
      </c>
      <c r="D81" s="18" t="s">
        <v>35</v>
      </c>
      <c r="E81" s="18" t="s">
        <v>71</v>
      </c>
      <c r="F81" s="9">
        <v>4126</v>
      </c>
      <c r="G81" s="9">
        <v>426</v>
      </c>
      <c r="H81" s="9">
        <v>486</v>
      </c>
      <c r="I81" s="9">
        <v>78394</v>
      </c>
      <c r="J81" s="9">
        <v>77798</v>
      </c>
      <c r="K81" s="9">
        <v>88</v>
      </c>
      <c r="L81" s="18" t="s">
        <v>62</v>
      </c>
      <c r="M81" s="20" t="s">
        <v>38</v>
      </c>
      <c r="N81" s="9">
        <v>5.7155999999999993</v>
      </c>
    </row>
    <row r="82" spans="1:14" x14ac:dyDescent="0.3">
      <c r="A82" s="13" t="s">
        <v>200</v>
      </c>
      <c r="B82" s="14" t="s">
        <v>27</v>
      </c>
      <c r="C82" s="15">
        <v>45593</v>
      </c>
      <c r="D82" s="14" t="s">
        <v>16</v>
      </c>
      <c r="E82" s="14" t="s">
        <v>29</v>
      </c>
      <c r="F82" s="8">
        <v>1855</v>
      </c>
      <c r="G82" s="8">
        <v>200</v>
      </c>
      <c r="H82" s="8">
        <v>174</v>
      </c>
      <c r="I82" s="8">
        <v>16695</v>
      </c>
      <c r="J82" s="8">
        <v>16330</v>
      </c>
      <c r="K82" s="8">
        <v>123</v>
      </c>
      <c r="L82" s="14" t="s">
        <v>30</v>
      </c>
      <c r="M82" s="16" t="s">
        <v>31</v>
      </c>
      <c r="N82" s="8">
        <v>5.7155999999999993</v>
      </c>
    </row>
    <row r="83" spans="1:14" x14ac:dyDescent="0.3">
      <c r="A83" s="17" t="s">
        <v>202</v>
      </c>
      <c r="B83" s="18" t="s">
        <v>33</v>
      </c>
      <c r="C83" s="19">
        <v>45505</v>
      </c>
      <c r="D83" s="18" t="s">
        <v>16</v>
      </c>
      <c r="E83" s="18" t="s">
        <v>82</v>
      </c>
      <c r="F83" s="9">
        <v>1674</v>
      </c>
      <c r="G83" s="9">
        <v>929</v>
      </c>
      <c r="H83" s="9">
        <v>37</v>
      </c>
      <c r="I83" s="9">
        <v>21762</v>
      </c>
      <c r="J83" s="9">
        <v>20998</v>
      </c>
      <c r="K83" s="9">
        <v>255</v>
      </c>
      <c r="L83" s="18" t="s">
        <v>30</v>
      </c>
      <c r="M83" s="20" t="s">
        <v>38</v>
      </c>
      <c r="N83" s="9">
        <v>5.7155999999999993</v>
      </c>
    </row>
    <row r="84" spans="1:14" x14ac:dyDescent="0.3">
      <c r="A84" s="13" t="s">
        <v>204</v>
      </c>
      <c r="B84" s="14" t="s">
        <v>14</v>
      </c>
      <c r="C84" s="15">
        <v>45603</v>
      </c>
      <c r="D84" s="14" t="s">
        <v>35</v>
      </c>
      <c r="E84" s="14" t="s">
        <v>149</v>
      </c>
      <c r="F84" s="8">
        <v>1121</v>
      </c>
      <c r="G84" s="8">
        <v>135</v>
      </c>
      <c r="H84" s="8">
        <v>18</v>
      </c>
      <c r="I84" s="8">
        <v>15694</v>
      </c>
      <c r="J84" s="8">
        <v>14957</v>
      </c>
      <c r="K84" s="8">
        <v>99</v>
      </c>
      <c r="L84" s="14" t="s">
        <v>30</v>
      </c>
      <c r="M84" s="16" t="s">
        <v>38</v>
      </c>
      <c r="N84" s="8">
        <v>5.5587999999999997</v>
      </c>
    </row>
    <row r="85" spans="1:14" x14ac:dyDescent="0.3">
      <c r="A85" s="17" t="s">
        <v>206</v>
      </c>
      <c r="B85" s="18" t="s">
        <v>43</v>
      </c>
      <c r="C85" s="19">
        <v>45720</v>
      </c>
      <c r="D85" s="18" t="s">
        <v>35</v>
      </c>
      <c r="E85" s="18" t="s">
        <v>71</v>
      </c>
      <c r="F85" s="9">
        <v>1249</v>
      </c>
      <c r="G85" s="9">
        <v>116</v>
      </c>
      <c r="H85" s="9">
        <v>420</v>
      </c>
      <c r="I85" s="9">
        <v>8743</v>
      </c>
      <c r="J85" s="9">
        <v>8538</v>
      </c>
      <c r="K85" s="9">
        <v>63</v>
      </c>
      <c r="L85" s="18" t="s">
        <v>30</v>
      </c>
      <c r="M85" s="20"/>
      <c r="N85" s="9">
        <v>5.6486000000000001</v>
      </c>
    </row>
    <row r="86" spans="1:14" x14ac:dyDescent="0.3">
      <c r="A86" s="13" t="s">
        <v>207</v>
      </c>
      <c r="B86" s="14" t="s">
        <v>14</v>
      </c>
      <c r="C86" s="15">
        <v>45460</v>
      </c>
      <c r="D86" s="14" t="s">
        <v>52</v>
      </c>
      <c r="E86" s="14" t="s">
        <v>132</v>
      </c>
      <c r="F86" s="8">
        <v>954</v>
      </c>
      <c r="G86" s="8">
        <v>324</v>
      </c>
      <c r="H86" s="8">
        <v>288</v>
      </c>
      <c r="I86" s="8">
        <v>19080</v>
      </c>
      <c r="J86" s="8">
        <v>18859</v>
      </c>
      <c r="K86" s="8">
        <v>21</v>
      </c>
      <c r="L86" s="14" t="s">
        <v>62</v>
      </c>
      <c r="M86" s="16" t="s">
        <v>38</v>
      </c>
      <c r="N86" s="8">
        <v>5.7155999999999993</v>
      </c>
    </row>
    <row r="87" spans="1:14" x14ac:dyDescent="0.3">
      <c r="A87" s="17" t="s">
        <v>208</v>
      </c>
      <c r="B87" s="18" t="s">
        <v>33</v>
      </c>
      <c r="C87" s="19">
        <v>45574</v>
      </c>
      <c r="D87" s="18" t="s">
        <v>45</v>
      </c>
      <c r="E87" s="18" t="s">
        <v>88</v>
      </c>
      <c r="F87" s="9">
        <v>3068</v>
      </c>
      <c r="G87" s="9">
        <v>137</v>
      </c>
      <c r="H87" s="9">
        <v>329</v>
      </c>
      <c r="I87" s="9">
        <v>39884</v>
      </c>
      <c r="J87" s="9">
        <v>39404</v>
      </c>
      <c r="K87" s="9">
        <v>266</v>
      </c>
      <c r="L87" s="18" t="s">
        <v>37</v>
      </c>
      <c r="M87" s="20" t="s">
        <v>25</v>
      </c>
      <c r="N87" s="9">
        <v>5.5587999999999997</v>
      </c>
    </row>
    <row r="88" spans="1:14" x14ac:dyDescent="0.3">
      <c r="A88" s="13" t="s">
        <v>210</v>
      </c>
      <c r="B88" s="14" t="s">
        <v>33</v>
      </c>
      <c r="C88" s="15">
        <v>45456</v>
      </c>
      <c r="D88" s="14" t="s">
        <v>35</v>
      </c>
      <c r="E88" s="14" t="s">
        <v>36</v>
      </c>
      <c r="F88" s="8">
        <v>2103</v>
      </c>
      <c r="G88" s="8">
        <v>892</v>
      </c>
      <c r="H88" s="8">
        <v>103</v>
      </c>
      <c r="I88" s="8">
        <v>39957</v>
      </c>
      <c r="J88" s="8">
        <v>39466</v>
      </c>
      <c r="K88" s="8">
        <v>28</v>
      </c>
      <c r="L88" s="14" t="s">
        <v>62</v>
      </c>
      <c r="M88" s="16"/>
      <c r="N88" s="8">
        <v>5.6557999999999993</v>
      </c>
    </row>
    <row r="89" spans="1:14" x14ac:dyDescent="0.3">
      <c r="A89" s="17" t="s">
        <v>211</v>
      </c>
      <c r="B89" s="18" t="s">
        <v>33</v>
      </c>
      <c r="C89" s="19">
        <v>45584</v>
      </c>
      <c r="D89" s="18" t="s">
        <v>35</v>
      </c>
      <c r="E89" s="18" t="s">
        <v>36</v>
      </c>
      <c r="F89" s="9">
        <v>1816</v>
      </c>
      <c r="G89" s="9">
        <v>29</v>
      </c>
      <c r="H89" s="9">
        <v>41</v>
      </c>
      <c r="I89" s="9">
        <v>19976</v>
      </c>
      <c r="J89" s="9">
        <v>19262</v>
      </c>
      <c r="K89" s="9">
        <v>283</v>
      </c>
      <c r="L89" s="18" t="s">
        <v>30</v>
      </c>
      <c r="M89" s="20" t="s">
        <v>31</v>
      </c>
      <c r="N89" s="9">
        <v>5.6486000000000001</v>
      </c>
    </row>
    <row r="90" spans="1:14" x14ac:dyDescent="0.3">
      <c r="A90" s="13" t="s">
        <v>213</v>
      </c>
      <c r="B90" s="14" t="s">
        <v>33</v>
      </c>
      <c r="C90" s="15">
        <v>45497</v>
      </c>
      <c r="D90" s="14" t="s">
        <v>52</v>
      </c>
      <c r="E90" s="14" t="s">
        <v>215</v>
      </c>
      <c r="F90" s="8">
        <v>725</v>
      </c>
      <c r="G90" s="8">
        <v>88</v>
      </c>
      <c r="H90" s="8">
        <v>428</v>
      </c>
      <c r="I90" s="8">
        <v>14500</v>
      </c>
      <c r="J90" s="8">
        <v>13637</v>
      </c>
      <c r="K90" s="8">
        <v>200</v>
      </c>
      <c r="L90" s="14" t="s">
        <v>62</v>
      </c>
      <c r="M90" s="16" t="s">
        <v>31</v>
      </c>
      <c r="N90" s="8">
        <v>5.6557999999999993</v>
      </c>
    </row>
    <row r="91" spans="1:14" x14ac:dyDescent="0.3">
      <c r="A91" s="17" t="s">
        <v>213</v>
      </c>
      <c r="B91" s="18" t="s">
        <v>33</v>
      </c>
      <c r="C91" s="19">
        <v>45497</v>
      </c>
      <c r="D91" s="18" t="s">
        <v>52</v>
      </c>
      <c r="E91" s="18" t="s">
        <v>215</v>
      </c>
      <c r="F91" s="9">
        <v>725</v>
      </c>
      <c r="G91" s="9">
        <v>88</v>
      </c>
      <c r="H91" s="9">
        <v>428</v>
      </c>
      <c r="I91" s="9">
        <v>14500</v>
      </c>
      <c r="J91" s="9">
        <v>13637</v>
      </c>
      <c r="K91" s="9">
        <v>200</v>
      </c>
      <c r="L91" s="18" t="s">
        <v>30</v>
      </c>
      <c r="M91" s="20" t="s">
        <v>31</v>
      </c>
      <c r="N91" s="9">
        <v>5.7155999999999993</v>
      </c>
    </row>
    <row r="92" spans="1:14" x14ac:dyDescent="0.3">
      <c r="A92" s="13" t="s">
        <v>213</v>
      </c>
      <c r="B92" s="14" t="s">
        <v>33</v>
      </c>
      <c r="C92" s="15">
        <v>45497</v>
      </c>
      <c r="D92" s="14" t="s">
        <v>52</v>
      </c>
      <c r="E92" s="14" t="s">
        <v>215</v>
      </c>
      <c r="F92" s="8">
        <v>725</v>
      </c>
      <c r="G92" s="8">
        <v>88</v>
      </c>
      <c r="H92" s="8">
        <v>428</v>
      </c>
      <c r="I92" s="8">
        <v>14500</v>
      </c>
      <c r="J92" s="8">
        <v>13637</v>
      </c>
      <c r="K92" s="8">
        <v>200</v>
      </c>
      <c r="L92" s="14" t="s">
        <v>613</v>
      </c>
      <c r="M92" s="16" t="s">
        <v>31</v>
      </c>
      <c r="N92" s="8">
        <v>5.6486000000000001</v>
      </c>
    </row>
    <row r="93" spans="1:14" x14ac:dyDescent="0.3">
      <c r="A93" s="17" t="s">
        <v>217</v>
      </c>
      <c r="B93" s="18" t="s">
        <v>27</v>
      </c>
      <c r="C93" s="19">
        <v>45580</v>
      </c>
      <c r="D93" s="18" t="s">
        <v>74</v>
      </c>
      <c r="E93" s="18" t="s">
        <v>219</v>
      </c>
      <c r="F93" s="9">
        <v>1094</v>
      </c>
      <c r="G93" s="9">
        <v>472</v>
      </c>
      <c r="H93" s="9">
        <v>21</v>
      </c>
      <c r="I93" s="9">
        <v>9846</v>
      </c>
      <c r="J93" s="9">
        <v>9609</v>
      </c>
      <c r="K93" s="9">
        <v>112</v>
      </c>
      <c r="L93" s="18" t="s">
        <v>37</v>
      </c>
      <c r="M93" s="20"/>
      <c r="N93" s="9">
        <v>5.6557999999999993</v>
      </c>
    </row>
    <row r="94" spans="1:14" x14ac:dyDescent="0.3">
      <c r="A94" s="13" t="s">
        <v>220</v>
      </c>
      <c r="B94" s="14" t="s">
        <v>43</v>
      </c>
      <c r="C94" s="15">
        <v>45635</v>
      </c>
      <c r="D94" s="14" t="s">
        <v>52</v>
      </c>
      <c r="E94" s="14" t="s">
        <v>59</v>
      </c>
      <c r="F94" s="8">
        <v>1841</v>
      </c>
      <c r="G94" s="8">
        <v>851</v>
      </c>
      <c r="H94" s="8">
        <v>342</v>
      </c>
      <c r="I94" s="8">
        <v>34979</v>
      </c>
      <c r="J94" s="8">
        <v>34154</v>
      </c>
      <c r="K94" s="8">
        <v>255</v>
      </c>
      <c r="L94" s="14" t="s">
        <v>62</v>
      </c>
      <c r="M94" s="16" t="s">
        <v>38</v>
      </c>
      <c r="N94" s="8">
        <v>5.7155999999999993</v>
      </c>
    </row>
    <row r="95" spans="1:14" x14ac:dyDescent="0.3">
      <c r="A95" s="17" t="s">
        <v>222</v>
      </c>
      <c r="B95" s="18" t="s">
        <v>33</v>
      </c>
      <c r="C95" s="19">
        <v>45766</v>
      </c>
      <c r="D95" s="18" t="s">
        <v>52</v>
      </c>
      <c r="E95" s="18" t="s">
        <v>215</v>
      </c>
      <c r="F95" s="9">
        <v>4177</v>
      </c>
      <c r="G95" s="9">
        <v>569</v>
      </c>
      <c r="H95" s="9">
        <v>55</v>
      </c>
      <c r="I95" s="9">
        <v>25062</v>
      </c>
      <c r="J95" s="9">
        <v>24847</v>
      </c>
      <c r="K95" s="9">
        <v>230</v>
      </c>
      <c r="L95" s="18" t="s">
        <v>62</v>
      </c>
      <c r="M95" s="20" t="s">
        <v>19</v>
      </c>
      <c r="N95" s="9">
        <v>5.7155999999999993</v>
      </c>
    </row>
    <row r="96" spans="1:14" x14ac:dyDescent="0.3">
      <c r="A96" s="13" t="s">
        <v>223</v>
      </c>
      <c r="B96" s="14" t="s">
        <v>27</v>
      </c>
      <c r="C96" s="15">
        <v>45684</v>
      </c>
      <c r="D96" s="14" t="s">
        <v>22</v>
      </c>
      <c r="E96" s="14" t="s">
        <v>104</v>
      </c>
      <c r="F96" s="8">
        <v>3428</v>
      </c>
      <c r="G96" s="8">
        <v>305</v>
      </c>
      <c r="H96" s="8">
        <v>85</v>
      </c>
      <c r="I96" s="8">
        <v>58276</v>
      </c>
      <c r="J96" s="8">
        <v>58052</v>
      </c>
      <c r="K96" s="8">
        <v>242</v>
      </c>
      <c r="L96" s="14" t="s">
        <v>37</v>
      </c>
      <c r="M96" s="16" t="s">
        <v>38</v>
      </c>
      <c r="N96" s="8">
        <v>5.7155999999999993</v>
      </c>
    </row>
    <row r="97" spans="1:14" x14ac:dyDescent="0.3">
      <c r="A97" s="17" t="s">
        <v>223</v>
      </c>
      <c r="B97" s="18" t="s">
        <v>27</v>
      </c>
      <c r="C97" s="19">
        <v>45684</v>
      </c>
      <c r="D97" s="18" t="s">
        <v>22</v>
      </c>
      <c r="E97" s="18" t="s">
        <v>104</v>
      </c>
      <c r="F97" s="9">
        <v>3428</v>
      </c>
      <c r="G97" s="9">
        <v>305</v>
      </c>
      <c r="H97" s="9">
        <v>85</v>
      </c>
      <c r="I97" s="9">
        <v>58276</v>
      </c>
      <c r="J97" s="9">
        <v>58052</v>
      </c>
      <c r="K97" s="9">
        <v>242</v>
      </c>
      <c r="L97" s="18" t="s">
        <v>614</v>
      </c>
      <c r="M97" s="20" t="s">
        <v>38</v>
      </c>
      <c r="N97" s="9">
        <v>5.6557999999999993</v>
      </c>
    </row>
    <row r="98" spans="1:14" x14ac:dyDescent="0.3">
      <c r="A98" s="13" t="s">
        <v>225</v>
      </c>
      <c r="B98" s="14" t="s">
        <v>14</v>
      </c>
      <c r="C98" s="15">
        <v>45449</v>
      </c>
      <c r="D98" s="14" t="s">
        <v>74</v>
      </c>
      <c r="E98" s="14" t="s">
        <v>145</v>
      </c>
      <c r="F98" s="8">
        <v>1436</v>
      </c>
      <c r="G98" s="8">
        <v>765</v>
      </c>
      <c r="H98" s="8">
        <v>496</v>
      </c>
      <c r="I98" s="8">
        <v>12924</v>
      </c>
      <c r="J98" s="8">
        <v>12701</v>
      </c>
      <c r="K98" s="8">
        <v>197</v>
      </c>
      <c r="L98" s="14" t="s">
        <v>62</v>
      </c>
      <c r="M98" s="16" t="s">
        <v>31</v>
      </c>
      <c r="N98" s="8">
        <v>5.7155999999999993</v>
      </c>
    </row>
    <row r="99" spans="1:14" x14ac:dyDescent="0.3">
      <c r="A99" s="17" t="s">
        <v>227</v>
      </c>
      <c r="B99" s="18" t="s">
        <v>43</v>
      </c>
      <c r="C99" s="19">
        <v>45480</v>
      </c>
      <c r="D99" s="18" t="s">
        <v>35</v>
      </c>
      <c r="E99" s="18" t="s">
        <v>71</v>
      </c>
      <c r="F99" s="9">
        <v>302</v>
      </c>
      <c r="G99" s="9">
        <v>47</v>
      </c>
      <c r="H99" s="9">
        <v>430</v>
      </c>
      <c r="I99" s="9">
        <v>5738</v>
      </c>
      <c r="J99" s="9">
        <v>4890</v>
      </c>
      <c r="K99" s="9">
        <v>25</v>
      </c>
      <c r="L99" s="18" t="s">
        <v>30</v>
      </c>
      <c r="M99" s="20" t="s">
        <v>38</v>
      </c>
      <c r="N99" s="9">
        <v>5.6557999999999993</v>
      </c>
    </row>
    <row r="100" spans="1:14" x14ac:dyDescent="0.3">
      <c r="A100" s="13" t="s">
        <v>229</v>
      </c>
      <c r="B100" s="14" t="s">
        <v>14</v>
      </c>
      <c r="C100" s="15">
        <v>45667</v>
      </c>
      <c r="D100" s="14" t="s">
        <v>52</v>
      </c>
      <c r="E100" s="14" t="s">
        <v>132</v>
      </c>
      <c r="F100" s="8">
        <v>2214</v>
      </c>
      <c r="G100" s="8">
        <v>249</v>
      </c>
      <c r="H100" s="8">
        <v>152</v>
      </c>
      <c r="I100" s="8">
        <v>15498</v>
      </c>
      <c r="J100" s="8">
        <v>14800</v>
      </c>
      <c r="K100" s="8">
        <v>180</v>
      </c>
      <c r="L100" s="14" t="s">
        <v>37</v>
      </c>
      <c r="M100" s="16"/>
      <c r="N100" s="8">
        <v>5.5587999999999997</v>
      </c>
    </row>
    <row r="101" spans="1:14" x14ac:dyDescent="0.3">
      <c r="A101" s="17" t="s">
        <v>231</v>
      </c>
      <c r="B101" s="18" t="s">
        <v>33</v>
      </c>
      <c r="C101" s="19">
        <v>45446</v>
      </c>
      <c r="D101" s="18" t="s">
        <v>52</v>
      </c>
      <c r="E101" s="18" t="s">
        <v>215</v>
      </c>
      <c r="F101" s="9">
        <v>3861</v>
      </c>
      <c r="G101" s="9">
        <v>960</v>
      </c>
      <c r="H101" s="9">
        <v>101</v>
      </c>
      <c r="I101" s="9">
        <v>69498</v>
      </c>
      <c r="J101" s="9">
        <v>68817</v>
      </c>
      <c r="K101" s="9">
        <v>297</v>
      </c>
      <c r="L101" s="18" t="s">
        <v>30</v>
      </c>
      <c r="M101" s="20" t="s">
        <v>38</v>
      </c>
      <c r="N101" s="9">
        <v>5.5587999999999997</v>
      </c>
    </row>
    <row r="102" spans="1:14" x14ac:dyDescent="0.3">
      <c r="A102" s="13" t="s">
        <v>233</v>
      </c>
      <c r="B102" s="14" t="s">
        <v>43</v>
      </c>
      <c r="C102" s="15">
        <v>45740</v>
      </c>
      <c r="D102" s="14" t="s">
        <v>52</v>
      </c>
      <c r="E102" s="14" t="s">
        <v>59</v>
      </c>
      <c r="F102" s="8">
        <v>1263</v>
      </c>
      <c r="G102" s="8">
        <v>397</v>
      </c>
      <c r="H102" s="8">
        <v>357</v>
      </c>
      <c r="I102" s="8">
        <v>25260</v>
      </c>
      <c r="J102" s="8">
        <v>24615</v>
      </c>
      <c r="K102" s="8">
        <v>137</v>
      </c>
      <c r="L102" s="14" t="s">
        <v>37</v>
      </c>
      <c r="M102" s="16" t="s">
        <v>38</v>
      </c>
      <c r="N102" s="8">
        <v>5.5587999999999997</v>
      </c>
    </row>
    <row r="103" spans="1:14" x14ac:dyDescent="0.3">
      <c r="A103" s="17" t="s">
        <v>235</v>
      </c>
      <c r="B103" s="18" t="s">
        <v>14</v>
      </c>
      <c r="C103" s="19">
        <v>45586</v>
      </c>
      <c r="D103" s="18" t="s">
        <v>35</v>
      </c>
      <c r="E103" s="18" t="s">
        <v>149</v>
      </c>
      <c r="F103" s="9">
        <v>3801</v>
      </c>
      <c r="G103" s="9">
        <v>967</v>
      </c>
      <c r="H103" s="9">
        <v>401</v>
      </c>
      <c r="I103" s="9">
        <v>38010</v>
      </c>
      <c r="J103" s="9">
        <v>37625</v>
      </c>
      <c r="K103" s="9">
        <v>236</v>
      </c>
      <c r="L103" s="18" t="s">
        <v>62</v>
      </c>
      <c r="M103" s="20" t="s">
        <v>31</v>
      </c>
      <c r="N103" s="9">
        <v>5.6557999999999993</v>
      </c>
    </row>
    <row r="104" spans="1:14" x14ac:dyDescent="0.3">
      <c r="A104" s="13" t="s">
        <v>236</v>
      </c>
      <c r="B104" s="14" t="s">
        <v>33</v>
      </c>
      <c r="C104" s="15">
        <v>45637</v>
      </c>
      <c r="D104" s="14" t="s">
        <v>74</v>
      </c>
      <c r="E104" s="14" t="s">
        <v>85</v>
      </c>
      <c r="F104" s="8">
        <v>1431</v>
      </c>
      <c r="G104" s="8">
        <v>951</v>
      </c>
      <c r="H104" s="8">
        <v>26</v>
      </c>
      <c r="I104" s="8">
        <v>8586</v>
      </c>
      <c r="J104" s="8">
        <v>8396</v>
      </c>
      <c r="K104" s="8">
        <v>150</v>
      </c>
      <c r="L104" s="14" t="s">
        <v>37</v>
      </c>
      <c r="M104" s="16" t="s">
        <v>31</v>
      </c>
      <c r="N104" s="8">
        <v>5.6486000000000001</v>
      </c>
    </row>
    <row r="105" spans="1:14" x14ac:dyDescent="0.3">
      <c r="A105" s="17" t="s">
        <v>238</v>
      </c>
      <c r="B105" s="18" t="s">
        <v>33</v>
      </c>
      <c r="C105" s="19">
        <v>45603</v>
      </c>
      <c r="D105" s="18" t="s">
        <v>52</v>
      </c>
      <c r="E105" s="18" t="s">
        <v>215</v>
      </c>
      <c r="F105" s="9">
        <v>2647</v>
      </c>
      <c r="G105" s="9">
        <v>304</v>
      </c>
      <c r="H105" s="9">
        <v>170</v>
      </c>
      <c r="I105" s="9">
        <v>18529</v>
      </c>
      <c r="J105" s="9">
        <v>17841</v>
      </c>
      <c r="K105" s="9">
        <v>46</v>
      </c>
      <c r="L105" s="18" t="s">
        <v>62</v>
      </c>
      <c r="M105" s="20" t="s">
        <v>31</v>
      </c>
      <c r="N105" s="9">
        <v>5.5587999999999997</v>
      </c>
    </row>
    <row r="106" spans="1:14" x14ac:dyDescent="0.3">
      <c r="A106" s="13" t="s">
        <v>239</v>
      </c>
      <c r="B106" s="14" t="s">
        <v>33</v>
      </c>
      <c r="C106" s="15">
        <v>45604</v>
      </c>
      <c r="D106" s="14" t="s">
        <v>22</v>
      </c>
      <c r="E106" s="14" t="s">
        <v>113</v>
      </c>
      <c r="F106" s="8">
        <v>3182</v>
      </c>
      <c r="G106" s="8">
        <v>559</v>
      </c>
      <c r="H106" s="8">
        <v>160</v>
      </c>
      <c r="I106" s="8">
        <v>57276</v>
      </c>
      <c r="J106" s="8">
        <v>56890</v>
      </c>
      <c r="K106" s="8">
        <v>163</v>
      </c>
      <c r="L106" s="14" t="s">
        <v>62</v>
      </c>
      <c r="M106" s="16" t="s">
        <v>38</v>
      </c>
      <c r="N106" s="8">
        <v>5.7155999999999993</v>
      </c>
    </row>
    <row r="107" spans="1:14" x14ac:dyDescent="0.3">
      <c r="A107" s="17" t="s">
        <v>241</v>
      </c>
      <c r="B107" s="18" t="s">
        <v>14</v>
      </c>
      <c r="C107" s="19">
        <v>45545</v>
      </c>
      <c r="D107" s="18" t="s">
        <v>52</v>
      </c>
      <c r="E107" s="18" t="s">
        <v>132</v>
      </c>
      <c r="F107" s="9">
        <v>1238</v>
      </c>
      <c r="G107" s="9">
        <v>366</v>
      </c>
      <c r="H107" s="9">
        <v>444</v>
      </c>
      <c r="I107" s="9">
        <v>19808</v>
      </c>
      <c r="J107" s="9">
        <v>19334</v>
      </c>
      <c r="K107" s="9">
        <v>123</v>
      </c>
      <c r="L107" s="18" t="s">
        <v>62</v>
      </c>
      <c r="M107" s="20"/>
      <c r="N107" s="9">
        <v>5.7155999999999993</v>
      </c>
    </row>
    <row r="108" spans="1:14" x14ac:dyDescent="0.3">
      <c r="A108" s="13" t="s">
        <v>243</v>
      </c>
      <c r="B108" s="14" t="s">
        <v>33</v>
      </c>
      <c r="C108" s="15">
        <v>45517</v>
      </c>
      <c r="D108" s="14" t="s">
        <v>52</v>
      </c>
      <c r="E108" s="14" t="s">
        <v>215</v>
      </c>
      <c r="F108" s="8">
        <v>4739</v>
      </c>
      <c r="G108" s="8">
        <v>527</v>
      </c>
      <c r="H108" s="8">
        <v>135</v>
      </c>
      <c r="I108" s="8">
        <v>61607</v>
      </c>
      <c r="J108" s="8">
        <v>61333</v>
      </c>
      <c r="K108" s="8">
        <v>36</v>
      </c>
      <c r="L108" s="14" t="s">
        <v>30</v>
      </c>
      <c r="M108" s="16" t="s">
        <v>25</v>
      </c>
      <c r="N108" s="8">
        <v>5.5587999999999997</v>
      </c>
    </row>
    <row r="109" spans="1:14" x14ac:dyDescent="0.3">
      <c r="A109" s="17" t="s">
        <v>243</v>
      </c>
      <c r="B109" s="18" t="s">
        <v>33</v>
      </c>
      <c r="C109" s="19">
        <v>45517</v>
      </c>
      <c r="D109" s="18" t="s">
        <v>52</v>
      </c>
      <c r="E109" s="18" t="s">
        <v>215</v>
      </c>
      <c r="F109" s="9">
        <v>4739</v>
      </c>
      <c r="G109" s="9">
        <v>527</v>
      </c>
      <c r="H109" s="9">
        <v>135</v>
      </c>
      <c r="I109" s="9">
        <v>61607</v>
      </c>
      <c r="J109" s="9">
        <v>61333</v>
      </c>
      <c r="K109" s="9">
        <v>36</v>
      </c>
      <c r="L109" s="18" t="s">
        <v>613</v>
      </c>
      <c r="M109" s="20" t="s">
        <v>25</v>
      </c>
      <c r="N109" s="9">
        <v>5.6557999999999993</v>
      </c>
    </row>
    <row r="110" spans="1:14" x14ac:dyDescent="0.3">
      <c r="A110" s="13" t="s">
        <v>245</v>
      </c>
      <c r="B110" s="14" t="s">
        <v>14</v>
      </c>
      <c r="C110" s="15">
        <v>45453</v>
      </c>
      <c r="D110" s="14" t="s">
        <v>35</v>
      </c>
      <c r="E110" s="14" t="s">
        <v>149</v>
      </c>
      <c r="F110" s="8">
        <v>1575</v>
      </c>
      <c r="G110" s="8">
        <v>771</v>
      </c>
      <c r="H110" s="8">
        <v>486</v>
      </c>
      <c r="I110" s="8">
        <v>25200</v>
      </c>
      <c r="J110" s="8">
        <v>24826</v>
      </c>
      <c r="K110" s="8">
        <v>17</v>
      </c>
      <c r="L110" s="14" t="s">
        <v>62</v>
      </c>
      <c r="M110" s="16" t="s">
        <v>38</v>
      </c>
      <c r="N110" s="8">
        <v>5.6557999999999993</v>
      </c>
    </row>
    <row r="111" spans="1:14" x14ac:dyDescent="0.3">
      <c r="A111" s="17" t="s">
        <v>246</v>
      </c>
      <c r="B111" s="18" t="s">
        <v>27</v>
      </c>
      <c r="C111" s="19">
        <v>45475</v>
      </c>
      <c r="D111" s="18" t="s">
        <v>45</v>
      </c>
      <c r="E111" s="18" t="s">
        <v>68</v>
      </c>
      <c r="F111" s="9">
        <v>4171</v>
      </c>
      <c r="G111" s="9">
        <v>548</v>
      </c>
      <c r="H111" s="9">
        <v>86</v>
      </c>
      <c r="I111" s="9">
        <v>66736</v>
      </c>
      <c r="J111" s="9">
        <v>66634</v>
      </c>
      <c r="K111" s="9">
        <v>173</v>
      </c>
      <c r="L111" s="18" t="s">
        <v>62</v>
      </c>
      <c r="M111" s="20" t="s">
        <v>31</v>
      </c>
      <c r="N111" s="9">
        <v>5.7155999999999993</v>
      </c>
    </row>
    <row r="112" spans="1:14" x14ac:dyDescent="0.3">
      <c r="A112" s="13" t="s">
        <v>248</v>
      </c>
      <c r="B112" s="14" t="s">
        <v>27</v>
      </c>
      <c r="C112" s="15">
        <v>45698</v>
      </c>
      <c r="D112" s="14" t="s">
        <v>74</v>
      </c>
      <c r="E112" s="14" t="s">
        <v>219</v>
      </c>
      <c r="F112" s="8">
        <v>1766</v>
      </c>
      <c r="G112" s="8">
        <v>92</v>
      </c>
      <c r="H112" s="8">
        <v>424</v>
      </c>
      <c r="I112" s="8">
        <v>24724</v>
      </c>
      <c r="J112" s="8">
        <v>24333</v>
      </c>
      <c r="K112" s="8">
        <v>52</v>
      </c>
      <c r="L112" s="14" t="s">
        <v>37</v>
      </c>
      <c r="M112" s="16"/>
      <c r="N112" s="8">
        <v>5.5587999999999997</v>
      </c>
    </row>
    <row r="113" spans="1:14" x14ac:dyDescent="0.3">
      <c r="A113" s="17" t="s">
        <v>250</v>
      </c>
      <c r="B113" s="18" t="s">
        <v>27</v>
      </c>
      <c r="C113" s="19">
        <v>45583</v>
      </c>
      <c r="D113" s="18" t="s">
        <v>74</v>
      </c>
      <c r="E113" s="18" t="s">
        <v>219</v>
      </c>
      <c r="F113" s="9">
        <v>4450</v>
      </c>
      <c r="G113" s="9">
        <v>983</v>
      </c>
      <c r="H113" s="9">
        <v>143</v>
      </c>
      <c r="I113" s="9">
        <v>75650</v>
      </c>
      <c r="J113" s="9">
        <v>75008</v>
      </c>
      <c r="K113" s="9">
        <v>12</v>
      </c>
      <c r="L113" s="18" t="s">
        <v>62</v>
      </c>
      <c r="M113" s="20" t="s">
        <v>31</v>
      </c>
      <c r="N113" s="9">
        <v>5.6557999999999993</v>
      </c>
    </row>
    <row r="114" spans="1:14" x14ac:dyDescent="0.3">
      <c r="A114" s="13" t="s">
        <v>251</v>
      </c>
      <c r="B114" s="14" t="s">
        <v>14</v>
      </c>
      <c r="C114" s="15">
        <v>45553</v>
      </c>
      <c r="D114" s="14" t="s">
        <v>16</v>
      </c>
      <c r="E114" s="14" t="s">
        <v>17</v>
      </c>
      <c r="F114" s="8">
        <v>1000</v>
      </c>
      <c r="G114" s="8">
        <v>978</v>
      </c>
      <c r="H114" s="8">
        <v>162</v>
      </c>
      <c r="I114" s="8">
        <v>6000</v>
      </c>
      <c r="J114" s="8">
        <v>5221</v>
      </c>
      <c r="K114" s="8">
        <v>223</v>
      </c>
      <c r="L114" s="14" t="s">
        <v>37</v>
      </c>
      <c r="M114" s="16" t="s">
        <v>25</v>
      </c>
      <c r="N114" s="8">
        <v>5.6557999999999993</v>
      </c>
    </row>
    <row r="115" spans="1:14" x14ac:dyDescent="0.3">
      <c r="A115" s="17" t="s">
        <v>253</v>
      </c>
      <c r="B115" s="18" t="s">
        <v>43</v>
      </c>
      <c r="C115" s="19">
        <v>45454</v>
      </c>
      <c r="D115" s="18" t="s">
        <v>52</v>
      </c>
      <c r="E115" s="18" t="s">
        <v>59</v>
      </c>
      <c r="F115" s="9">
        <v>3689</v>
      </c>
      <c r="G115" s="9">
        <v>48</v>
      </c>
      <c r="H115" s="9">
        <v>306</v>
      </c>
      <c r="I115" s="9">
        <v>40579</v>
      </c>
      <c r="J115" s="9">
        <v>39588</v>
      </c>
      <c r="K115" s="9">
        <v>212</v>
      </c>
      <c r="L115" s="18" t="s">
        <v>37</v>
      </c>
      <c r="M115" s="20" t="s">
        <v>25</v>
      </c>
      <c r="N115" s="9">
        <v>5.6557999999999993</v>
      </c>
    </row>
    <row r="116" spans="1:14" x14ac:dyDescent="0.3">
      <c r="A116" s="13" t="s">
        <v>255</v>
      </c>
      <c r="B116" s="14" t="s">
        <v>27</v>
      </c>
      <c r="C116" s="15">
        <v>45739</v>
      </c>
      <c r="D116" s="14" t="s">
        <v>35</v>
      </c>
      <c r="E116" s="14" t="s">
        <v>154</v>
      </c>
      <c r="F116" s="8">
        <v>3655</v>
      </c>
      <c r="G116" s="8">
        <v>568</v>
      </c>
      <c r="H116" s="8">
        <v>286</v>
      </c>
      <c r="I116" s="8">
        <v>32895</v>
      </c>
      <c r="J116" s="8">
        <v>32015</v>
      </c>
      <c r="K116" s="8">
        <v>199</v>
      </c>
      <c r="L116" s="14" t="s">
        <v>30</v>
      </c>
      <c r="M116" s="16" t="s">
        <v>31</v>
      </c>
      <c r="N116" s="8">
        <v>5.6557999999999993</v>
      </c>
    </row>
    <row r="117" spans="1:14" x14ac:dyDescent="0.3">
      <c r="A117" s="17" t="s">
        <v>257</v>
      </c>
      <c r="B117" s="18" t="s">
        <v>33</v>
      </c>
      <c r="C117" s="19">
        <v>45457</v>
      </c>
      <c r="D117" s="18" t="s">
        <v>45</v>
      </c>
      <c r="E117" s="18" t="s">
        <v>88</v>
      </c>
      <c r="F117" s="9">
        <v>498</v>
      </c>
      <c r="G117" s="9">
        <v>38</v>
      </c>
      <c r="H117" s="9">
        <v>42</v>
      </c>
      <c r="I117" s="9">
        <v>4482</v>
      </c>
      <c r="J117" s="9">
        <v>3647</v>
      </c>
      <c r="K117" s="9">
        <v>32</v>
      </c>
      <c r="L117" s="18" t="s">
        <v>62</v>
      </c>
      <c r="M117" s="20" t="s">
        <v>19</v>
      </c>
      <c r="N117" s="9">
        <v>5.5587999999999997</v>
      </c>
    </row>
    <row r="118" spans="1:14" x14ac:dyDescent="0.3">
      <c r="A118" s="13" t="s">
        <v>259</v>
      </c>
      <c r="B118" s="14" t="s">
        <v>33</v>
      </c>
      <c r="C118" s="15">
        <v>45692</v>
      </c>
      <c r="D118" s="14" t="s">
        <v>52</v>
      </c>
      <c r="E118" s="14" t="s">
        <v>215</v>
      </c>
      <c r="F118" s="8">
        <v>4619</v>
      </c>
      <c r="G118" s="8">
        <v>821</v>
      </c>
      <c r="H118" s="8">
        <v>499</v>
      </c>
      <c r="I118" s="8">
        <v>69285</v>
      </c>
      <c r="J118" s="8">
        <v>69141</v>
      </c>
      <c r="K118" s="8">
        <v>298</v>
      </c>
      <c r="L118" s="14" t="s">
        <v>30</v>
      </c>
      <c r="M118" s="16" t="s">
        <v>38</v>
      </c>
      <c r="N118" s="8">
        <v>5.6557999999999993</v>
      </c>
    </row>
    <row r="119" spans="1:14" x14ac:dyDescent="0.3">
      <c r="A119" s="17" t="s">
        <v>261</v>
      </c>
      <c r="B119" s="18" t="s">
        <v>27</v>
      </c>
      <c r="C119" s="19">
        <v>45464</v>
      </c>
      <c r="D119" s="18" t="s">
        <v>52</v>
      </c>
      <c r="E119" s="18" t="s">
        <v>53</v>
      </c>
      <c r="F119" s="9">
        <v>4832</v>
      </c>
      <c r="G119" s="9">
        <v>893</v>
      </c>
      <c r="H119" s="9">
        <v>10</v>
      </c>
      <c r="I119" s="9">
        <v>91808</v>
      </c>
      <c r="J119" s="9">
        <v>91296</v>
      </c>
      <c r="K119" s="9">
        <v>182</v>
      </c>
      <c r="L119" s="18" t="s">
        <v>30</v>
      </c>
      <c r="M119" s="20"/>
      <c r="N119" s="9">
        <v>5.6486000000000001</v>
      </c>
    </row>
    <row r="120" spans="1:14" x14ac:dyDescent="0.3">
      <c r="A120" s="13" t="s">
        <v>263</v>
      </c>
      <c r="B120" s="14" t="s">
        <v>14</v>
      </c>
      <c r="C120" s="15">
        <v>45741</v>
      </c>
      <c r="D120" s="14" t="s">
        <v>74</v>
      </c>
      <c r="E120" s="14" t="s">
        <v>145</v>
      </c>
      <c r="F120" s="8">
        <v>4050</v>
      </c>
      <c r="G120" s="8">
        <v>871</v>
      </c>
      <c r="H120" s="8">
        <v>347</v>
      </c>
      <c r="I120" s="8">
        <v>52650</v>
      </c>
      <c r="J120" s="8">
        <v>51755</v>
      </c>
      <c r="K120" s="8">
        <v>209</v>
      </c>
      <c r="L120" s="14" t="s">
        <v>30</v>
      </c>
      <c r="M120" s="16" t="s">
        <v>25</v>
      </c>
      <c r="N120" s="8">
        <v>5.7155999999999993</v>
      </c>
    </row>
    <row r="121" spans="1:14" x14ac:dyDescent="0.3">
      <c r="A121" s="17" t="s">
        <v>265</v>
      </c>
      <c r="B121" s="18" t="s">
        <v>14</v>
      </c>
      <c r="C121" s="19">
        <v>45512</v>
      </c>
      <c r="D121" s="18" t="s">
        <v>35</v>
      </c>
      <c r="E121" s="18" t="s">
        <v>149</v>
      </c>
      <c r="F121" s="9">
        <v>3649</v>
      </c>
      <c r="G121" s="9">
        <v>215</v>
      </c>
      <c r="H121" s="9">
        <v>413</v>
      </c>
      <c r="I121" s="9">
        <v>25543</v>
      </c>
      <c r="J121" s="9">
        <v>24963</v>
      </c>
      <c r="K121" s="9">
        <v>167</v>
      </c>
      <c r="L121" s="18" t="s">
        <v>62</v>
      </c>
      <c r="M121" s="20" t="s">
        <v>31</v>
      </c>
      <c r="N121" s="9">
        <v>5.6486000000000001</v>
      </c>
    </row>
    <row r="122" spans="1:14" x14ac:dyDescent="0.3">
      <c r="A122" s="13" t="s">
        <v>267</v>
      </c>
      <c r="B122" s="14" t="s">
        <v>33</v>
      </c>
      <c r="C122" s="15">
        <v>45502</v>
      </c>
      <c r="D122" s="14" t="s">
        <v>16</v>
      </c>
      <c r="E122" s="14" t="s">
        <v>82</v>
      </c>
      <c r="F122" s="8">
        <v>3523</v>
      </c>
      <c r="G122" s="8">
        <v>753</v>
      </c>
      <c r="H122" s="8">
        <v>482</v>
      </c>
      <c r="I122" s="8">
        <v>38753</v>
      </c>
      <c r="J122" s="8">
        <v>38579</v>
      </c>
      <c r="K122" s="8">
        <v>270</v>
      </c>
      <c r="L122" s="14" t="s">
        <v>37</v>
      </c>
      <c r="M122" s="16" t="s">
        <v>25</v>
      </c>
      <c r="N122" s="8">
        <v>5.7155999999999993</v>
      </c>
    </row>
    <row r="123" spans="1:14" x14ac:dyDescent="0.3">
      <c r="A123" s="17" t="s">
        <v>269</v>
      </c>
      <c r="B123" s="18" t="s">
        <v>27</v>
      </c>
      <c r="C123" s="19">
        <v>45619</v>
      </c>
      <c r="D123" s="18" t="s">
        <v>52</v>
      </c>
      <c r="E123" s="18" t="s">
        <v>53</v>
      </c>
      <c r="F123" s="9">
        <v>2719</v>
      </c>
      <c r="G123" s="9">
        <v>17</v>
      </c>
      <c r="H123" s="9">
        <v>285</v>
      </c>
      <c r="I123" s="9">
        <v>40785</v>
      </c>
      <c r="J123" s="9">
        <v>40281</v>
      </c>
      <c r="K123" s="9">
        <v>40</v>
      </c>
      <c r="L123" s="18" t="s">
        <v>30</v>
      </c>
      <c r="M123" s="20" t="s">
        <v>25</v>
      </c>
      <c r="N123" s="9">
        <v>5.7155999999999993</v>
      </c>
    </row>
    <row r="124" spans="1:14" x14ac:dyDescent="0.3">
      <c r="A124" s="13" t="s">
        <v>271</v>
      </c>
      <c r="B124" s="14" t="s">
        <v>14</v>
      </c>
      <c r="C124" s="15">
        <v>45570</v>
      </c>
      <c r="D124" s="14" t="s">
        <v>35</v>
      </c>
      <c r="E124" s="14" t="s">
        <v>149</v>
      </c>
      <c r="F124" s="8">
        <v>1957</v>
      </c>
      <c r="G124" s="8">
        <v>877</v>
      </c>
      <c r="H124" s="8">
        <v>238</v>
      </c>
      <c r="I124" s="8">
        <v>17613</v>
      </c>
      <c r="J124" s="8">
        <v>16865</v>
      </c>
      <c r="K124" s="8">
        <v>297</v>
      </c>
      <c r="L124" s="14" t="s">
        <v>62</v>
      </c>
      <c r="M124" s="16" t="s">
        <v>31</v>
      </c>
      <c r="N124" s="8">
        <v>5.7155999999999993</v>
      </c>
    </row>
    <row r="125" spans="1:14" x14ac:dyDescent="0.3">
      <c r="A125" s="17" t="s">
        <v>273</v>
      </c>
      <c r="B125" s="18" t="s">
        <v>14</v>
      </c>
      <c r="C125" s="19">
        <v>45567</v>
      </c>
      <c r="D125" s="18" t="s">
        <v>45</v>
      </c>
      <c r="E125" s="18" t="s">
        <v>49</v>
      </c>
      <c r="F125" s="9">
        <v>4419</v>
      </c>
      <c r="G125" s="9">
        <v>236</v>
      </c>
      <c r="H125" s="9">
        <v>369</v>
      </c>
      <c r="I125" s="9">
        <v>44190</v>
      </c>
      <c r="J125" s="9">
        <v>43582</v>
      </c>
      <c r="K125" s="9">
        <v>10</v>
      </c>
      <c r="L125" s="18" t="s">
        <v>37</v>
      </c>
      <c r="M125" s="20" t="s">
        <v>19</v>
      </c>
      <c r="N125" s="9">
        <v>5.5587999999999997</v>
      </c>
    </row>
    <row r="126" spans="1:14" x14ac:dyDescent="0.3">
      <c r="A126" s="13" t="s">
        <v>275</v>
      </c>
      <c r="B126" s="14" t="s">
        <v>14</v>
      </c>
      <c r="C126" s="15">
        <v>45610</v>
      </c>
      <c r="D126" s="14" t="s">
        <v>35</v>
      </c>
      <c r="E126" s="14" t="s">
        <v>149</v>
      </c>
      <c r="F126" s="8">
        <v>4000</v>
      </c>
      <c r="G126" s="8">
        <v>689</v>
      </c>
      <c r="H126" s="8">
        <v>488</v>
      </c>
      <c r="I126" s="8">
        <v>40000</v>
      </c>
      <c r="J126" s="8">
        <v>39569</v>
      </c>
      <c r="K126" s="8">
        <v>44</v>
      </c>
      <c r="L126" s="14" t="s">
        <v>62</v>
      </c>
      <c r="M126" s="16" t="s">
        <v>19</v>
      </c>
      <c r="N126" s="8">
        <v>5.6557999999999993</v>
      </c>
    </row>
    <row r="127" spans="1:14" x14ac:dyDescent="0.3">
      <c r="A127" s="17" t="s">
        <v>277</v>
      </c>
      <c r="B127" s="18" t="s">
        <v>14</v>
      </c>
      <c r="C127" s="19">
        <v>45788</v>
      </c>
      <c r="D127" s="18" t="s">
        <v>52</v>
      </c>
      <c r="E127" s="18" t="s">
        <v>132</v>
      </c>
      <c r="F127" s="9">
        <v>2493</v>
      </c>
      <c r="G127" s="9">
        <v>97</v>
      </c>
      <c r="H127" s="9">
        <v>44</v>
      </c>
      <c r="I127" s="9">
        <v>42381</v>
      </c>
      <c r="J127" s="9">
        <v>41991</v>
      </c>
      <c r="K127" s="9">
        <v>242</v>
      </c>
      <c r="L127" s="18" t="s">
        <v>30</v>
      </c>
      <c r="M127" s="20" t="s">
        <v>38</v>
      </c>
      <c r="N127" s="9">
        <v>5.7155999999999993</v>
      </c>
    </row>
    <row r="128" spans="1:14" x14ac:dyDescent="0.3">
      <c r="A128" s="13" t="s">
        <v>277</v>
      </c>
      <c r="B128" s="14" t="s">
        <v>14</v>
      </c>
      <c r="C128" s="15">
        <v>45788</v>
      </c>
      <c r="D128" s="14" t="s">
        <v>52</v>
      </c>
      <c r="E128" s="14" t="s">
        <v>132</v>
      </c>
      <c r="F128" s="8">
        <v>2493</v>
      </c>
      <c r="G128" s="8">
        <v>97</v>
      </c>
      <c r="H128" s="8">
        <v>44</v>
      </c>
      <c r="I128" s="8">
        <v>42381</v>
      </c>
      <c r="J128" s="8">
        <v>41991</v>
      </c>
      <c r="K128" s="8">
        <v>242</v>
      </c>
      <c r="L128" s="14" t="s">
        <v>613</v>
      </c>
      <c r="M128" s="16" t="s">
        <v>38</v>
      </c>
      <c r="N128" s="8">
        <v>5.6486000000000001</v>
      </c>
    </row>
    <row r="129" spans="1:14" x14ac:dyDescent="0.3">
      <c r="A129" s="17" t="s">
        <v>279</v>
      </c>
      <c r="B129" s="18" t="s">
        <v>27</v>
      </c>
      <c r="C129" s="19">
        <v>45734</v>
      </c>
      <c r="D129" s="18" t="s">
        <v>16</v>
      </c>
      <c r="E129" s="18" t="s">
        <v>29</v>
      </c>
      <c r="F129" s="9">
        <v>3704</v>
      </c>
      <c r="G129" s="9">
        <v>186</v>
      </c>
      <c r="H129" s="9">
        <v>458</v>
      </c>
      <c r="I129" s="9">
        <v>25928</v>
      </c>
      <c r="J129" s="9">
        <v>25081</v>
      </c>
      <c r="K129" s="9">
        <v>131</v>
      </c>
      <c r="L129" s="18" t="s">
        <v>30</v>
      </c>
      <c r="M129" s="20"/>
      <c r="N129" s="9">
        <v>5.6557999999999993</v>
      </c>
    </row>
    <row r="130" spans="1:14" x14ac:dyDescent="0.3">
      <c r="A130" s="13" t="s">
        <v>281</v>
      </c>
      <c r="B130" s="14" t="s">
        <v>14</v>
      </c>
      <c r="C130" s="15">
        <v>45600</v>
      </c>
      <c r="D130" s="14" t="s">
        <v>52</v>
      </c>
      <c r="E130" s="14" t="s">
        <v>132</v>
      </c>
      <c r="F130" s="8">
        <v>1606</v>
      </c>
      <c r="G130" s="8">
        <v>451</v>
      </c>
      <c r="H130" s="8">
        <v>405</v>
      </c>
      <c r="I130" s="8">
        <v>20878</v>
      </c>
      <c r="J130" s="8">
        <v>20190</v>
      </c>
      <c r="K130" s="8">
        <v>219</v>
      </c>
      <c r="L130" s="14" t="s">
        <v>37</v>
      </c>
      <c r="M130" s="16" t="s">
        <v>38</v>
      </c>
      <c r="N130" s="8">
        <v>5.6557999999999993</v>
      </c>
    </row>
    <row r="131" spans="1:14" x14ac:dyDescent="0.3">
      <c r="A131" s="17" t="s">
        <v>283</v>
      </c>
      <c r="B131" s="18" t="s">
        <v>43</v>
      </c>
      <c r="C131" s="19">
        <v>45600</v>
      </c>
      <c r="D131" s="18" t="s">
        <v>52</v>
      </c>
      <c r="E131" s="18" t="s">
        <v>59</v>
      </c>
      <c r="F131" s="9">
        <v>4551</v>
      </c>
      <c r="G131" s="9">
        <v>714</v>
      </c>
      <c r="H131" s="9">
        <v>207</v>
      </c>
      <c r="I131" s="9">
        <v>68265</v>
      </c>
      <c r="J131" s="9">
        <v>67754</v>
      </c>
      <c r="K131" s="9">
        <v>57</v>
      </c>
      <c r="L131" s="18" t="s">
        <v>62</v>
      </c>
      <c r="M131" s="20" t="s">
        <v>31</v>
      </c>
      <c r="N131" s="9">
        <v>5.5587999999999997</v>
      </c>
    </row>
    <row r="132" spans="1:14" x14ac:dyDescent="0.3">
      <c r="A132" s="13" t="s">
        <v>284</v>
      </c>
      <c r="B132" s="14" t="s">
        <v>33</v>
      </c>
      <c r="C132" s="15">
        <v>45695</v>
      </c>
      <c r="D132" s="14" t="s">
        <v>16</v>
      </c>
      <c r="E132" s="14" t="s">
        <v>82</v>
      </c>
      <c r="F132" s="8">
        <v>1970</v>
      </c>
      <c r="G132" s="8">
        <v>675</v>
      </c>
      <c r="H132" s="8">
        <v>478</v>
      </c>
      <c r="I132" s="8">
        <v>9850</v>
      </c>
      <c r="J132" s="8">
        <v>8924</v>
      </c>
      <c r="K132" s="8">
        <v>117</v>
      </c>
      <c r="L132" s="14" t="s">
        <v>62</v>
      </c>
      <c r="M132" s="16"/>
      <c r="N132" s="8">
        <v>5.7155999999999993</v>
      </c>
    </row>
    <row r="133" spans="1:14" x14ac:dyDescent="0.3">
      <c r="A133" s="17" t="s">
        <v>286</v>
      </c>
      <c r="B133" s="18" t="s">
        <v>43</v>
      </c>
      <c r="C133" s="19">
        <v>45586</v>
      </c>
      <c r="D133" s="18" t="s">
        <v>35</v>
      </c>
      <c r="E133" s="18" t="s">
        <v>71</v>
      </c>
      <c r="F133" s="9">
        <v>780</v>
      </c>
      <c r="G133" s="9">
        <v>928</v>
      </c>
      <c r="H133" s="9">
        <v>301</v>
      </c>
      <c r="I133" s="9">
        <v>8580</v>
      </c>
      <c r="J133" s="9">
        <v>8081</v>
      </c>
      <c r="K133" s="9">
        <v>91</v>
      </c>
      <c r="L133" s="18" t="s">
        <v>37</v>
      </c>
      <c r="M133" s="20" t="s">
        <v>31</v>
      </c>
      <c r="N133" s="9">
        <v>5.7155999999999993</v>
      </c>
    </row>
    <row r="134" spans="1:14" x14ac:dyDescent="0.3">
      <c r="A134" s="13" t="s">
        <v>287</v>
      </c>
      <c r="B134" s="14" t="s">
        <v>33</v>
      </c>
      <c r="C134" s="15">
        <v>45502</v>
      </c>
      <c r="D134" s="14" t="s">
        <v>35</v>
      </c>
      <c r="E134" s="14" t="s">
        <v>36</v>
      </c>
      <c r="F134" s="8">
        <v>498</v>
      </c>
      <c r="G134" s="8">
        <v>701</v>
      </c>
      <c r="H134" s="8">
        <v>412</v>
      </c>
      <c r="I134" s="8">
        <v>4980</v>
      </c>
      <c r="J134" s="8">
        <v>4185</v>
      </c>
      <c r="K134" s="8">
        <v>185</v>
      </c>
      <c r="L134" s="14" t="s">
        <v>62</v>
      </c>
      <c r="M134" s="16"/>
      <c r="N134" s="8">
        <v>5.6486000000000001</v>
      </c>
    </row>
    <row r="135" spans="1:14" x14ac:dyDescent="0.3">
      <c r="A135" s="17" t="s">
        <v>288</v>
      </c>
      <c r="B135" s="18" t="s">
        <v>33</v>
      </c>
      <c r="C135" s="19">
        <v>45567</v>
      </c>
      <c r="D135" s="18" t="s">
        <v>22</v>
      </c>
      <c r="E135" s="18" t="s">
        <v>113</v>
      </c>
      <c r="F135" s="9">
        <v>3432</v>
      </c>
      <c r="G135" s="9">
        <v>869</v>
      </c>
      <c r="H135" s="9">
        <v>123</v>
      </c>
      <c r="I135" s="9">
        <v>54912</v>
      </c>
      <c r="J135" s="9">
        <v>53916</v>
      </c>
      <c r="K135" s="9">
        <v>264</v>
      </c>
      <c r="L135" s="18" t="s">
        <v>37</v>
      </c>
      <c r="M135" s="20" t="s">
        <v>25</v>
      </c>
      <c r="N135" s="9">
        <v>5.6557999999999993</v>
      </c>
    </row>
    <row r="136" spans="1:14" x14ac:dyDescent="0.3">
      <c r="A136" s="13" t="s">
        <v>289</v>
      </c>
      <c r="B136" s="14" t="s">
        <v>33</v>
      </c>
      <c r="C136" s="15">
        <v>45457</v>
      </c>
      <c r="D136" s="14" t="s">
        <v>35</v>
      </c>
      <c r="E136" s="14" t="s">
        <v>36</v>
      </c>
      <c r="F136" s="8">
        <v>4363</v>
      </c>
      <c r="G136" s="8">
        <v>649</v>
      </c>
      <c r="H136" s="8">
        <v>140</v>
      </c>
      <c r="I136" s="8">
        <v>21815</v>
      </c>
      <c r="J136" s="8">
        <v>21481</v>
      </c>
      <c r="K136" s="8">
        <v>157</v>
      </c>
      <c r="L136" s="14" t="s">
        <v>37</v>
      </c>
      <c r="M136" s="16" t="s">
        <v>19</v>
      </c>
      <c r="N136" s="8">
        <v>5.6486000000000001</v>
      </c>
    </row>
    <row r="137" spans="1:14" x14ac:dyDescent="0.3">
      <c r="A137" s="17" t="s">
        <v>290</v>
      </c>
      <c r="B137" s="18" t="s">
        <v>27</v>
      </c>
      <c r="C137" s="19">
        <v>45753</v>
      </c>
      <c r="D137" s="18" t="s">
        <v>45</v>
      </c>
      <c r="E137" s="18" t="s">
        <v>68</v>
      </c>
      <c r="F137" s="9">
        <v>736</v>
      </c>
      <c r="G137" s="9">
        <v>771</v>
      </c>
      <c r="H137" s="9">
        <v>225</v>
      </c>
      <c r="I137" s="9">
        <v>5152</v>
      </c>
      <c r="J137" s="9">
        <v>4706</v>
      </c>
      <c r="K137" s="9">
        <v>19</v>
      </c>
      <c r="L137" s="18" t="s">
        <v>37</v>
      </c>
      <c r="M137" s="20" t="s">
        <v>19</v>
      </c>
      <c r="N137" s="9">
        <v>5.7155999999999993</v>
      </c>
    </row>
    <row r="138" spans="1:14" x14ac:dyDescent="0.3">
      <c r="A138" s="13" t="s">
        <v>292</v>
      </c>
      <c r="B138" s="14" t="s">
        <v>14</v>
      </c>
      <c r="C138" s="15">
        <v>45543</v>
      </c>
      <c r="D138" s="14" t="s">
        <v>45</v>
      </c>
      <c r="E138" s="14" t="s">
        <v>49</v>
      </c>
      <c r="F138" s="8">
        <v>3811</v>
      </c>
      <c r="G138" s="8">
        <v>866</v>
      </c>
      <c r="H138" s="8">
        <v>216</v>
      </c>
      <c r="I138" s="8">
        <v>34299</v>
      </c>
      <c r="J138" s="8">
        <v>34088</v>
      </c>
      <c r="K138" s="8">
        <v>233</v>
      </c>
      <c r="L138" s="14" t="s">
        <v>30</v>
      </c>
      <c r="M138" s="16" t="s">
        <v>38</v>
      </c>
      <c r="N138" s="8">
        <v>5.6486000000000001</v>
      </c>
    </row>
    <row r="139" spans="1:14" x14ac:dyDescent="0.3">
      <c r="A139" s="17" t="s">
        <v>294</v>
      </c>
      <c r="B139" s="18" t="s">
        <v>33</v>
      </c>
      <c r="C139" s="19">
        <v>45744</v>
      </c>
      <c r="D139" s="18" t="s">
        <v>45</v>
      </c>
      <c r="E139" s="18" t="s">
        <v>88</v>
      </c>
      <c r="F139" s="9">
        <v>4158</v>
      </c>
      <c r="G139" s="9">
        <v>167</v>
      </c>
      <c r="H139" s="9">
        <v>241</v>
      </c>
      <c r="I139" s="9">
        <v>45738</v>
      </c>
      <c r="J139" s="9">
        <v>45183</v>
      </c>
      <c r="K139" s="9">
        <v>142</v>
      </c>
      <c r="L139" s="18" t="s">
        <v>62</v>
      </c>
      <c r="M139" s="20"/>
      <c r="N139" s="9">
        <v>5.6557999999999993</v>
      </c>
    </row>
    <row r="140" spans="1:14" x14ac:dyDescent="0.3">
      <c r="A140" s="13" t="s">
        <v>295</v>
      </c>
      <c r="B140" s="14" t="s">
        <v>43</v>
      </c>
      <c r="C140" s="15">
        <v>45684</v>
      </c>
      <c r="D140" s="14" t="s">
        <v>16</v>
      </c>
      <c r="E140" s="14" t="s">
        <v>65</v>
      </c>
      <c r="F140" s="8">
        <v>3452</v>
      </c>
      <c r="G140" s="8">
        <v>652</v>
      </c>
      <c r="H140" s="8">
        <v>442</v>
      </c>
      <c r="I140" s="8">
        <v>65588</v>
      </c>
      <c r="J140" s="8">
        <v>65049</v>
      </c>
      <c r="K140" s="8">
        <v>158</v>
      </c>
      <c r="L140" s="14" t="s">
        <v>62</v>
      </c>
      <c r="M140" s="16" t="s">
        <v>31</v>
      </c>
      <c r="N140" s="8">
        <v>5.5587999999999997</v>
      </c>
    </row>
    <row r="141" spans="1:14" x14ac:dyDescent="0.3">
      <c r="A141" s="17" t="s">
        <v>296</v>
      </c>
      <c r="B141" s="18" t="s">
        <v>14</v>
      </c>
      <c r="C141" s="19">
        <v>45667</v>
      </c>
      <c r="D141" s="18" t="s">
        <v>52</v>
      </c>
      <c r="E141" s="18" t="s">
        <v>132</v>
      </c>
      <c r="F141" s="9">
        <v>3092</v>
      </c>
      <c r="G141" s="9">
        <v>106</v>
      </c>
      <c r="H141" s="9">
        <v>291</v>
      </c>
      <c r="I141" s="9">
        <v>27828</v>
      </c>
      <c r="J141" s="9">
        <v>27217</v>
      </c>
      <c r="K141" s="9">
        <v>102</v>
      </c>
      <c r="L141" s="18" t="s">
        <v>62</v>
      </c>
      <c r="M141" s="20"/>
      <c r="N141" s="9">
        <v>5.6486000000000001</v>
      </c>
    </row>
    <row r="142" spans="1:14" x14ac:dyDescent="0.3">
      <c r="A142" s="13" t="s">
        <v>297</v>
      </c>
      <c r="B142" s="14" t="s">
        <v>14</v>
      </c>
      <c r="C142" s="15">
        <v>45494</v>
      </c>
      <c r="D142" s="14" t="s">
        <v>22</v>
      </c>
      <c r="E142" s="14" t="s">
        <v>23</v>
      </c>
      <c r="F142" s="8">
        <v>2147</v>
      </c>
      <c r="G142" s="8">
        <v>430</v>
      </c>
      <c r="H142" s="8">
        <v>393</v>
      </c>
      <c r="I142" s="8">
        <v>17176</v>
      </c>
      <c r="J142" s="8">
        <v>16483</v>
      </c>
      <c r="K142" s="8">
        <v>170</v>
      </c>
      <c r="L142" s="14" t="s">
        <v>30</v>
      </c>
      <c r="M142" s="16"/>
      <c r="N142" s="8">
        <v>5.6557999999999993</v>
      </c>
    </row>
    <row r="143" spans="1:14" x14ac:dyDescent="0.3">
      <c r="A143" s="17" t="s">
        <v>298</v>
      </c>
      <c r="B143" s="18" t="s">
        <v>27</v>
      </c>
      <c r="C143" s="19">
        <v>45564</v>
      </c>
      <c r="D143" s="18" t="s">
        <v>16</v>
      </c>
      <c r="E143" s="18" t="s">
        <v>29</v>
      </c>
      <c r="F143" s="9">
        <v>2936</v>
      </c>
      <c r="G143" s="9">
        <v>439</v>
      </c>
      <c r="H143" s="9">
        <v>44</v>
      </c>
      <c r="I143" s="9">
        <v>38168</v>
      </c>
      <c r="J143" s="9">
        <v>37571</v>
      </c>
      <c r="K143" s="9">
        <v>22</v>
      </c>
      <c r="L143" s="18" t="s">
        <v>37</v>
      </c>
      <c r="M143" s="20" t="s">
        <v>38</v>
      </c>
      <c r="N143" s="9">
        <v>5.5587999999999997</v>
      </c>
    </row>
    <row r="144" spans="1:14" x14ac:dyDescent="0.3">
      <c r="A144" s="13" t="s">
        <v>300</v>
      </c>
      <c r="B144" s="14" t="s">
        <v>33</v>
      </c>
      <c r="C144" s="15">
        <v>45586</v>
      </c>
      <c r="D144" s="14" t="s">
        <v>16</v>
      </c>
      <c r="E144" s="14" t="s">
        <v>82</v>
      </c>
      <c r="F144" s="8">
        <v>4840</v>
      </c>
      <c r="G144" s="8">
        <v>658</v>
      </c>
      <c r="H144" s="8">
        <v>211</v>
      </c>
      <c r="I144" s="8">
        <v>43560</v>
      </c>
      <c r="J144" s="8">
        <v>43225</v>
      </c>
      <c r="K144" s="8">
        <v>57</v>
      </c>
      <c r="L144" s="14" t="s">
        <v>62</v>
      </c>
      <c r="M144" s="16" t="s">
        <v>31</v>
      </c>
      <c r="N144" s="8">
        <v>5.5587999999999997</v>
      </c>
    </row>
    <row r="145" spans="1:14" x14ac:dyDescent="0.3">
      <c r="A145" s="17" t="s">
        <v>301</v>
      </c>
      <c r="B145" s="18" t="s">
        <v>33</v>
      </c>
      <c r="C145" s="19">
        <v>45720</v>
      </c>
      <c r="D145" s="18" t="s">
        <v>35</v>
      </c>
      <c r="E145" s="18" t="s">
        <v>36</v>
      </c>
      <c r="F145" s="9">
        <v>1947</v>
      </c>
      <c r="G145" s="9">
        <v>842</v>
      </c>
      <c r="H145" s="9">
        <v>101</v>
      </c>
      <c r="I145" s="9">
        <v>21417</v>
      </c>
      <c r="J145" s="9">
        <v>20967</v>
      </c>
      <c r="K145" s="9">
        <v>186</v>
      </c>
      <c r="L145" s="18" t="s">
        <v>62</v>
      </c>
      <c r="M145" s="20" t="s">
        <v>25</v>
      </c>
      <c r="N145" s="9">
        <v>5.5587999999999997</v>
      </c>
    </row>
    <row r="146" spans="1:14" x14ac:dyDescent="0.3">
      <c r="A146" s="13" t="s">
        <v>302</v>
      </c>
      <c r="B146" s="14" t="s">
        <v>43</v>
      </c>
      <c r="C146" s="15">
        <v>45694</v>
      </c>
      <c r="D146" s="14" t="s">
        <v>52</v>
      </c>
      <c r="E146" s="14" t="s">
        <v>59</v>
      </c>
      <c r="F146" s="8">
        <v>2072</v>
      </c>
      <c r="G146" s="8">
        <v>532</v>
      </c>
      <c r="H146" s="8">
        <v>71</v>
      </c>
      <c r="I146" s="8">
        <v>37296</v>
      </c>
      <c r="J146" s="8">
        <v>36467</v>
      </c>
      <c r="K146" s="8">
        <v>25</v>
      </c>
      <c r="L146" s="14" t="s">
        <v>30</v>
      </c>
      <c r="M146" s="16" t="s">
        <v>38</v>
      </c>
      <c r="N146" s="8">
        <v>5.7155999999999993</v>
      </c>
    </row>
    <row r="147" spans="1:14" x14ac:dyDescent="0.3">
      <c r="A147" s="17" t="s">
        <v>304</v>
      </c>
      <c r="B147" s="18" t="s">
        <v>14</v>
      </c>
      <c r="C147" s="19">
        <v>45771</v>
      </c>
      <c r="D147" s="18" t="s">
        <v>16</v>
      </c>
      <c r="E147" s="18" t="s">
        <v>17</v>
      </c>
      <c r="F147" s="9">
        <v>3731</v>
      </c>
      <c r="G147" s="9">
        <v>115</v>
      </c>
      <c r="H147" s="9">
        <v>135</v>
      </c>
      <c r="I147" s="9">
        <v>55965</v>
      </c>
      <c r="J147" s="9">
        <v>55436</v>
      </c>
      <c r="K147" s="9">
        <v>103</v>
      </c>
      <c r="L147" s="18" t="s">
        <v>30</v>
      </c>
      <c r="M147" s="20" t="s">
        <v>19</v>
      </c>
      <c r="N147" s="9">
        <v>5.5587999999999997</v>
      </c>
    </row>
    <row r="148" spans="1:14" x14ac:dyDescent="0.3">
      <c r="A148" s="13" t="s">
        <v>306</v>
      </c>
      <c r="B148" s="14" t="s">
        <v>43</v>
      </c>
      <c r="C148" s="15">
        <v>45624</v>
      </c>
      <c r="D148" s="14" t="s">
        <v>22</v>
      </c>
      <c r="E148" s="14" t="s">
        <v>56</v>
      </c>
      <c r="F148" s="8">
        <v>4213</v>
      </c>
      <c r="G148" s="8">
        <v>253</v>
      </c>
      <c r="H148" s="8">
        <v>434</v>
      </c>
      <c r="I148" s="8">
        <v>75834</v>
      </c>
      <c r="J148" s="8">
        <v>75437</v>
      </c>
      <c r="K148" s="8">
        <v>272</v>
      </c>
      <c r="L148" s="14" t="s">
        <v>62</v>
      </c>
      <c r="M148" s="16" t="s">
        <v>38</v>
      </c>
      <c r="N148" s="8">
        <v>5.7155999999999993</v>
      </c>
    </row>
    <row r="149" spans="1:14" x14ac:dyDescent="0.3">
      <c r="A149" s="17" t="s">
        <v>308</v>
      </c>
      <c r="B149" s="18" t="s">
        <v>33</v>
      </c>
      <c r="C149" s="19">
        <v>45484</v>
      </c>
      <c r="D149" s="18" t="s">
        <v>22</v>
      </c>
      <c r="E149" s="18" t="s">
        <v>113</v>
      </c>
      <c r="F149" s="9">
        <v>3134</v>
      </c>
      <c r="G149" s="9">
        <v>888</v>
      </c>
      <c r="H149" s="9">
        <v>444</v>
      </c>
      <c r="I149" s="9">
        <v>21938</v>
      </c>
      <c r="J149" s="9">
        <v>21337</v>
      </c>
      <c r="K149" s="9">
        <v>130</v>
      </c>
      <c r="L149" s="18" t="s">
        <v>37</v>
      </c>
      <c r="M149" s="20" t="s">
        <v>38</v>
      </c>
      <c r="N149" s="9">
        <v>5.7155999999999993</v>
      </c>
    </row>
    <row r="150" spans="1:14" x14ac:dyDescent="0.3">
      <c r="A150" s="13" t="s">
        <v>310</v>
      </c>
      <c r="B150" s="14" t="s">
        <v>43</v>
      </c>
      <c r="C150" s="15">
        <v>45504</v>
      </c>
      <c r="D150" s="14" t="s">
        <v>74</v>
      </c>
      <c r="E150" s="14" t="s">
        <v>75</v>
      </c>
      <c r="F150" s="8">
        <v>3008</v>
      </c>
      <c r="G150" s="8">
        <v>94</v>
      </c>
      <c r="H150" s="8">
        <v>37</v>
      </c>
      <c r="I150" s="8">
        <v>15040</v>
      </c>
      <c r="J150" s="8">
        <v>14639</v>
      </c>
      <c r="K150" s="8">
        <v>277</v>
      </c>
      <c r="L150" s="14" t="s">
        <v>62</v>
      </c>
      <c r="M150" s="16"/>
      <c r="N150" s="8">
        <v>5.6557999999999993</v>
      </c>
    </row>
    <row r="151" spans="1:14" x14ac:dyDescent="0.3">
      <c r="A151" s="17" t="s">
        <v>311</v>
      </c>
      <c r="B151" s="18" t="s">
        <v>14</v>
      </c>
      <c r="C151" s="19">
        <v>45745</v>
      </c>
      <c r="D151" s="18" t="s">
        <v>52</v>
      </c>
      <c r="E151" s="18" t="s">
        <v>132</v>
      </c>
      <c r="F151" s="9">
        <v>305</v>
      </c>
      <c r="G151" s="9">
        <v>187</v>
      </c>
      <c r="H151" s="9">
        <v>243</v>
      </c>
      <c r="I151" s="9">
        <v>4575</v>
      </c>
      <c r="J151" s="9">
        <v>3704</v>
      </c>
      <c r="K151" s="9">
        <v>234</v>
      </c>
      <c r="L151" s="18" t="s">
        <v>62</v>
      </c>
      <c r="M151" s="20" t="s">
        <v>31</v>
      </c>
      <c r="N151" s="9">
        <v>5.5587999999999997</v>
      </c>
    </row>
    <row r="152" spans="1:14" x14ac:dyDescent="0.3">
      <c r="A152" s="13" t="s">
        <v>312</v>
      </c>
      <c r="B152" s="14" t="s">
        <v>27</v>
      </c>
      <c r="C152" s="15">
        <v>45594</v>
      </c>
      <c r="D152" s="14" t="s">
        <v>22</v>
      </c>
      <c r="E152" s="14" t="s">
        <v>104</v>
      </c>
      <c r="F152" s="8">
        <v>2746</v>
      </c>
      <c r="G152" s="8">
        <v>156</v>
      </c>
      <c r="H152" s="8">
        <v>203</v>
      </c>
      <c r="I152" s="8">
        <v>32952</v>
      </c>
      <c r="J152" s="8">
        <v>32147</v>
      </c>
      <c r="K152" s="8">
        <v>147</v>
      </c>
      <c r="L152" s="14" t="s">
        <v>37</v>
      </c>
      <c r="M152" s="16" t="s">
        <v>19</v>
      </c>
      <c r="N152" s="8">
        <v>5.7155999999999993</v>
      </c>
    </row>
    <row r="153" spans="1:14" x14ac:dyDescent="0.3">
      <c r="A153" s="17" t="s">
        <v>314</v>
      </c>
      <c r="B153" s="18" t="s">
        <v>43</v>
      </c>
      <c r="C153" s="19">
        <v>45488</v>
      </c>
      <c r="D153" s="18" t="s">
        <v>52</v>
      </c>
      <c r="E153" s="18" t="s">
        <v>59</v>
      </c>
      <c r="F153" s="9">
        <v>2291</v>
      </c>
      <c r="G153" s="9">
        <v>78</v>
      </c>
      <c r="H153" s="9">
        <v>485</v>
      </c>
      <c r="I153" s="9">
        <v>18328</v>
      </c>
      <c r="J153" s="9">
        <v>18101</v>
      </c>
      <c r="K153" s="9">
        <v>10</v>
      </c>
      <c r="L153" s="18" t="s">
        <v>37</v>
      </c>
      <c r="M153" s="20" t="s">
        <v>25</v>
      </c>
      <c r="N153" s="9">
        <v>5.6486000000000001</v>
      </c>
    </row>
    <row r="154" spans="1:14" x14ac:dyDescent="0.3">
      <c r="A154" s="13" t="s">
        <v>314</v>
      </c>
      <c r="B154" s="14" t="s">
        <v>43</v>
      </c>
      <c r="C154" s="15">
        <v>45488</v>
      </c>
      <c r="D154" s="14" t="s">
        <v>52</v>
      </c>
      <c r="E154" s="14" t="s">
        <v>59</v>
      </c>
      <c r="F154" s="8">
        <v>2291</v>
      </c>
      <c r="G154" s="8">
        <v>78</v>
      </c>
      <c r="H154" s="8">
        <v>485</v>
      </c>
      <c r="I154" s="8">
        <v>18328</v>
      </c>
      <c r="J154" s="8">
        <v>18101</v>
      </c>
      <c r="K154" s="8">
        <v>10</v>
      </c>
      <c r="L154" s="14" t="s">
        <v>607</v>
      </c>
      <c r="M154" s="16" t="s">
        <v>25</v>
      </c>
      <c r="N154" s="8">
        <v>5.6557999999999993</v>
      </c>
    </row>
    <row r="155" spans="1:14" x14ac:dyDescent="0.3">
      <c r="A155" s="17" t="s">
        <v>317</v>
      </c>
      <c r="B155" s="18" t="s">
        <v>14</v>
      </c>
      <c r="C155" s="19">
        <v>45535</v>
      </c>
      <c r="D155" s="18" t="s">
        <v>52</v>
      </c>
      <c r="E155" s="18" t="s">
        <v>132</v>
      </c>
      <c r="F155" s="9">
        <v>3170</v>
      </c>
      <c r="G155" s="9">
        <v>857</v>
      </c>
      <c r="H155" s="9">
        <v>379</v>
      </c>
      <c r="I155" s="9">
        <v>19020</v>
      </c>
      <c r="J155" s="9">
        <v>18559</v>
      </c>
      <c r="K155" s="9">
        <v>240</v>
      </c>
      <c r="L155" s="18" t="s">
        <v>62</v>
      </c>
      <c r="M155" s="20"/>
      <c r="N155" s="9">
        <v>5.7155999999999993</v>
      </c>
    </row>
    <row r="156" spans="1:14" x14ac:dyDescent="0.3">
      <c r="A156" s="13" t="s">
        <v>319</v>
      </c>
      <c r="B156" s="14" t="s">
        <v>27</v>
      </c>
      <c r="C156" s="15">
        <v>45741</v>
      </c>
      <c r="D156" s="14" t="s">
        <v>35</v>
      </c>
      <c r="E156" s="14" t="s">
        <v>154</v>
      </c>
      <c r="F156" s="8">
        <v>2070</v>
      </c>
      <c r="G156" s="8">
        <v>275</v>
      </c>
      <c r="H156" s="8">
        <v>386</v>
      </c>
      <c r="I156" s="8">
        <v>39330</v>
      </c>
      <c r="J156" s="8">
        <v>38627</v>
      </c>
      <c r="K156" s="8">
        <v>114</v>
      </c>
      <c r="L156" s="14" t="s">
        <v>62</v>
      </c>
      <c r="M156" s="16" t="s">
        <v>38</v>
      </c>
      <c r="N156" s="8">
        <v>5.5587999999999997</v>
      </c>
    </row>
    <row r="157" spans="1:14" x14ac:dyDescent="0.3">
      <c r="A157" s="17" t="s">
        <v>320</v>
      </c>
      <c r="B157" s="18" t="s">
        <v>27</v>
      </c>
      <c r="C157" s="19">
        <v>45567</v>
      </c>
      <c r="D157" s="18" t="s">
        <v>45</v>
      </c>
      <c r="E157" s="18" t="s">
        <v>68</v>
      </c>
      <c r="F157" s="9">
        <v>80</v>
      </c>
      <c r="G157" s="9">
        <v>362</v>
      </c>
      <c r="H157" s="9">
        <v>80</v>
      </c>
      <c r="I157" s="9">
        <v>1040</v>
      </c>
      <c r="J157" s="9">
        <v>349</v>
      </c>
      <c r="K157" s="9">
        <v>117</v>
      </c>
      <c r="L157" s="18" t="s">
        <v>30</v>
      </c>
      <c r="M157" s="20" t="s">
        <v>31</v>
      </c>
      <c r="N157" s="9">
        <v>5.6486000000000001</v>
      </c>
    </row>
    <row r="158" spans="1:14" x14ac:dyDescent="0.3">
      <c r="A158" s="13" t="s">
        <v>321</v>
      </c>
      <c r="B158" s="14" t="s">
        <v>27</v>
      </c>
      <c r="C158" s="15">
        <v>45593</v>
      </c>
      <c r="D158" s="14" t="s">
        <v>35</v>
      </c>
      <c r="E158" s="14" t="s">
        <v>154</v>
      </c>
      <c r="F158" s="8">
        <v>4929</v>
      </c>
      <c r="G158" s="8">
        <v>749</v>
      </c>
      <c r="H158" s="8">
        <v>452</v>
      </c>
      <c r="I158" s="8">
        <v>93651</v>
      </c>
      <c r="J158" s="8">
        <v>92810</v>
      </c>
      <c r="K158" s="8">
        <v>66</v>
      </c>
      <c r="L158" s="14" t="s">
        <v>37</v>
      </c>
      <c r="M158" s="16" t="s">
        <v>38</v>
      </c>
      <c r="N158" s="8">
        <v>5.5587999999999997</v>
      </c>
    </row>
    <row r="159" spans="1:14" x14ac:dyDescent="0.3">
      <c r="A159" s="17" t="s">
        <v>322</v>
      </c>
      <c r="B159" s="18" t="s">
        <v>33</v>
      </c>
      <c r="C159" s="19">
        <v>45516</v>
      </c>
      <c r="D159" s="18" t="s">
        <v>45</v>
      </c>
      <c r="E159" s="18" t="s">
        <v>88</v>
      </c>
      <c r="F159" s="9">
        <v>1878</v>
      </c>
      <c r="G159" s="9">
        <v>62</v>
      </c>
      <c r="H159" s="9">
        <v>179</v>
      </c>
      <c r="I159" s="9">
        <v>37560</v>
      </c>
      <c r="J159" s="9">
        <v>36874</v>
      </c>
      <c r="K159" s="9">
        <v>142</v>
      </c>
      <c r="L159" s="18" t="s">
        <v>30</v>
      </c>
      <c r="M159" s="20" t="s">
        <v>38</v>
      </c>
      <c r="N159" s="9">
        <v>5.7155999999999993</v>
      </c>
    </row>
    <row r="160" spans="1:14" x14ac:dyDescent="0.3">
      <c r="A160" s="13" t="s">
        <v>323</v>
      </c>
      <c r="B160" s="14" t="s">
        <v>27</v>
      </c>
      <c r="C160" s="15">
        <v>45448</v>
      </c>
      <c r="D160" s="14" t="s">
        <v>16</v>
      </c>
      <c r="E160" s="14" t="s">
        <v>29</v>
      </c>
      <c r="F160" s="8">
        <v>3065</v>
      </c>
      <c r="G160" s="8">
        <v>772</v>
      </c>
      <c r="H160" s="8">
        <v>142</v>
      </c>
      <c r="I160" s="8">
        <v>18390</v>
      </c>
      <c r="J160" s="8">
        <v>17875</v>
      </c>
      <c r="K160" s="8">
        <v>200</v>
      </c>
      <c r="L160" s="14" t="s">
        <v>37</v>
      </c>
      <c r="M160" s="16"/>
      <c r="N160" s="8">
        <v>5.6486000000000001</v>
      </c>
    </row>
    <row r="161" spans="1:14" x14ac:dyDescent="0.3">
      <c r="A161" s="17" t="s">
        <v>323</v>
      </c>
      <c r="B161" s="18" t="s">
        <v>27</v>
      </c>
      <c r="C161" s="19">
        <v>45448</v>
      </c>
      <c r="D161" s="18" t="s">
        <v>16</v>
      </c>
      <c r="E161" s="18" t="s">
        <v>29</v>
      </c>
      <c r="F161" s="9">
        <v>3065</v>
      </c>
      <c r="G161" s="9">
        <v>772</v>
      </c>
      <c r="H161" s="9">
        <v>142</v>
      </c>
      <c r="I161" s="9">
        <v>18390</v>
      </c>
      <c r="J161" s="9">
        <v>17875</v>
      </c>
      <c r="K161" s="9">
        <v>200</v>
      </c>
      <c r="L161" s="18" t="s">
        <v>613</v>
      </c>
      <c r="M161" s="20"/>
      <c r="N161" s="9">
        <v>5.6557999999999993</v>
      </c>
    </row>
    <row r="162" spans="1:14" x14ac:dyDescent="0.3">
      <c r="A162" s="13" t="s">
        <v>326</v>
      </c>
      <c r="B162" s="14" t="s">
        <v>33</v>
      </c>
      <c r="C162" s="15">
        <v>45586</v>
      </c>
      <c r="D162" s="14" t="s">
        <v>16</v>
      </c>
      <c r="E162" s="14" t="s">
        <v>82</v>
      </c>
      <c r="F162" s="8">
        <v>3256</v>
      </c>
      <c r="G162" s="8">
        <v>459</v>
      </c>
      <c r="H162" s="8">
        <v>266</v>
      </c>
      <c r="I162" s="8">
        <v>26048</v>
      </c>
      <c r="J162" s="8">
        <v>25529</v>
      </c>
      <c r="K162" s="8">
        <v>143</v>
      </c>
      <c r="L162" s="14" t="s">
        <v>30</v>
      </c>
      <c r="M162" s="16" t="s">
        <v>25</v>
      </c>
      <c r="N162" s="8">
        <v>5.6557999999999993</v>
      </c>
    </row>
    <row r="163" spans="1:14" x14ac:dyDescent="0.3">
      <c r="A163" s="17" t="s">
        <v>327</v>
      </c>
      <c r="B163" s="18" t="s">
        <v>33</v>
      </c>
      <c r="C163" s="19">
        <v>45762</v>
      </c>
      <c r="D163" s="18" t="s">
        <v>74</v>
      </c>
      <c r="E163" s="18" t="s">
        <v>85</v>
      </c>
      <c r="F163" s="9">
        <v>4133</v>
      </c>
      <c r="G163" s="9">
        <v>466</v>
      </c>
      <c r="H163" s="9">
        <v>327</v>
      </c>
      <c r="I163" s="9">
        <v>24798</v>
      </c>
      <c r="J163" s="9">
        <v>24620</v>
      </c>
      <c r="K163" s="9">
        <v>176</v>
      </c>
      <c r="L163" s="18" t="s">
        <v>37</v>
      </c>
      <c r="M163" s="20" t="s">
        <v>38</v>
      </c>
      <c r="N163" s="9">
        <v>5.6486000000000001</v>
      </c>
    </row>
    <row r="164" spans="1:14" x14ac:dyDescent="0.3">
      <c r="A164" s="13" t="s">
        <v>328</v>
      </c>
      <c r="B164" s="14" t="s">
        <v>14</v>
      </c>
      <c r="C164" s="15">
        <v>45459</v>
      </c>
      <c r="D164" s="14" t="s">
        <v>74</v>
      </c>
      <c r="E164" s="14" t="s">
        <v>145</v>
      </c>
      <c r="F164" s="8">
        <v>1702</v>
      </c>
      <c r="G164" s="8">
        <v>750</v>
      </c>
      <c r="H164" s="8">
        <v>179</v>
      </c>
      <c r="I164" s="8">
        <v>34040</v>
      </c>
      <c r="J164" s="8">
        <v>33174</v>
      </c>
      <c r="K164" s="8">
        <v>76</v>
      </c>
      <c r="L164" s="14" t="s">
        <v>37</v>
      </c>
      <c r="M164" s="16" t="s">
        <v>19</v>
      </c>
      <c r="N164" s="8">
        <v>5.7155999999999993</v>
      </c>
    </row>
    <row r="165" spans="1:14" x14ac:dyDescent="0.3">
      <c r="A165" s="17" t="s">
        <v>330</v>
      </c>
      <c r="B165" s="18" t="s">
        <v>27</v>
      </c>
      <c r="C165" s="19">
        <v>45526</v>
      </c>
      <c r="D165" s="18" t="s">
        <v>45</v>
      </c>
      <c r="E165" s="18" t="s">
        <v>68</v>
      </c>
      <c r="F165" s="9">
        <v>4295</v>
      </c>
      <c r="G165" s="9">
        <v>853</v>
      </c>
      <c r="H165" s="9">
        <v>325</v>
      </c>
      <c r="I165" s="9">
        <v>85900</v>
      </c>
      <c r="J165" s="9">
        <v>85788</v>
      </c>
      <c r="K165" s="9">
        <v>290</v>
      </c>
      <c r="L165" s="18" t="s">
        <v>30</v>
      </c>
      <c r="M165" s="20" t="s">
        <v>38</v>
      </c>
      <c r="N165" s="9">
        <v>5.5587999999999997</v>
      </c>
    </row>
    <row r="166" spans="1:14" x14ac:dyDescent="0.3">
      <c r="A166" s="13" t="s">
        <v>332</v>
      </c>
      <c r="B166" s="14" t="s">
        <v>33</v>
      </c>
      <c r="C166" s="15">
        <v>45499</v>
      </c>
      <c r="D166" s="14" t="s">
        <v>52</v>
      </c>
      <c r="E166" s="14" t="s">
        <v>215</v>
      </c>
      <c r="F166" s="8">
        <v>3559</v>
      </c>
      <c r="G166" s="8">
        <v>59</v>
      </c>
      <c r="H166" s="8">
        <v>289</v>
      </c>
      <c r="I166" s="8">
        <v>35590</v>
      </c>
      <c r="J166" s="8">
        <v>35105</v>
      </c>
      <c r="K166" s="8">
        <v>122</v>
      </c>
      <c r="L166" s="14" t="s">
        <v>37</v>
      </c>
      <c r="M166" s="16" t="s">
        <v>19</v>
      </c>
      <c r="N166" s="8">
        <v>5.6557999999999993</v>
      </c>
    </row>
    <row r="167" spans="1:14" x14ac:dyDescent="0.3">
      <c r="A167" s="17" t="s">
        <v>333</v>
      </c>
      <c r="B167" s="18" t="s">
        <v>43</v>
      </c>
      <c r="C167" s="19">
        <v>45769</v>
      </c>
      <c r="D167" s="18" t="s">
        <v>52</v>
      </c>
      <c r="E167" s="18" t="s">
        <v>59</v>
      </c>
      <c r="F167" s="9">
        <v>4804</v>
      </c>
      <c r="G167" s="9">
        <v>550</v>
      </c>
      <c r="H167" s="9">
        <v>270</v>
      </c>
      <c r="I167" s="9">
        <v>28824</v>
      </c>
      <c r="J167" s="9">
        <v>28370</v>
      </c>
      <c r="K167" s="9">
        <v>47</v>
      </c>
      <c r="L167" s="18" t="s">
        <v>37</v>
      </c>
      <c r="M167" s="20" t="s">
        <v>38</v>
      </c>
      <c r="N167" s="9">
        <v>5.6557999999999993</v>
      </c>
    </row>
    <row r="168" spans="1:14" x14ac:dyDescent="0.3">
      <c r="A168" s="13" t="s">
        <v>335</v>
      </c>
      <c r="B168" s="14" t="s">
        <v>14</v>
      </c>
      <c r="C168" s="15">
        <v>45658</v>
      </c>
      <c r="D168" s="14" t="s">
        <v>74</v>
      </c>
      <c r="E168" s="14" t="s">
        <v>145</v>
      </c>
      <c r="F168" s="8">
        <v>754</v>
      </c>
      <c r="G168" s="8">
        <v>197</v>
      </c>
      <c r="H168" s="8">
        <v>257</v>
      </c>
      <c r="I168" s="8">
        <v>6786</v>
      </c>
      <c r="J168" s="8">
        <v>6221</v>
      </c>
      <c r="K168" s="8">
        <v>212</v>
      </c>
      <c r="L168" s="14" t="s">
        <v>30</v>
      </c>
      <c r="M168" s="16" t="s">
        <v>31</v>
      </c>
      <c r="N168" s="8">
        <v>5.7155999999999993</v>
      </c>
    </row>
    <row r="169" spans="1:14" x14ac:dyDescent="0.3">
      <c r="A169" s="17" t="s">
        <v>337</v>
      </c>
      <c r="B169" s="18" t="s">
        <v>33</v>
      </c>
      <c r="C169" s="19">
        <v>45574</v>
      </c>
      <c r="D169" s="18" t="s">
        <v>45</v>
      </c>
      <c r="E169" s="18" t="s">
        <v>88</v>
      </c>
      <c r="F169" s="9">
        <v>985</v>
      </c>
      <c r="G169" s="9">
        <v>932</v>
      </c>
      <c r="H169" s="9">
        <v>287</v>
      </c>
      <c r="I169" s="9">
        <v>6895</v>
      </c>
      <c r="J169" s="9">
        <v>6757</v>
      </c>
      <c r="K169" s="9">
        <v>64</v>
      </c>
      <c r="L169" s="18" t="s">
        <v>62</v>
      </c>
      <c r="M169" s="20" t="s">
        <v>38</v>
      </c>
      <c r="N169" s="9">
        <v>5.6486000000000001</v>
      </c>
    </row>
    <row r="170" spans="1:14" x14ac:dyDescent="0.3">
      <c r="A170" s="13" t="s">
        <v>338</v>
      </c>
      <c r="B170" s="14" t="s">
        <v>27</v>
      </c>
      <c r="C170" s="15">
        <v>45647</v>
      </c>
      <c r="D170" s="14" t="s">
        <v>52</v>
      </c>
      <c r="E170" s="14" t="s">
        <v>53</v>
      </c>
      <c r="F170" s="8">
        <v>2283</v>
      </c>
      <c r="G170" s="8">
        <v>210</v>
      </c>
      <c r="H170" s="8">
        <v>130</v>
      </c>
      <c r="I170" s="8">
        <v>22830</v>
      </c>
      <c r="J170" s="8">
        <v>22617</v>
      </c>
      <c r="K170" s="8">
        <v>143</v>
      </c>
      <c r="L170" s="14" t="s">
        <v>62</v>
      </c>
      <c r="M170" s="16" t="s">
        <v>25</v>
      </c>
      <c r="N170" s="8">
        <v>5.5587999999999997</v>
      </c>
    </row>
    <row r="171" spans="1:14" x14ac:dyDescent="0.3">
      <c r="A171" s="17" t="s">
        <v>340</v>
      </c>
      <c r="B171" s="18" t="s">
        <v>43</v>
      </c>
      <c r="C171" s="19">
        <v>45587</v>
      </c>
      <c r="D171" s="18" t="s">
        <v>45</v>
      </c>
      <c r="E171" s="18" t="s">
        <v>46</v>
      </c>
      <c r="F171" s="9">
        <v>3352</v>
      </c>
      <c r="G171" s="9">
        <v>941</v>
      </c>
      <c r="H171" s="9">
        <v>482</v>
      </c>
      <c r="I171" s="9">
        <v>43576</v>
      </c>
      <c r="J171" s="9">
        <v>43338</v>
      </c>
      <c r="K171" s="9">
        <v>240</v>
      </c>
      <c r="L171" s="18" t="s">
        <v>62</v>
      </c>
      <c r="M171" s="20" t="s">
        <v>25</v>
      </c>
      <c r="N171" s="9">
        <v>5.6557999999999993</v>
      </c>
    </row>
    <row r="172" spans="1:14" x14ac:dyDescent="0.3">
      <c r="A172" s="13" t="s">
        <v>342</v>
      </c>
      <c r="B172" s="14" t="s">
        <v>27</v>
      </c>
      <c r="C172" s="15">
        <v>45496</v>
      </c>
      <c r="D172" s="14" t="s">
        <v>35</v>
      </c>
      <c r="E172" s="14" t="s">
        <v>154</v>
      </c>
      <c r="F172" s="8">
        <v>4775</v>
      </c>
      <c r="G172" s="8">
        <v>173</v>
      </c>
      <c r="H172" s="8">
        <v>206</v>
      </c>
      <c r="I172" s="8">
        <v>47750</v>
      </c>
      <c r="J172" s="8">
        <v>47544</v>
      </c>
      <c r="K172" s="8">
        <v>187</v>
      </c>
      <c r="L172" s="14" t="s">
        <v>62</v>
      </c>
      <c r="M172" s="16" t="s">
        <v>25</v>
      </c>
      <c r="N172" s="8">
        <v>5.5587999999999997</v>
      </c>
    </row>
    <row r="173" spans="1:14" x14ac:dyDescent="0.3">
      <c r="A173" s="17" t="s">
        <v>344</v>
      </c>
      <c r="B173" s="18" t="s">
        <v>33</v>
      </c>
      <c r="C173" s="19">
        <v>45515</v>
      </c>
      <c r="D173" s="18" t="s">
        <v>35</v>
      </c>
      <c r="E173" s="18" t="s">
        <v>36</v>
      </c>
      <c r="F173" s="9">
        <v>1762</v>
      </c>
      <c r="G173" s="9">
        <v>405</v>
      </c>
      <c r="H173" s="9">
        <v>423</v>
      </c>
      <c r="I173" s="9">
        <v>22906</v>
      </c>
      <c r="J173" s="9">
        <v>21925</v>
      </c>
      <c r="K173" s="9">
        <v>25</v>
      </c>
      <c r="L173" s="18" t="s">
        <v>30</v>
      </c>
      <c r="M173" s="20" t="s">
        <v>19</v>
      </c>
      <c r="N173" s="9">
        <v>5.6486000000000001</v>
      </c>
    </row>
    <row r="174" spans="1:14" x14ac:dyDescent="0.3">
      <c r="A174" s="13" t="s">
        <v>346</v>
      </c>
      <c r="B174" s="14" t="s">
        <v>43</v>
      </c>
      <c r="C174" s="15">
        <v>45621</v>
      </c>
      <c r="D174" s="14" t="s">
        <v>35</v>
      </c>
      <c r="E174" s="14" t="s">
        <v>71</v>
      </c>
      <c r="F174" s="8">
        <v>2120</v>
      </c>
      <c r="G174" s="8">
        <v>158</v>
      </c>
      <c r="H174" s="8">
        <v>488</v>
      </c>
      <c r="I174" s="8">
        <v>12720</v>
      </c>
      <c r="J174" s="8">
        <v>12085</v>
      </c>
      <c r="K174" s="8">
        <v>17</v>
      </c>
      <c r="L174" s="14" t="s">
        <v>62</v>
      </c>
      <c r="M174" s="16" t="s">
        <v>25</v>
      </c>
      <c r="N174" s="8">
        <v>5.6557999999999993</v>
      </c>
    </row>
    <row r="175" spans="1:14" x14ac:dyDescent="0.3">
      <c r="A175" s="17" t="s">
        <v>347</v>
      </c>
      <c r="B175" s="18" t="s">
        <v>14</v>
      </c>
      <c r="C175" s="19">
        <v>45528</v>
      </c>
      <c r="D175" s="18" t="s">
        <v>74</v>
      </c>
      <c r="E175" s="18" t="s">
        <v>145</v>
      </c>
      <c r="F175" s="9">
        <v>1082</v>
      </c>
      <c r="G175" s="9">
        <v>209</v>
      </c>
      <c r="H175" s="9">
        <v>484</v>
      </c>
      <c r="I175" s="9">
        <v>19476</v>
      </c>
      <c r="J175" s="9">
        <v>18654</v>
      </c>
      <c r="K175" s="9">
        <v>20</v>
      </c>
      <c r="L175" s="18" t="s">
        <v>30</v>
      </c>
      <c r="M175" s="20"/>
      <c r="N175" s="9">
        <v>5.6486000000000001</v>
      </c>
    </row>
    <row r="176" spans="1:14" x14ac:dyDescent="0.3">
      <c r="A176" s="13" t="s">
        <v>349</v>
      </c>
      <c r="B176" s="14" t="s">
        <v>14</v>
      </c>
      <c r="C176" s="15">
        <v>45707</v>
      </c>
      <c r="D176" s="14" t="s">
        <v>22</v>
      </c>
      <c r="E176" s="14" t="s">
        <v>23</v>
      </c>
      <c r="F176" s="8">
        <v>4671</v>
      </c>
      <c r="G176" s="8">
        <v>876</v>
      </c>
      <c r="H176" s="8">
        <v>366</v>
      </c>
      <c r="I176" s="8">
        <v>51381</v>
      </c>
      <c r="J176" s="8">
        <v>50565</v>
      </c>
      <c r="K176" s="8">
        <v>245</v>
      </c>
      <c r="L176" s="14" t="s">
        <v>30</v>
      </c>
      <c r="M176" s="16" t="s">
        <v>38</v>
      </c>
      <c r="N176" s="8">
        <v>5.7155999999999993</v>
      </c>
    </row>
    <row r="177" spans="1:14" x14ac:dyDescent="0.3">
      <c r="A177" s="17" t="s">
        <v>351</v>
      </c>
      <c r="B177" s="18" t="s">
        <v>43</v>
      </c>
      <c r="C177" s="19">
        <v>45748</v>
      </c>
      <c r="D177" s="18" t="s">
        <v>35</v>
      </c>
      <c r="E177" s="18" t="s">
        <v>71</v>
      </c>
      <c r="F177" s="9">
        <v>3430</v>
      </c>
      <c r="G177" s="9">
        <v>566</v>
      </c>
      <c r="H177" s="9">
        <v>164</v>
      </c>
      <c r="I177" s="9">
        <v>48020</v>
      </c>
      <c r="J177" s="9">
        <v>47305</v>
      </c>
      <c r="K177" s="9">
        <v>120</v>
      </c>
      <c r="L177" s="18" t="s">
        <v>62</v>
      </c>
      <c r="M177" s="20"/>
      <c r="N177" s="9">
        <v>5.6486000000000001</v>
      </c>
    </row>
    <row r="178" spans="1:14" x14ac:dyDescent="0.3">
      <c r="A178" s="13" t="s">
        <v>353</v>
      </c>
      <c r="B178" s="14" t="s">
        <v>33</v>
      </c>
      <c r="C178" s="15">
        <v>45755</v>
      </c>
      <c r="D178" s="14" t="s">
        <v>52</v>
      </c>
      <c r="E178" s="14" t="s">
        <v>215</v>
      </c>
      <c r="F178" s="8">
        <v>4501</v>
      </c>
      <c r="G178" s="8">
        <v>375</v>
      </c>
      <c r="H178" s="8">
        <v>323</v>
      </c>
      <c r="I178" s="8">
        <v>22505</v>
      </c>
      <c r="J178" s="8">
        <v>21836</v>
      </c>
      <c r="K178" s="8">
        <v>132</v>
      </c>
      <c r="L178" s="14" t="s">
        <v>30</v>
      </c>
      <c r="M178" s="16" t="s">
        <v>25</v>
      </c>
      <c r="N178" s="8">
        <v>5.7155999999999993</v>
      </c>
    </row>
    <row r="179" spans="1:14" x14ac:dyDescent="0.3">
      <c r="A179" s="17" t="s">
        <v>355</v>
      </c>
      <c r="B179" s="18" t="s">
        <v>27</v>
      </c>
      <c r="C179" s="19">
        <v>45715</v>
      </c>
      <c r="D179" s="18" t="s">
        <v>22</v>
      </c>
      <c r="E179" s="18" t="s">
        <v>104</v>
      </c>
      <c r="F179" s="9">
        <v>4934</v>
      </c>
      <c r="G179" s="9">
        <v>971</v>
      </c>
      <c r="H179" s="9">
        <v>156</v>
      </c>
      <c r="I179" s="9">
        <v>39472</v>
      </c>
      <c r="J179" s="9">
        <v>39025</v>
      </c>
      <c r="K179" s="9">
        <v>169</v>
      </c>
      <c r="L179" s="18" t="s">
        <v>30</v>
      </c>
      <c r="M179" s="20" t="s">
        <v>38</v>
      </c>
      <c r="N179" s="9">
        <v>5.7155999999999993</v>
      </c>
    </row>
    <row r="180" spans="1:14" x14ac:dyDescent="0.3">
      <c r="A180" s="13" t="s">
        <v>355</v>
      </c>
      <c r="B180" s="14" t="s">
        <v>27</v>
      </c>
      <c r="C180" s="15">
        <v>45715</v>
      </c>
      <c r="D180" s="14" t="s">
        <v>22</v>
      </c>
      <c r="E180" s="14" t="s">
        <v>104</v>
      </c>
      <c r="F180" s="8">
        <v>4934</v>
      </c>
      <c r="G180" s="8">
        <v>971</v>
      </c>
      <c r="H180" s="8">
        <v>156</v>
      </c>
      <c r="I180" s="8">
        <v>39472</v>
      </c>
      <c r="J180" s="8">
        <v>39025</v>
      </c>
      <c r="K180" s="8">
        <v>169</v>
      </c>
      <c r="L180" s="14" t="s">
        <v>613</v>
      </c>
      <c r="M180" s="16" t="s">
        <v>38</v>
      </c>
      <c r="N180" s="8">
        <v>5.6486000000000001</v>
      </c>
    </row>
    <row r="181" spans="1:14" x14ac:dyDescent="0.3">
      <c r="A181" s="17" t="s">
        <v>356</v>
      </c>
      <c r="B181" s="18" t="s">
        <v>14</v>
      </c>
      <c r="C181" s="19">
        <v>45637</v>
      </c>
      <c r="D181" s="18" t="s">
        <v>22</v>
      </c>
      <c r="E181" s="18" t="s">
        <v>23</v>
      </c>
      <c r="F181" s="9">
        <v>3239</v>
      </c>
      <c r="G181" s="9">
        <v>43</v>
      </c>
      <c r="H181" s="9">
        <v>211</v>
      </c>
      <c r="I181" s="9">
        <v>22673</v>
      </c>
      <c r="J181" s="9">
        <v>22171</v>
      </c>
      <c r="K181" s="9">
        <v>230</v>
      </c>
      <c r="L181" s="18" t="s">
        <v>30</v>
      </c>
      <c r="M181" s="20" t="s">
        <v>25</v>
      </c>
      <c r="N181" s="9">
        <v>5.5587999999999997</v>
      </c>
    </row>
    <row r="182" spans="1:14" x14ac:dyDescent="0.3">
      <c r="A182" s="13" t="s">
        <v>357</v>
      </c>
      <c r="B182" s="14" t="s">
        <v>14</v>
      </c>
      <c r="C182" s="15">
        <v>45704</v>
      </c>
      <c r="D182" s="14" t="s">
        <v>16</v>
      </c>
      <c r="E182" s="14" t="s">
        <v>17</v>
      </c>
      <c r="F182" s="8">
        <v>1076</v>
      </c>
      <c r="G182" s="8">
        <v>313</v>
      </c>
      <c r="H182" s="8">
        <v>306</v>
      </c>
      <c r="I182" s="8">
        <v>11836</v>
      </c>
      <c r="J182" s="8">
        <v>11596</v>
      </c>
      <c r="K182" s="8">
        <v>104</v>
      </c>
      <c r="L182" s="14" t="s">
        <v>62</v>
      </c>
      <c r="M182" s="16" t="s">
        <v>19</v>
      </c>
      <c r="N182" s="8">
        <v>5.5587999999999997</v>
      </c>
    </row>
    <row r="183" spans="1:14" x14ac:dyDescent="0.3">
      <c r="A183" s="17" t="s">
        <v>358</v>
      </c>
      <c r="B183" s="18" t="s">
        <v>33</v>
      </c>
      <c r="C183" s="19">
        <v>45624</v>
      </c>
      <c r="D183" s="18" t="s">
        <v>22</v>
      </c>
      <c r="E183" s="18" t="s">
        <v>113</v>
      </c>
      <c r="F183" s="9">
        <v>4771</v>
      </c>
      <c r="G183" s="9">
        <v>818</v>
      </c>
      <c r="H183" s="9">
        <v>56</v>
      </c>
      <c r="I183" s="9">
        <v>57252</v>
      </c>
      <c r="J183" s="9">
        <v>56378</v>
      </c>
      <c r="K183" s="9">
        <v>150</v>
      </c>
      <c r="L183" s="18" t="s">
        <v>62</v>
      </c>
      <c r="M183" s="20"/>
      <c r="N183" s="9">
        <v>5.6486000000000001</v>
      </c>
    </row>
    <row r="184" spans="1:14" x14ac:dyDescent="0.3">
      <c r="A184" s="13" t="s">
        <v>359</v>
      </c>
      <c r="B184" s="14" t="s">
        <v>43</v>
      </c>
      <c r="C184" s="15">
        <v>45608</v>
      </c>
      <c r="D184" s="14" t="s">
        <v>22</v>
      </c>
      <c r="E184" s="14" t="s">
        <v>56</v>
      </c>
      <c r="F184" s="8">
        <v>2418</v>
      </c>
      <c r="G184" s="8">
        <v>754</v>
      </c>
      <c r="H184" s="8">
        <v>54</v>
      </c>
      <c r="I184" s="8">
        <v>43524</v>
      </c>
      <c r="J184" s="8">
        <v>42743</v>
      </c>
      <c r="K184" s="8">
        <v>182</v>
      </c>
      <c r="L184" s="14" t="s">
        <v>37</v>
      </c>
      <c r="M184" s="16" t="s">
        <v>19</v>
      </c>
      <c r="N184" s="8">
        <v>5.7155999999999993</v>
      </c>
    </row>
    <row r="185" spans="1:14" x14ac:dyDescent="0.3">
      <c r="A185" s="17" t="s">
        <v>361</v>
      </c>
      <c r="B185" s="18" t="s">
        <v>27</v>
      </c>
      <c r="C185" s="19">
        <v>45629</v>
      </c>
      <c r="D185" s="18" t="s">
        <v>74</v>
      </c>
      <c r="E185" s="18" t="s">
        <v>219</v>
      </c>
      <c r="F185" s="9">
        <v>3809</v>
      </c>
      <c r="G185" s="9">
        <v>273</v>
      </c>
      <c r="H185" s="9">
        <v>200</v>
      </c>
      <c r="I185" s="9">
        <v>34281</v>
      </c>
      <c r="J185" s="9">
        <v>33534</v>
      </c>
      <c r="K185" s="9">
        <v>83</v>
      </c>
      <c r="L185" s="18" t="s">
        <v>37</v>
      </c>
      <c r="M185" s="20" t="s">
        <v>19</v>
      </c>
      <c r="N185" s="9">
        <v>5.6557999999999993</v>
      </c>
    </row>
    <row r="186" spans="1:14" x14ac:dyDescent="0.3">
      <c r="A186" s="13" t="s">
        <v>363</v>
      </c>
      <c r="B186" s="14" t="s">
        <v>14</v>
      </c>
      <c r="C186" s="15">
        <v>45775</v>
      </c>
      <c r="D186" s="14" t="s">
        <v>22</v>
      </c>
      <c r="E186" s="14" t="s">
        <v>23</v>
      </c>
      <c r="F186" s="8">
        <v>3577</v>
      </c>
      <c r="G186" s="8">
        <v>596</v>
      </c>
      <c r="H186" s="8">
        <v>493</v>
      </c>
      <c r="I186" s="8">
        <v>67963</v>
      </c>
      <c r="J186" s="8">
        <v>67839</v>
      </c>
      <c r="K186" s="8">
        <v>53</v>
      </c>
      <c r="L186" s="14" t="s">
        <v>30</v>
      </c>
      <c r="M186" s="16" t="s">
        <v>31</v>
      </c>
      <c r="N186" s="8">
        <v>5.7155999999999993</v>
      </c>
    </row>
    <row r="187" spans="1:14" x14ac:dyDescent="0.3">
      <c r="A187" s="17" t="s">
        <v>365</v>
      </c>
      <c r="B187" s="18" t="s">
        <v>27</v>
      </c>
      <c r="C187" s="19">
        <v>45657</v>
      </c>
      <c r="D187" s="18" t="s">
        <v>74</v>
      </c>
      <c r="E187" s="18" t="s">
        <v>219</v>
      </c>
      <c r="F187" s="9">
        <v>1018</v>
      </c>
      <c r="G187" s="9">
        <v>447</v>
      </c>
      <c r="H187" s="9">
        <v>332</v>
      </c>
      <c r="I187" s="9">
        <v>18324</v>
      </c>
      <c r="J187" s="9">
        <v>18164</v>
      </c>
      <c r="K187" s="9">
        <v>38</v>
      </c>
      <c r="L187" s="18" t="s">
        <v>62</v>
      </c>
      <c r="M187" s="20" t="s">
        <v>25</v>
      </c>
      <c r="N187" s="9">
        <v>5.6486000000000001</v>
      </c>
    </row>
    <row r="188" spans="1:14" x14ac:dyDescent="0.3">
      <c r="A188" s="13" t="s">
        <v>367</v>
      </c>
      <c r="B188" s="14" t="s">
        <v>43</v>
      </c>
      <c r="C188" s="15">
        <v>45518</v>
      </c>
      <c r="D188" s="14" t="s">
        <v>45</v>
      </c>
      <c r="E188" s="14" t="s">
        <v>46</v>
      </c>
      <c r="F188" s="8">
        <v>3073</v>
      </c>
      <c r="G188" s="8">
        <v>553</v>
      </c>
      <c r="H188" s="8">
        <v>174</v>
      </c>
      <c r="I188" s="8">
        <v>52241</v>
      </c>
      <c r="J188" s="8">
        <v>51605</v>
      </c>
      <c r="K188" s="8">
        <v>246</v>
      </c>
      <c r="L188" s="14" t="s">
        <v>37</v>
      </c>
      <c r="M188" s="16" t="s">
        <v>31</v>
      </c>
      <c r="N188" s="8">
        <v>5.6557999999999993</v>
      </c>
    </row>
    <row r="189" spans="1:14" x14ac:dyDescent="0.3">
      <c r="A189" s="17" t="s">
        <v>369</v>
      </c>
      <c r="B189" s="18" t="s">
        <v>14</v>
      </c>
      <c r="C189" s="19">
        <v>45631</v>
      </c>
      <c r="D189" s="18" t="s">
        <v>74</v>
      </c>
      <c r="E189" s="18" t="s">
        <v>145</v>
      </c>
      <c r="F189" s="9">
        <v>1330</v>
      </c>
      <c r="G189" s="9">
        <v>925</v>
      </c>
      <c r="H189" s="9">
        <v>35</v>
      </c>
      <c r="I189" s="9">
        <v>15960</v>
      </c>
      <c r="J189" s="9">
        <v>15379</v>
      </c>
      <c r="K189" s="9">
        <v>229</v>
      </c>
      <c r="L189" s="18" t="s">
        <v>62</v>
      </c>
      <c r="M189" s="20" t="s">
        <v>31</v>
      </c>
      <c r="N189" s="9">
        <v>5.5587999999999997</v>
      </c>
    </row>
    <row r="190" spans="1:14" x14ac:dyDescent="0.3">
      <c r="A190" s="13" t="s">
        <v>371</v>
      </c>
      <c r="B190" s="14" t="s">
        <v>43</v>
      </c>
      <c r="C190" s="15">
        <v>45465</v>
      </c>
      <c r="D190" s="14" t="s">
        <v>22</v>
      </c>
      <c r="E190" s="14" t="s">
        <v>56</v>
      </c>
      <c r="F190" s="8">
        <v>3828</v>
      </c>
      <c r="G190" s="8">
        <v>148</v>
      </c>
      <c r="H190" s="8">
        <v>253</v>
      </c>
      <c r="I190" s="8">
        <v>30624</v>
      </c>
      <c r="J190" s="8">
        <v>30229</v>
      </c>
      <c r="K190" s="8">
        <v>235</v>
      </c>
      <c r="L190" s="14" t="s">
        <v>37</v>
      </c>
      <c r="M190" s="16"/>
      <c r="N190" s="8">
        <v>5.6486000000000001</v>
      </c>
    </row>
    <row r="191" spans="1:14" x14ac:dyDescent="0.3">
      <c r="A191" s="17" t="s">
        <v>372</v>
      </c>
      <c r="B191" s="18" t="s">
        <v>33</v>
      </c>
      <c r="C191" s="19">
        <v>45674</v>
      </c>
      <c r="D191" s="18" t="s">
        <v>16</v>
      </c>
      <c r="E191" s="18" t="s">
        <v>82</v>
      </c>
      <c r="F191" s="9">
        <v>142</v>
      </c>
      <c r="G191" s="9">
        <v>784</v>
      </c>
      <c r="H191" s="9">
        <v>183</v>
      </c>
      <c r="I191" s="9">
        <v>1704</v>
      </c>
      <c r="J191" s="9">
        <v>995</v>
      </c>
      <c r="K191" s="9">
        <v>154</v>
      </c>
      <c r="L191" s="18" t="s">
        <v>62</v>
      </c>
      <c r="M191" s="20" t="s">
        <v>38</v>
      </c>
      <c r="N191" s="9">
        <v>5.5587999999999997</v>
      </c>
    </row>
    <row r="192" spans="1:14" x14ac:dyDescent="0.3">
      <c r="A192" s="13" t="s">
        <v>374</v>
      </c>
      <c r="B192" s="14" t="s">
        <v>43</v>
      </c>
      <c r="C192" s="15">
        <v>45463</v>
      </c>
      <c r="D192" s="14" t="s">
        <v>74</v>
      </c>
      <c r="E192" s="14" t="s">
        <v>75</v>
      </c>
      <c r="F192" s="8">
        <v>3798</v>
      </c>
      <c r="G192" s="8">
        <v>31</v>
      </c>
      <c r="H192" s="8">
        <v>279</v>
      </c>
      <c r="I192" s="8">
        <v>75960</v>
      </c>
      <c r="J192" s="8">
        <v>75813</v>
      </c>
      <c r="K192" s="8">
        <v>266</v>
      </c>
      <c r="L192" s="14" t="s">
        <v>30</v>
      </c>
      <c r="M192" s="16" t="s">
        <v>19</v>
      </c>
      <c r="N192" s="8">
        <v>5.5587999999999997</v>
      </c>
    </row>
    <row r="193" spans="1:14" x14ac:dyDescent="0.3">
      <c r="A193" s="17" t="s">
        <v>376</v>
      </c>
      <c r="B193" s="18" t="s">
        <v>33</v>
      </c>
      <c r="C193" s="19">
        <v>45483</v>
      </c>
      <c r="D193" s="18" t="s">
        <v>45</v>
      </c>
      <c r="E193" s="18" t="s">
        <v>88</v>
      </c>
      <c r="F193" s="9">
        <v>3099</v>
      </c>
      <c r="G193" s="9">
        <v>694</v>
      </c>
      <c r="H193" s="9">
        <v>171</v>
      </c>
      <c r="I193" s="9">
        <v>43386</v>
      </c>
      <c r="J193" s="9">
        <v>42921</v>
      </c>
      <c r="K193" s="9">
        <v>52</v>
      </c>
      <c r="L193" s="18" t="s">
        <v>30</v>
      </c>
      <c r="M193" s="20" t="s">
        <v>31</v>
      </c>
      <c r="N193" s="9">
        <v>5.7155999999999993</v>
      </c>
    </row>
    <row r="194" spans="1:14" x14ac:dyDescent="0.3">
      <c r="A194" s="13" t="s">
        <v>378</v>
      </c>
      <c r="B194" s="14" t="s">
        <v>33</v>
      </c>
      <c r="C194" s="15">
        <v>45603</v>
      </c>
      <c r="D194" s="14" t="s">
        <v>74</v>
      </c>
      <c r="E194" s="14" t="s">
        <v>85</v>
      </c>
      <c r="F194" s="8">
        <v>129</v>
      </c>
      <c r="G194" s="8">
        <v>643</v>
      </c>
      <c r="H194" s="8">
        <v>136</v>
      </c>
      <c r="I194" s="8">
        <v>1290</v>
      </c>
      <c r="J194" s="8">
        <v>839</v>
      </c>
      <c r="K194" s="8">
        <v>238</v>
      </c>
      <c r="L194" s="14" t="s">
        <v>30</v>
      </c>
      <c r="M194" s="16" t="s">
        <v>38</v>
      </c>
      <c r="N194" s="8">
        <v>5.6557999999999993</v>
      </c>
    </row>
    <row r="195" spans="1:14" x14ac:dyDescent="0.3">
      <c r="A195" s="17" t="s">
        <v>379</v>
      </c>
      <c r="B195" s="18" t="s">
        <v>43</v>
      </c>
      <c r="C195" s="19">
        <v>45488</v>
      </c>
      <c r="D195" s="18" t="s">
        <v>45</v>
      </c>
      <c r="E195" s="18" t="s">
        <v>46</v>
      </c>
      <c r="F195" s="9">
        <v>3796</v>
      </c>
      <c r="G195" s="9">
        <v>667</v>
      </c>
      <c r="H195" s="9">
        <v>395</v>
      </c>
      <c r="I195" s="9">
        <v>64532</v>
      </c>
      <c r="J195" s="9">
        <v>63550</v>
      </c>
      <c r="K195" s="9">
        <v>292</v>
      </c>
      <c r="L195" s="18" t="s">
        <v>30</v>
      </c>
      <c r="M195" s="20"/>
      <c r="N195" s="9">
        <v>5.5587999999999997</v>
      </c>
    </row>
    <row r="196" spans="1:14" x14ac:dyDescent="0.3">
      <c r="A196" s="13" t="s">
        <v>380</v>
      </c>
      <c r="B196" s="14" t="s">
        <v>27</v>
      </c>
      <c r="C196" s="15">
        <v>45629</v>
      </c>
      <c r="D196" s="14" t="s">
        <v>22</v>
      </c>
      <c r="E196" s="14" t="s">
        <v>104</v>
      </c>
      <c r="F196" s="8">
        <v>3711</v>
      </c>
      <c r="G196" s="8">
        <v>352</v>
      </c>
      <c r="H196" s="8">
        <v>290</v>
      </c>
      <c r="I196" s="8">
        <v>48243</v>
      </c>
      <c r="J196" s="8">
        <v>47579</v>
      </c>
      <c r="K196" s="8">
        <v>11</v>
      </c>
      <c r="L196" s="14" t="s">
        <v>30</v>
      </c>
      <c r="M196" s="16" t="s">
        <v>19</v>
      </c>
      <c r="N196" s="8">
        <v>5.7155999999999993</v>
      </c>
    </row>
    <row r="197" spans="1:14" x14ac:dyDescent="0.3">
      <c r="A197" s="17" t="s">
        <v>381</v>
      </c>
      <c r="B197" s="18" t="s">
        <v>27</v>
      </c>
      <c r="C197" s="19">
        <v>45737</v>
      </c>
      <c r="D197" s="18" t="s">
        <v>52</v>
      </c>
      <c r="E197" s="18" t="s">
        <v>53</v>
      </c>
      <c r="F197" s="9">
        <v>606</v>
      </c>
      <c r="G197" s="9">
        <v>789</v>
      </c>
      <c r="H197" s="9">
        <v>470</v>
      </c>
      <c r="I197" s="9">
        <v>7878</v>
      </c>
      <c r="J197" s="9">
        <v>7389</v>
      </c>
      <c r="K197" s="9">
        <v>239</v>
      </c>
      <c r="L197" s="18" t="s">
        <v>37</v>
      </c>
      <c r="M197" s="20" t="s">
        <v>31</v>
      </c>
      <c r="N197" s="9">
        <v>5.7155999999999993</v>
      </c>
    </row>
    <row r="198" spans="1:14" x14ac:dyDescent="0.3">
      <c r="A198" s="13" t="s">
        <v>383</v>
      </c>
      <c r="B198" s="14" t="s">
        <v>43</v>
      </c>
      <c r="C198" s="15">
        <v>45504</v>
      </c>
      <c r="D198" s="14" t="s">
        <v>52</v>
      </c>
      <c r="E198" s="14" t="s">
        <v>59</v>
      </c>
      <c r="F198" s="8">
        <v>4689</v>
      </c>
      <c r="G198" s="8">
        <v>134</v>
      </c>
      <c r="H198" s="8">
        <v>403</v>
      </c>
      <c r="I198" s="8">
        <v>51579</v>
      </c>
      <c r="J198" s="8">
        <v>50924</v>
      </c>
      <c r="K198" s="8">
        <v>173</v>
      </c>
      <c r="L198" s="14" t="s">
        <v>30</v>
      </c>
      <c r="M198" s="16" t="s">
        <v>38</v>
      </c>
      <c r="N198" s="8">
        <v>5.6557999999999993</v>
      </c>
    </row>
    <row r="199" spans="1:14" x14ac:dyDescent="0.3">
      <c r="A199" s="17" t="s">
        <v>384</v>
      </c>
      <c r="B199" s="18" t="s">
        <v>33</v>
      </c>
      <c r="C199" s="19">
        <v>45643</v>
      </c>
      <c r="D199" s="18" t="s">
        <v>35</v>
      </c>
      <c r="E199" s="18" t="s">
        <v>36</v>
      </c>
      <c r="F199" s="9">
        <v>360</v>
      </c>
      <c r="G199" s="9">
        <v>590</v>
      </c>
      <c r="H199" s="9">
        <v>393</v>
      </c>
      <c r="I199" s="9">
        <v>4680</v>
      </c>
      <c r="J199" s="9">
        <v>4322</v>
      </c>
      <c r="K199" s="9">
        <v>208</v>
      </c>
      <c r="L199" s="18" t="s">
        <v>62</v>
      </c>
      <c r="M199" s="20" t="s">
        <v>25</v>
      </c>
      <c r="N199" s="9">
        <v>5.6557999999999993</v>
      </c>
    </row>
    <row r="200" spans="1:14" x14ac:dyDescent="0.3">
      <c r="A200" s="13" t="s">
        <v>386</v>
      </c>
      <c r="B200" s="14" t="s">
        <v>14</v>
      </c>
      <c r="C200" s="15">
        <v>45501</v>
      </c>
      <c r="D200" s="14" t="s">
        <v>52</v>
      </c>
      <c r="E200" s="14" t="s">
        <v>132</v>
      </c>
      <c r="F200" s="8">
        <v>3215</v>
      </c>
      <c r="G200" s="8">
        <v>960</v>
      </c>
      <c r="H200" s="8">
        <v>202</v>
      </c>
      <c r="I200" s="8">
        <v>32150</v>
      </c>
      <c r="J200" s="8">
        <v>31404</v>
      </c>
      <c r="K200" s="8">
        <v>251</v>
      </c>
      <c r="L200" s="14" t="s">
        <v>37</v>
      </c>
      <c r="M200" s="16" t="s">
        <v>19</v>
      </c>
      <c r="N200" s="8">
        <v>5.5587999999999997</v>
      </c>
    </row>
    <row r="201" spans="1:14" x14ac:dyDescent="0.3">
      <c r="A201" s="17" t="s">
        <v>388</v>
      </c>
      <c r="B201" s="18" t="s">
        <v>33</v>
      </c>
      <c r="C201" s="19">
        <v>45668</v>
      </c>
      <c r="D201" s="18" t="s">
        <v>45</v>
      </c>
      <c r="E201" s="18" t="s">
        <v>88</v>
      </c>
      <c r="F201" s="9">
        <v>4523</v>
      </c>
      <c r="G201" s="9">
        <v>61</v>
      </c>
      <c r="H201" s="9">
        <v>157</v>
      </c>
      <c r="I201" s="9">
        <v>49753</v>
      </c>
      <c r="J201" s="9">
        <v>49329</v>
      </c>
      <c r="K201" s="9">
        <v>71</v>
      </c>
      <c r="L201" s="18" t="s">
        <v>37</v>
      </c>
      <c r="M201" s="20"/>
      <c r="N201" s="9">
        <v>5.6486000000000001</v>
      </c>
    </row>
    <row r="202" spans="1:14" x14ac:dyDescent="0.3">
      <c r="A202" s="13" t="s">
        <v>390</v>
      </c>
      <c r="B202" s="14" t="s">
        <v>43</v>
      </c>
      <c r="C202" s="15">
        <v>45528</v>
      </c>
      <c r="D202" s="14" t="s">
        <v>45</v>
      </c>
      <c r="E202" s="14" t="s">
        <v>46</v>
      </c>
      <c r="F202" s="8">
        <v>4292</v>
      </c>
      <c r="G202" s="8">
        <v>51</v>
      </c>
      <c r="H202" s="8">
        <v>392</v>
      </c>
      <c r="I202" s="8">
        <v>55796</v>
      </c>
      <c r="J202" s="8">
        <v>54826</v>
      </c>
      <c r="K202" s="8">
        <v>264</v>
      </c>
      <c r="L202" s="14" t="s">
        <v>37</v>
      </c>
      <c r="M202" s="16" t="s">
        <v>31</v>
      </c>
      <c r="N202" s="8">
        <v>5.6557999999999993</v>
      </c>
    </row>
    <row r="203" spans="1:14" x14ac:dyDescent="0.3">
      <c r="A203" s="17" t="s">
        <v>391</v>
      </c>
      <c r="B203" s="18" t="s">
        <v>14</v>
      </c>
      <c r="C203" s="19">
        <v>45648</v>
      </c>
      <c r="D203" s="18" t="s">
        <v>16</v>
      </c>
      <c r="E203" s="18" t="s">
        <v>17</v>
      </c>
      <c r="F203" s="9">
        <v>1644</v>
      </c>
      <c r="G203" s="9">
        <v>546</v>
      </c>
      <c r="H203" s="9">
        <v>150</v>
      </c>
      <c r="I203" s="9">
        <v>27948</v>
      </c>
      <c r="J203" s="9">
        <v>27184</v>
      </c>
      <c r="K203" s="9">
        <v>300</v>
      </c>
      <c r="L203" s="18" t="s">
        <v>37</v>
      </c>
      <c r="M203" s="20" t="s">
        <v>31</v>
      </c>
      <c r="N203" s="9">
        <v>5.6486000000000001</v>
      </c>
    </row>
    <row r="204" spans="1:14" x14ac:dyDescent="0.3">
      <c r="A204" s="13" t="s">
        <v>393</v>
      </c>
      <c r="B204" s="14" t="s">
        <v>27</v>
      </c>
      <c r="C204" s="15">
        <v>45449</v>
      </c>
      <c r="D204" s="14" t="s">
        <v>16</v>
      </c>
      <c r="E204" s="14" t="s">
        <v>29</v>
      </c>
      <c r="F204" s="8">
        <v>2728</v>
      </c>
      <c r="G204" s="8">
        <v>533</v>
      </c>
      <c r="H204" s="8">
        <v>215</v>
      </c>
      <c r="I204" s="8">
        <v>40920</v>
      </c>
      <c r="J204" s="8">
        <v>40816</v>
      </c>
      <c r="K204" s="8">
        <v>137</v>
      </c>
      <c r="L204" s="14" t="s">
        <v>62</v>
      </c>
      <c r="M204" s="16" t="s">
        <v>25</v>
      </c>
      <c r="N204" s="8">
        <v>5.7155999999999993</v>
      </c>
    </row>
    <row r="205" spans="1:14" x14ac:dyDescent="0.3">
      <c r="A205" s="17" t="s">
        <v>394</v>
      </c>
      <c r="B205" s="18" t="s">
        <v>43</v>
      </c>
      <c r="C205" s="19">
        <v>45740</v>
      </c>
      <c r="D205" s="18" t="s">
        <v>16</v>
      </c>
      <c r="E205" s="18" t="s">
        <v>65</v>
      </c>
      <c r="F205" s="9">
        <v>3360</v>
      </c>
      <c r="G205" s="9">
        <v>525</v>
      </c>
      <c r="H205" s="9">
        <v>500</v>
      </c>
      <c r="I205" s="9">
        <v>60480</v>
      </c>
      <c r="J205" s="9">
        <v>59610</v>
      </c>
      <c r="K205" s="9">
        <v>192</v>
      </c>
      <c r="L205" s="18" t="s">
        <v>30</v>
      </c>
      <c r="M205" s="20" t="s">
        <v>19</v>
      </c>
      <c r="N205" s="9">
        <v>5.7155999999999993</v>
      </c>
    </row>
    <row r="206" spans="1:14" x14ac:dyDescent="0.3">
      <c r="A206" s="13" t="s">
        <v>395</v>
      </c>
      <c r="B206" s="14" t="s">
        <v>27</v>
      </c>
      <c r="C206" s="15">
        <v>45569</v>
      </c>
      <c r="D206" s="14" t="s">
        <v>22</v>
      </c>
      <c r="E206" s="14" t="s">
        <v>104</v>
      </c>
      <c r="F206" s="8">
        <v>1963</v>
      </c>
      <c r="G206" s="8">
        <v>213</v>
      </c>
      <c r="H206" s="8">
        <v>19</v>
      </c>
      <c r="I206" s="8">
        <v>39260</v>
      </c>
      <c r="J206" s="8">
        <v>38771</v>
      </c>
      <c r="K206" s="8">
        <v>145</v>
      </c>
      <c r="L206" s="14" t="s">
        <v>62</v>
      </c>
      <c r="M206" s="16"/>
      <c r="N206" s="8">
        <v>5.6557999999999993</v>
      </c>
    </row>
    <row r="207" spans="1:14" x14ac:dyDescent="0.3">
      <c r="A207" s="17" t="s">
        <v>397</v>
      </c>
      <c r="B207" s="18" t="s">
        <v>27</v>
      </c>
      <c r="C207" s="19">
        <v>45629</v>
      </c>
      <c r="D207" s="18" t="s">
        <v>35</v>
      </c>
      <c r="E207" s="18" t="s">
        <v>154</v>
      </c>
      <c r="F207" s="9">
        <v>4285</v>
      </c>
      <c r="G207" s="9">
        <v>886</v>
      </c>
      <c r="H207" s="9">
        <v>376</v>
      </c>
      <c r="I207" s="9">
        <v>55705</v>
      </c>
      <c r="J207" s="9">
        <v>55556</v>
      </c>
      <c r="K207" s="9">
        <v>51</v>
      </c>
      <c r="L207" s="18" t="s">
        <v>62</v>
      </c>
      <c r="M207" s="20" t="s">
        <v>31</v>
      </c>
      <c r="N207" s="9">
        <v>5.6557999999999993</v>
      </c>
    </row>
    <row r="208" spans="1:14" x14ac:dyDescent="0.3">
      <c r="A208" s="13" t="s">
        <v>398</v>
      </c>
      <c r="B208" s="14" t="s">
        <v>33</v>
      </c>
      <c r="C208" s="15">
        <v>45625</v>
      </c>
      <c r="D208" s="14" t="s">
        <v>74</v>
      </c>
      <c r="E208" s="14" t="s">
        <v>85</v>
      </c>
      <c r="F208" s="8">
        <v>1176</v>
      </c>
      <c r="G208" s="8">
        <v>464</v>
      </c>
      <c r="H208" s="8">
        <v>394</v>
      </c>
      <c r="I208" s="8">
        <v>14112</v>
      </c>
      <c r="J208" s="8">
        <v>13588</v>
      </c>
      <c r="K208" s="8">
        <v>272</v>
      </c>
      <c r="L208" s="14" t="s">
        <v>37</v>
      </c>
      <c r="M208" s="16"/>
      <c r="N208" s="8">
        <v>5.6557999999999993</v>
      </c>
    </row>
    <row r="209" spans="1:14" x14ac:dyDescent="0.3">
      <c r="A209" s="17" t="s">
        <v>400</v>
      </c>
      <c r="B209" s="18" t="s">
        <v>14</v>
      </c>
      <c r="C209" s="19">
        <v>45546</v>
      </c>
      <c r="D209" s="18" t="s">
        <v>52</v>
      </c>
      <c r="E209" s="18" t="s">
        <v>132</v>
      </c>
      <c r="F209" s="9">
        <v>4858</v>
      </c>
      <c r="G209" s="9">
        <v>317</v>
      </c>
      <c r="H209" s="9">
        <v>129</v>
      </c>
      <c r="I209" s="9">
        <v>53438</v>
      </c>
      <c r="J209" s="9">
        <v>52687</v>
      </c>
      <c r="K209" s="9">
        <v>223</v>
      </c>
      <c r="L209" s="18" t="s">
        <v>37</v>
      </c>
      <c r="M209" s="20" t="s">
        <v>31</v>
      </c>
      <c r="N209" s="9">
        <v>5.5587999999999997</v>
      </c>
    </row>
    <row r="210" spans="1:14" x14ac:dyDescent="0.3">
      <c r="A210" s="13" t="s">
        <v>402</v>
      </c>
      <c r="B210" s="14" t="s">
        <v>27</v>
      </c>
      <c r="C210" s="15">
        <v>45567</v>
      </c>
      <c r="D210" s="14" t="s">
        <v>35</v>
      </c>
      <c r="E210" s="14" t="s">
        <v>154</v>
      </c>
      <c r="F210" s="8">
        <v>4350</v>
      </c>
      <c r="G210" s="8">
        <v>771</v>
      </c>
      <c r="H210" s="8">
        <v>7</v>
      </c>
      <c r="I210" s="8">
        <v>60900</v>
      </c>
      <c r="J210" s="8">
        <v>60592</v>
      </c>
      <c r="K210" s="8">
        <v>195</v>
      </c>
      <c r="L210" s="14" t="s">
        <v>37</v>
      </c>
      <c r="M210" s="16" t="s">
        <v>19</v>
      </c>
      <c r="N210" s="8">
        <v>5.6557999999999993</v>
      </c>
    </row>
    <row r="211" spans="1:14" x14ac:dyDescent="0.3">
      <c r="A211" s="17" t="s">
        <v>403</v>
      </c>
      <c r="B211" s="18" t="s">
        <v>33</v>
      </c>
      <c r="C211" s="19">
        <v>45519</v>
      </c>
      <c r="D211" s="18" t="s">
        <v>45</v>
      </c>
      <c r="E211" s="18" t="s">
        <v>88</v>
      </c>
      <c r="F211" s="9">
        <v>914</v>
      </c>
      <c r="G211" s="9">
        <v>464</v>
      </c>
      <c r="H211" s="9">
        <v>246</v>
      </c>
      <c r="I211" s="9">
        <v>11882</v>
      </c>
      <c r="J211" s="9">
        <v>11500</v>
      </c>
      <c r="K211" s="9">
        <v>282</v>
      </c>
      <c r="L211" s="18" t="s">
        <v>62</v>
      </c>
      <c r="M211" s="20" t="s">
        <v>38</v>
      </c>
      <c r="N211" s="9">
        <v>5.5587999999999997</v>
      </c>
    </row>
    <row r="212" spans="1:14" x14ac:dyDescent="0.3">
      <c r="A212" s="13" t="s">
        <v>403</v>
      </c>
      <c r="B212" s="14" t="s">
        <v>33</v>
      </c>
      <c r="C212" s="15">
        <v>45519</v>
      </c>
      <c r="D212" s="14" t="s">
        <v>45</v>
      </c>
      <c r="E212" s="14" t="s">
        <v>88</v>
      </c>
      <c r="F212" s="8">
        <v>914</v>
      </c>
      <c r="G212" s="8">
        <v>464</v>
      </c>
      <c r="H212" s="8">
        <v>246</v>
      </c>
      <c r="I212" s="8">
        <v>11882</v>
      </c>
      <c r="J212" s="8">
        <v>11500</v>
      </c>
      <c r="K212" s="8">
        <v>282</v>
      </c>
      <c r="L212" s="14" t="s">
        <v>30</v>
      </c>
      <c r="M212" s="16" t="s">
        <v>38</v>
      </c>
      <c r="N212" s="8">
        <v>5.6557999999999993</v>
      </c>
    </row>
    <row r="213" spans="1:14" x14ac:dyDescent="0.3">
      <c r="A213" s="17" t="s">
        <v>403</v>
      </c>
      <c r="B213" s="18" t="s">
        <v>33</v>
      </c>
      <c r="C213" s="19">
        <v>45519</v>
      </c>
      <c r="D213" s="18" t="s">
        <v>45</v>
      </c>
      <c r="E213" s="18" t="s">
        <v>88</v>
      </c>
      <c r="F213" s="9">
        <v>914</v>
      </c>
      <c r="G213" s="9">
        <v>464</v>
      </c>
      <c r="H213" s="9">
        <v>246</v>
      </c>
      <c r="I213" s="9">
        <v>11882</v>
      </c>
      <c r="J213" s="9">
        <v>11500</v>
      </c>
      <c r="K213" s="9">
        <v>282</v>
      </c>
      <c r="L213" s="18" t="s">
        <v>613</v>
      </c>
      <c r="M213" s="20" t="s">
        <v>38</v>
      </c>
      <c r="N213" s="9">
        <v>5.5587999999999997</v>
      </c>
    </row>
    <row r="214" spans="1:14" x14ac:dyDescent="0.3">
      <c r="A214" s="13" t="s">
        <v>405</v>
      </c>
      <c r="B214" s="14" t="s">
        <v>33</v>
      </c>
      <c r="C214" s="15">
        <v>45645</v>
      </c>
      <c r="D214" s="14" t="s">
        <v>22</v>
      </c>
      <c r="E214" s="14" t="s">
        <v>113</v>
      </c>
      <c r="F214" s="8">
        <v>1813</v>
      </c>
      <c r="G214" s="8">
        <v>623</v>
      </c>
      <c r="H214" s="8">
        <v>72</v>
      </c>
      <c r="I214" s="8">
        <v>19943</v>
      </c>
      <c r="J214" s="8">
        <v>18959</v>
      </c>
      <c r="K214" s="8">
        <v>85</v>
      </c>
      <c r="L214" s="14" t="s">
        <v>37</v>
      </c>
      <c r="M214" s="16" t="s">
        <v>31</v>
      </c>
      <c r="N214" s="8">
        <v>5.6486000000000001</v>
      </c>
    </row>
    <row r="215" spans="1:14" x14ac:dyDescent="0.3">
      <c r="A215" s="17" t="s">
        <v>407</v>
      </c>
      <c r="B215" s="18" t="s">
        <v>14</v>
      </c>
      <c r="C215" s="19">
        <v>45587</v>
      </c>
      <c r="D215" s="18" t="s">
        <v>16</v>
      </c>
      <c r="E215" s="18" t="s">
        <v>17</v>
      </c>
      <c r="F215" s="9">
        <v>4782</v>
      </c>
      <c r="G215" s="9">
        <v>721</v>
      </c>
      <c r="H215" s="9">
        <v>82</v>
      </c>
      <c r="I215" s="9">
        <v>86076</v>
      </c>
      <c r="J215" s="9">
        <v>85339</v>
      </c>
      <c r="K215" s="9">
        <v>19</v>
      </c>
      <c r="L215" s="18" t="s">
        <v>37</v>
      </c>
      <c r="M215" s="20" t="s">
        <v>19</v>
      </c>
      <c r="N215" s="9">
        <v>5.7155999999999993</v>
      </c>
    </row>
    <row r="216" spans="1:14" x14ac:dyDescent="0.3">
      <c r="A216" s="13" t="s">
        <v>408</v>
      </c>
      <c r="B216" s="14" t="s">
        <v>14</v>
      </c>
      <c r="C216" s="15">
        <v>45549</v>
      </c>
      <c r="D216" s="14" t="s">
        <v>52</v>
      </c>
      <c r="E216" s="14" t="s">
        <v>132</v>
      </c>
      <c r="F216" s="8">
        <v>1048</v>
      </c>
      <c r="G216" s="8">
        <v>374</v>
      </c>
      <c r="H216" s="8">
        <v>450</v>
      </c>
      <c r="I216" s="8">
        <v>9432</v>
      </c>
      <c r="J216" s="8">
        <v>8882</v>
      </c>
      <c r="K216" s="8">
        <v>158</v>
      </c>
      <c r="L216" s="14" t="s">
        <v>30</v>
      </c>
      <c r="M216" s="16" t="s">
        <v>31</v>
      </c>
      <c r="N216" s="8">
        <v>5.6486000000000001</v>
      </c>
    </row>
    <row r="217" spans="1:14" x14ac:dyDescent="0.3">
      <c r="A217" s="17" t="s">
        <v>410</v>
      </c>
      <c r="B217" s="18" t="s">
        <v>27</v>
      </c>
      <c r="C217" s="19">
        <v>45626</v>
      </c>
      <c r="D217" s="18" t="s">
        <v>45</v>
      </c>
      <c r="E217" s="18" t="s">
        <v>68</v>
      </c>
      <c r="F217" s="9">
        <v>2509</v>
      </c>
      <c r="G217" s="9">
        <v>324</v>
      </c>
      <c r="H217" s="9">
        <v>171</v>
      </c>
      <c r="I217" s="9">
        <v>35126</v>
      </c>
      <c r="J217" s="9">
        <v>34685</v>
      </c>
      <c r="K217" s="9">
        <v>277</v>
      </c>
      <c r="L217" s="18" t="s">
        <v>30</v>
      </c>
      <c r="M217" s="20" t="s">
        <v>25</v>
      </c>
      <c r="N217" s="9">
        <v>5.5587999999999997</v>
      </c>
    </row>
    <row r="218" spans="1:14" x14ac:dyDescent="0.3">
      <c r="A218" s="13" t="s">
        <v>411</v>
      </c>
      <c r="B218" s="14" t="s">
        <v>43</v>
      </c>
      <c r="C218" s="15">
        <v>45754</v>
      </c>
      <c r="D218" s="14" t="s">
        <v>16</v>
      </c>
      <c r="E218" s="14" t="s">
        <v>65</v>
      </c>
      <c r="F218" s="8">
        <v>3718</v>
      </c>
      <c r="G218" s="8">
        <v>385</v>
      </c>
      <c r="H218" s="8">
        <v>310</v>
      </c>
      <c r="I218" s="8">
        <v>70642</v>
      </c>
      <c r="J218" s="8">
        <v>69749</v>
      </c>
      <c r="K218" s="8">
        <v>233</v>
      </c>
      <c r="L218" s="14" t="s">
        <v>30</v>
      </c>
      <c r="M218" s="16" t="s">
        <v>25</v>
      </c>
      <c r="N218" s="8">
        <v>5.6486000000000001</v>
      </c>
    </row>
    <row r="219" spans="1:14" x14ac:dyDescent="0.3">
      <c r="A219" s="17" t="s">
        <v>413</v>
      </c>
      <c r="B219" s="18" t="s">
        <v>14</v>
      </c>
      <c r="C219" s="19">
        <v>45672</v>
      </c>
      <c r="D219" s="18" t="s">
        <v>16</v>
      </c>
      <c r="E219" s="18" t="s">
        <v>17</v>
      </c>
      <c r="F219" s="9">
        <v>802</v>
      </c>
      <c r="G219" s="9">
        <v>262</v>
      </c>
      <c r="H219" s="9">
        <v>244</v>
      </c>
      <c r="I219" s="9">
        <v>14436</v>
      </c>
      <c r="J219" s="9">
        <v>14280</v>
      </c>
      <c r="K219" s="9">
        <v>49</v>
      </c>
      <c r="L219" s="18" t="s">
        <v>37</v>
      </c>
      <c r="M219" s="20" t="s">
        <v>19</v>
      </c>
      <c r="N219" s="9">
        <v>5.6486000000000001</v>
      </c>
    </row>
    <row r="220" spans="1:14" x14ac:dyDescent="0.3">
      <c r="A220" s="13" t="s">
        <v>415</v>
      </c>
      <c r="B220" s="14" t="s">
        <v>43</v>
      </c>
      <c r="C220" s="15">
        <v>45445</v>
      </c>
      <c r="D220" s="14" t="s">
        <v>52</v>
      </c>
      <c r="E220" s="14" t="s">
        <v>59</v>
      </c>
      <c r="F220" s="8">
        <v>1871</v>
      </c>
      <c r="G220" s="8">
        <v>252</v>
      </c>
      <c r="H220" s="8">
        <v>335</v>
      </c>
      <c r="I220" s="8">
        <v>29936</v>
      </c>
      <c r="J220" s="8">
        <v>29576</v>
      </c>
      <c r="K220" s="8">
        <v>288</v>
      </c>
      <c r="L220" s="14" t="s">
        <v>37</v>
      </c>
      <c r="M220" s="16" t="s">
        <v>31</v>
      </c>
      <c r="N220" s="8">
        <v>5.6557999999999993</v>
      </c>
    </row>
    <row r="221" spans="1:14" x14ac:dyDescent="0.3">
      <c r="A221" s="17" t="s">
        <v>417</v>
      </c>
      <c r="B221" s="18" t="s">
        <v>33</v>
      </c>
      <c r="C221" s="19">
        <v>45617</v>
      </c>
      <c r="D221" s="18" t="s">
        <v>45</v>
      </c>
      <c r="E221" s="18" t="s">
        <v>88</v>
      </c>
      <c r="F221" s="9">
        <v>3773</v>
      </c>
      <c r="G221" s="9">
        <v>299</v>
      </c>
      <c r="H221" s="9">
        <v>38</v>
      </c>
      <c r="I221" s="9">
        <v>71687</v>
      </c>
      <c r="J221" s="9">
        <v>71447</v>
      </c>
      <c r="K221" s="9">
        <v>286</v>
      </c>
      <c r="L221" s="18" t="s">
        <v>62</v>
      </c>
      <c r="M221" s="20" t="s">
        <v>19</v>
      </c>
      <c r="N221" s="9">
        <v>5.7155999999999993</v>
      </c>
    </row>
    <row r="222" spans="1:14" x14ac:dyDescent="0.3">
      <c r="A222" s="13" t="s">
        <v>419</v>
      </c>
      <c r="B222" s="14" t="s">
        <v>33</v>
      </c>
      <c r="C222" s="15">
        <v>45658</v>
      </c>
      <c r="D222" s="14" t="s">
        <v>45</v>
      </c>
      <c r="E222" s="14" t="s">
        <v>88</v>
      </c>
      <c r="F222" s="8">
        <v>2234</v>
      </c>
      <c r="G222" s="8">
        <v>653</v>
      </c>
      <c r="H222" s="8">
        <v>432</v>
      </c>
      <c r="I222" s="8">
        <v>11170</v>
      </c>
      <c r="J222" s="8">
        <v>10569</v>
      </c>
      <c r="K222" s="8">
        <v>198</v>
      </c>
      <c r="L222" s="14" t="s">
        <v>62</v>
      </c>
      <c r="M222" s="16" t="s">
        <v>31</v>
      </c>
      <c r="N222" s="8">
        <v>5.6486000000000001</v>
      </c>
    </row>
    <row r="223" spans="1:14" x14ac:dyDescent="0.3">
      <c r="A223" s="17" t="s">
        <v>420</v>
      </c>
      <c r="B223" s="18" t="s">
        <v>14</v>
      </c>
      <c r="C223" s="19">
        <v>45771</v>
      </c>
      <c r="D223" s="18" t="s">
        <v>74</v>
      </c>
      <c r="E223" s="18" t="s">
        <v>145</v>
      </c>
      <c r="F223" s="9">
        <v>3820</v>
      </c>
      <c r="G223" s="9">
        <v>697</v>
      </c>
      <c r="H223" s="9">
        <v>268</v>
      </c>
      <c r="I223" s="9">
        <v>45840</v>
      </c>
      <c r="J223" s="9">
        <v>45631</v>
      </c>
      <c r="K223" s="9">
        <v>171</v>
      </c>
      <c r="L223" s="18" t="s">
        <v>30</v>
      </c>
      <c r="M223" s="20" t="s">
        <v>38</v>
      </c>
      <c r="N223" s="9">
        <v>5.6486000000000001</v>
      </c>
    </row>
    <row r="224" spans="1:14" x14ac:dyDescent="0.3">
      <c r="A224" s="13" t="s">
        <v>420</v>
      </c>
      <c r="B224" s="14" t="s">
        <v>14</v>
      </c>
      <c r="C224" s="15">
        <v>45771</v>
      </c>
      <c r="D224" s="14" t="s">
        <v>74</v>
      </c>
      <c r="E224" s="14" t="s">
        <v>145</v>
      </c>
      <c r="F224" s="8">
        <v>3820</v>
      </c>
      <c r="G224" s="8">
        <v>697</v>
      </c>
      <c r="H224" s="8">
        <v>268</v>
      </c>
      <c r="I224" s="8">
        <v>45840</v>
      </c>
      <c r="J224" s="8">
        <v>45631</v>
      </c>
      <c r="K224" s="8">
        <v>171</v>
      </c>
      <c r="L224" s="14" t="s">
        <v>607</v>
      </c>
      <c r="M224" s="16" t="s">
        <v>38</v>
      </c>
      <c r="N224" s="8">
        <v>5.6557999999999993</v>
      </c>
    </row>
    <row r="225" spans="1:14" x14ac:dyDescent="0.3">
      <c r="A225" s="17" t="s">
        <v>422</v>
      </c>
      <c r="B225" s="18" t="s">
        <v>14</v>
      </c>
      <c r="C225" s="19">
        <v>45467</v>
      </c>
      <c r="D225" s="18" t="s">
        <v>22</v>
      </c>
      <c r="E225" s="18" t="s">
        <v>23</v>
      </c>
      <c r="F225" s="9">
        <v>941</v>
      </c>
      <c r="G225" s="9">
        <v>121</v>
      </c>
      <c r="H225" s="9">
        <v>458</v>
      </c>
      <c r="I225" s="9">
        <v>14115</v>
      </c>
      <c r="J225" s="9">
        <v>13838</v>
      </c>
      <c r="K225" s="9">
        <v>87</v>
      </c>
      <c r="L225" s="18" t="s">
        <v>37</v>
      </c>
      <c r="M225" s="20" t="s">
        <v>19</v>
      </c>
      <c r="N225" s="9">
        <v>5.6486000000000001</v>
      </c>
    </row>
    <row r="226" spans="1:14" x14ac:dyDescent="0.3">
      <c r="A226" s="13" t="s">
        <v>423</v>
      </c>
      <c r="B226" s="14" t="s">
        <v>14</v>
      </c>
      <c r="C226" s="15">
        <v>45655</v>
      </c>
      <c r="D226" s="14" t="s">
        <v>45</v>
      </c>
      <c r="E226" s="14" t="s">
        <v>49</v>
      </c>
      <c r="F226" s="8">
        <v>4274</v>
      </c>
      <c r="G226" s="8">
        <v>340</v>
      </c>
      <c r="H226" s="8">
        <v>281</v>
      </c>
      <c r="I226" s="8">
        <v>34192</v>
      </c>
      <c r="J226" s="8">
        <v>33446</v>
      </c>
      <c r="K226" s="8">
        <v>129</v>
      </c>
      <c r="L226" s="14" t="s">
        <v>30</v>
      </c>
      <c r="M226" s="16" t="s">
        <v>31</v>
      </c>
      <c r="N226" s="8">
        <v>5.6557999999999993</v>
      </c>
    </row>
    <row r="227" spans="1:14" x14ac:dyDescent="0.3">
      <c r="A227" s="17" t="s">
        <v>423</v>
      </c>
      <c r="B227" s="18" t="s">
        <v>14</v>
      </c>
      <c r="C227" s="19">
        <v>45655</v>
      </c>
      <c r="D227" s="18" t="s">
        <v>45</v>
      </c>
      <c r="E227" s="18" t="s">
        <v>49</v>
      </c>
      <c r="F227" s="9">
        <v>4274</v>
      </c>
      <c r="G227" s="9">
        <v>340</v>
      </c>
      <c r="H227" s="9">
        <v>281</v>
      </c>
      <c r="I227" s="9">
        <v>34192</v>
      </c>
      <c r="J227" s="9">
        <v>33446</v>
      </c>
      <c r="K227" s="9">
        <v>129</v>
      </c>
      <c r="L227" s="18" t="s">
        <v>607</v>
      </c>
      <c r="M227" s="20" t="s">
        <v>31</v>
      </c>
      <c r="N227" s="9">
        <v>5.7155999999999993</v>
      </c>
    </row>
    <row r="228" spans="1:14" x14ac:dyDescent="0.3">
      <c r="A228" s="13" t="s">
        <v>425</v>
      </c>
      <c r="B228" s="14" t="s">
        <v>27</v>
      </c>
      <c r="C228" s="15">
        <v>45467</v>
      </c>
      <c r="D228" s="14" t="s">
        <v>74</v>
      </c>
      <c r="E228" s="14" t="s">
        <v>219</v>
      </c>
      <c r="F228" s="8">
        <v>2949</v>
      </c>
      <c r="G228" s="8">
        <v>476</v>
      </c>
      <c r="H228" s="8">
        <v>403</v>
      </c>
      <c r="I228" s="8">
        <v>44235</v>
      </c>
      <c r="J228" s="8">
        <v>43705</v>
      </c>
      <c r="K228" s="8">
        <v>135</v>
      </c>
      <c r="L228" s="14" t="s">
        <v>30</v>
      </c>
      <c r="M228" s="16" t="s">
        <v>25</v>
      </c>
      <c r="N228" s="8">
        <v>5.7155999999999993</v>
      </c>
    </row>
    <row r="229" spans="1:14" x14ac:dyDescent="0.3">
      <c r="A229" s="17" t="s">
        <v>426</v>
      </c>
      <c r="B229" s="18" t="s">
        <v>14</v>
      </c>
      <c r="C229" s="19">
        <v>45735</v>
      </c>
      <c r="D229" s="18" t="s">
        <v>74</v>
      </c>
      <c r="E229" s="18" t="s">
        <v>145</v>
      </c>
      <c r="F229" s="9">
        <v>3160</v>
      </c>
      <c r="G229" s="9">
        <v>204</v>
      </c>
      <c r="H229" s="9">
        <v>297</v>
      </c>
      <c r="I229" s="9">
        <v>44240</v>
      </c>
      <c r="J229" s="9">
        <v>43666</v>
      </c>
      <c r="K229" s="9">
        <v>49</v>
      </c>
      <c r="L229" s="18" t="s">
        <v>62</v>
      </c>
      <c r="M229" s="20" t="s">
        <v>38</v>
      </c>
      <c r="N229" s="9">
        <v>5.7155999999999993</v>
      </c>
    </row>
    <row r="230" spans="1:14" x14ac:dyDescent="0.3">
      <c r="A230" s="13" t="s">
        <v>426</v>
      </c>
      <c r="B230" s="14" t="s">
        <v>14</v>
      </c>
      <c r="C230" s="15">
        <v>45735</v>
      </c>
      <c r="D230" s="14" t="s">
        <v>74</v>
      </c>
      <c r="E230" s="14" t="s">
        <v>145</v>
      </c>
      <c r="F230" s="8">
        <v>3160</v>
      </c>
      <c r="G230" s="8">
        <v>204</v>
      </c>
      <c r="H230" s="8">
        <v>297</v>
      </c>
      <c r="I230" s="8">
        <v>44240</v>
      </c>
      <c r="J230" s="8">
        <v>43666</v>
      </c>
      <c r="K230" s="8">
        <v>49</v>
      </c>
      <c r="L230" s="14" t="s">
        <v>613</v>
      </c>
      <c r="M230" s="16" t="s">
        <v>38</v>
      </c>
      <c r="N230" s="8">
        <v>5.7155999999999993</v>
      </c>
    </row>
    <row r="231" spans="1:14" x14ac:dyDescent="0.3">
      <c r="A231" s="17" t="s">
        <v>428</v>
      </c>
      <c r="B231" s="18" t="s">
        <v>27</v>
      </c>
      <c r="C231" s="19">
        <v>45707</v>
      </c>
      <c r="D231" s="18" t="s">
        <v>52</v>
      </c>
      <c r="E231" s="18" t="s">
        <v>53</v>
      </c>
      <c r="F231" s="9">
        <v>257</v>
      </c>
      <c r="G231" s="9">
        <v>966</v>
      </c>
      <c r="H231" s="9">
        <v>398</v>
      </c>
      <c r="I231" s="9">
        <v>3341</v>
      </c>
      <c r="J231" s="9">
        <v>2753</v>
      </c>
      <c r="K231" s="9">
        <v>287</v>
      </c>
      <c r="L231" s="18" t="s">
        <v>62</v>
      </c>
      <c r="M231" s="20" t="s">
        <v>19</v>
      </c>
      <c r="N231" s="9">
        <v>5.6486000000000001</v>
      </c>
    </row>
    <row r="232" spans="1:14" x14ac:dyDescent="0.3">
      <c r="A232" s="13" t="s">
        <v>429</v>
      </c>
      <c r="B232" s="14" t="s">
        <v>14</v>
      </c>
      <c r="C232" s="15">
        <v>45491</v>
      </c>
      <c r="D232" s="14" t="s">
        <v>45</v>
      </c>
      <c r="E232" s="14" t="s">
        <v>49</v>
      </c>
      <c r="F232" s="8">
        <v>2120</v>
      </c>
      <c r="G232" s="8">
        <v>38</v>
      </c>
      <c r="H232" s="8">
        <v>212</v>
      </c>
      <c r="I232" s="8">
        <v>12720</v>
      </c>
      <c r="J232" s="8">
        <v>12564</v>
      </c>
      <c r="K232" s="8">
        <v>21</v>
      </c>
      <c r="L232" s="14" t="s">
        <v>62</v>
      </c>
      <c r="M232" s="16" t="s">
        <v>38</v>
      </c>
      <c r="N232" s="8">
        <v>5.7155999999999993</v>
      </c>
    </row>
    <row r="233" spans="1:14" x14ac:dyDescent="0.3">
      <c r="A233" s="17" t="s">
        <v>431</v>
      </c>
      <c r="B233" s="18" t="s">
        <v>27</v>
      </c>
      <c r="C233" s="19">
        <v>45719</v>
      </c>
      <c r="D233" s="18" t="s">
        <v>74</v>
      </c>
      <c r="E233" s="18" t="s">
        <v>219</v>
      </c>
      <c r="F233" s="9">
        <v>3874</v>
      </c>
      <c r="G233" s="9">
        <v>884</v>
      </c>
      <c r="H233" s="9">
        <v>19</v>
      </c>
      <c r="I233" s="9">
        <v>38740</v>
      </c>
      <c r="J233" s="9">
        <v>38552</v>
      </c>
      <c r="K233" s="9">
        <v>219</v>
      </c>
      <c r="L233" s="18" t="s">
        <v>30</v>
      </c>
      <c r="M233" s="20" t="s">
        <v>25</v>
      </c>
      <c r="N233" s="9">
        <v>5.6557999999999993</v>
      </c>
    </row>
    <row r="234" spans="1:14" x14ac:dyDescent="0.3">
      <c r="A234" s="13" t="s">
        <v>432</v>
      </c>
      <c r="B234" s="14" t="s">
        <v>43</v>
      </c>
      <c r="C234" s="15">
        <v>45778</v>
      </c>
      <c r="D234" s="14" t="s">
        <v>45</v>
      </c>
      <c r="E234" s="14" t="s">
        <v>46</v>
      </c>
      <c r="F234" s="8">
        <v>2696</v>
      </c>
      <c r="G234" s="8">
        <v>628</v>
      </c>
      <c r="H234" s="8">
        <v>443</v>
      </c>
      <c r="I234" s="8">
        <v>45832</v>
      </c>
      <c r="J234" s="8">
        <v>45632</v>
      </c>
      <c r="K234" s="8">
        <v>248</v>
      </c>
      <c r="L234" s="14" t="s">
        <v>37</v>
      </c>
      <c r="M234" s="16" t="s">
        <v>38</v>
      </c>
      <c r="N234" s="8">
        <v>5.6486000000000001</v>
      </c>
    </row>
    <row r="235" spans="1:14" x14ac:dyDescent="0.3">
      <c r="A235" s="17" t="s">
        <v>434</v>
      </c>
      <c r="B235" s="18" t="s">
        <v>33</v>
      </c>
      <c r="C235" s="19">
        <v>45649</v>
      </c>
      <c r="D235" s="18" t="s">
        <v>52</v>
      </c>
      <c r="E235" s="18" t="s">
        <v>215</v>
      </c>
      <c r="F235" s="9">
        <v>521</v>
      </c>
      <c r="G235" s="9">
        <v>746</v>
      </c>
      <c r="H235" s="9">
        <v>315</v>
      </c>
      <c r="I235" s="9">
        <v>4168</v>
      </c>
      <c r="J235" s="9">
        <v>3399</v>
      </c>
      <c r="K235" s="9">
        <v>282</v>
      </c>
      <c r="L235" s="18" t="s">
        <v>62</v>
      </c>
      <c r="M235" s="20" t="s">
        <v>25</v>
      </c>
      <c r="N235" s="9">
        <v>5.6486000000000001</v>
      </c>
    </row>
    <row r="236" spans="1:14" x14ac:dyDescent="0.3">
      <c r="A236" s="13" t="s">
        <v>435</v>
      </c>
      <c r="B236" s="14" t="s">
        <v>43</v>
      </c>
      <c r="C236" s="15">
        <v>45783</v>
      </c>
      <c r="D236" s="14" t="s">
        <v>52</v>
      </c>
      <c r="E236" s="14" t="s">
        <v>59</v>
      </c>
      <c r="F236" s="8">
        <v>4872</v>
      </c>
      <c r="G236" s="8">
        <v>925</v>
      </c>
      <c r="H236" s="8">
        <v>176</v>
      </c>
      <c r="I236" s="8">
        <v>82824</v>
      </c>
      <c r="J236" s="8">
        <v>82543</v>
      </c>
      <c r="K236" s="8">
        <v>89</v>
      </c>
      <c r="L236" s="14" t="s">
        <v>37</v>
      </c>
      <c r="M236" s="16" t="s">
        <v>25</v>
      </c>
      <c r="N236" s="8">
        <v>5.6486000000000001</v>
      </c>
    </row>
    <row r="237" spans="1:14" x14ac:dyDescent="0.3">
      <c r="A237" s="17" t="s">
        <v>437</v>
      </c>
      <c r="B237" s="18" t="s">
        <v>27</v>
      </c>
      <c r="C237" s="19">
        <v>45502</v>
      </c>
      <c r="D237" s="18" t="s">
        <v>35</v>
      </c>
      <c r="E237" s="18" t="s">
        <v>154</v>
      </c>
      <c r="F237" s="9">
        <v>1509</v>
      </c>
      <c r="G237" s="9">
        <v>88</v>
      </c>
      <c r="H237" s="9">
        <v>163</v>
      </c>
      <c r="I237" s="9">
        <v>30180</v>
      </c>
      <c r="J237" s="9">
        <v>29689</v>
      </c>
      <c r="K237" s="9">
        <v>119</v>
      </c>
      <c r="L237" s="18" t="s">
        <v>37</v>
      </c>
      <c r="M237" s="20" t="s">
        <v>25</v>
      </c>
      <c r="N237" s="9">
        <v>5.6486000000000001</v>
      </c>
    </row>
    <row r="238" spans="1:14" x14ac:dyDescent="0.3">
      <c r="A238" s="13" t="s">
        <v>438</v>
      </c>
      <c r="B238" s="14" t="s">
        <v>43</v>
      </c>
      <c r="C238" s="15">
        <v>45629</v>
      </c>
      <c r="D238" s="14" t="s">
        <v>52</v>
      </c>
      <c r="E238" s="14" t="s">
        <v>59</v>
      </c>
      <c r="F238" s="8">
        <v>4606</v>
      </c>
      <c r="G238" s="8">
        <v>931</v>
      </c>
      <c r="H238" s="8">
        <v>230</v>
      </c>
      <c r="I238" s="8">
        <v>92120</v>
      </c>
      <c r="J238" s="8">
        <v>91440</v>
      </c>
      <c r="K238" s="8">
        <v>56</v>
      </c>
      <c r="L238" s="14" t="s">
        <v>30</v>
      </c>
      <c r="M238" s="16"/>
      <c r="N238" s="8">
        <v>5.7155999999999993</v>
      </c>
    </row>
    <row r="239" spans="1:14" x14ac:dyDescent="0.3">
      <c r="A239" s="17" t="s">
        <v>439</v>
      </c>
      <c r="B239" s="18" t="s">
        <v>43</v>
      </c>
      <c r="C239" s="19">
        <v>45454</v>
      </c>
      <c r="D239" s="18" t="s">
        <v>45</v>
      </c>
      <c r="E239" s="18" t="s">
        <v>46</v>
      </c>
      <c r="F239" s="9">
        <v>1869</v>
      </c>
      <c r="G239" s="9">
        <v>453</v>
      </c>
      <c r="H239" s="9">
        <v>490</v>
      </c>
      <c r="I239" s="9">
        <v>14952</v>
      </c>
      <c r="J239" s="9">
        <v>14309</v>
      </c>
      <c r="K239" s="9">
        <v>275</v>
      </c>
      <c r="L239" s="18" t="s">
        <v>30</v>
      </c>
      <c r="M239" s="20" t="s">
        <v>38</v>
      </c>
      <c r="N239" s="9">
        <v>5.6557999999999993</v>
      </c>
    </row>
    <row r="240" spans="1:14" x14ac:dyDescent="0.3">
      <c r="A240" s="13" t="s">
        <v>440</v>
      </c>
      <c r="B240" s="14" t="s">
        <v>14</v>
      </c>
      <c r="C240" s="15">
        <v>45685</v>
      </c>
      <c r="D240" s="14" t="s">
        <v>16</v>
      </c>
      <c r="E240" s="14" t="s">
        <v>17</v>
      </c>
      <c r="F240" s="8">
        <v>1188</v>
      </c>
      <c r="G240" s="8">
        <v>470</v>
      </c>
      <c r="H240" s="8">
        <v>174</v>
      </c>
      <c r="I240" s="8">
        <v>7128</v>
      </c>
      <c r="J240" s="8">
        <v>6145</v>
      </c>
      <c r="K240" s="8">
        <v>270</v>
      </c>
      <c r="L240" s="14" t="s">
        <v>30</v>
      </c>
      <c r="M240" s="16" t="s">
        <v>38</v>
      </c>
      <c r="N240" s="8">
        <v>5.5587999999999997</v>
      </c>
    </row>
    <row r="241" spans="1:14" x14ac:dyDescent="0.3">
      <c r="A241" s="17" t="s">
        <v>441</v>
      </c>
      <c r="B241" s="18" t="s">
        <v>33</v>
      </c>
      <c r="C241" s="19">
        <v>45445</v>
      </c>
      <c r="D241" s="18" t="s">
        <v>35</v>
      </c>
      <c r="E241" s="18" t="s">
        <v>36</v>
      </c>
      <c r="F241" s="9">
        <v>84</v>
      </c>
      <c r="G241" s="9">
        <v>897</v>
      </c>
      <c r="H241" s="9">
        <v>85</v>
      </c>
      <c r="I241" s="9">
        <v>588</v>
      </c>
      <c r="J241" s="9">
        <v>8</v>
      </c>
      <c r="K241" s="9">
        <v>12</v>
      </c>
      <c r="L241" s="18" t="s">
        <v>37</v>
      </c>
      <c r="M241" s="20"/>
      <c r="N241" s="9">
        <v>5.6557999999999993</v>
      </c>
    </row>
    <row r="242" spans="1:14" x14ac:dyDescent="0.3">
      <c r="A242" s="13" t="s">
        <v>442</v>
      </c>
      <c r="B242" s="14" t="s">
        <v>43</v>
      </c>
      <c r="C242" s="15">
        <v>45739</v>
      </c>
      <c r="D242" s="14" t="s">
        <v>74</v>
      </c>
      <c r="E242" s="14" t="s">
        <v>75</v>
      </c>
      <c r="F242" s="8">
        <v>4453</v>
      </c>
      <c r="G242" s="8">
        <v>111</v>
      </c>
      <c r="H242" s="8">
        <v>420</v>
      </c>
      <c r="I242" s="8">
        <v>31171</v>
      </c>
      <c r="J242" s="8">
        <v>30565</v>
      </c>
      <c r="K242" s="8">
        <v>23</v>
      </c>
      <c r="L242" s="14" t="s">
        <v>30</v>
      </c>
      <c r="M242" s="16"/>
      <c r="N242" s="8">
        <v>5.6486000000000001</v>
      </c>
    </row>
    <row r="243" spans="1:14" x14ac:dyDescent="0.3">
      <c r="A243" s="17" t="s">
        <v>443</v>
      </c>
      <c r="B243" s="18" t="s">
        <v>43</v>
      </c>
      <c r="C243" s="19">
        <v>45573</v>
      </c>
      <c r="D243" s="18" t="s">
        <v>16</v>
      </c>
      <c r="E243" s="18" t="s">
        <v>65</v>
      </c>
      <c r="F243" s="9">
        <v>1814</v>
      </c>
      <c r="G243" s="9">
        <v>653</v>
      </c>
      <c r="H243" s="9">
        <v>363</v>
      </c>
      <c r="I243" s="9">
        <v>25396</v>
      </c>
      <c r="J243" s="9">
        <v>25286</v>
      </c>
      <c r="K243" s="9">
        <v>39</v>
      </c>
      <c r="L243" s="18" t="s">
        <v>62</v>
      </c>
      <c r="M243" s="20" t="s">
        <v>19</v>
      </c>
      <c r="N243" s="9">
        <v>5.6486000000000001</v>
      </c>
    </row>
    <row r="244" spans="1:14" x14ac:dyDescent="0.3">
      <c r="A244" s="13" t="s">
        <v>443</v>
      </c>
      <c r="B244" s="14" t="s">
        <v>43</v>
      </c>
      <c r="C244" s="15">
        <v>45573</v>
      </c>
      <c r="D244" s="14" t="s">
        <v>16</v>
      </c>
      <c r="E244" s="14" t="s">
        <v>65</v>
      </c>
      <c r="F244" s="8">
        <v>1814</v>
      </c>
      <c r="G244" s="8">
        <v>653</v>
      </c>
      <c r="H244" s="8">
        <v>363</v>
      </c>
      <c r="I244" s="8">
        <v>25396</v>
      </c>
      <c r="J244" s="8">
        <v>25286</v>
      </c>
      <c r="K244" s="8">
        <v>39</v>
      </c>
      <c r="L244" s="14" t="s">
        <v>607</v>
      </c>
      <c r="M244" s="16" t="s">
        <v>19</v>
      </c>
      <c r="N244" s="8">
        <v>5.6557999999999993</v>
      </c>
    </row>
    <row r="245" spans="1:14" x14ac:dyDescent="0.3">
      <c r="A245" s="17" t="s">
        <v>446</v>
      </c>
      <c r="B245" s="18" t="s">
        <v>14</v>
      </c>
      <c r="C245" s="19">
        <v>45608</v>
      </c>
      <c r="D245" s="18" t="s">
        <v>52</v>
      </c>
      <c r="E245" s="18" t="s">
        <v>132</v>
      </c>
      <c r="F245" s="9">
        <v>3338</v>
      </c>
      <c r="G245" s="9">
        <v>277</v>
      </c>
      <c r="H245" s="9">
        <v>118</v>
      </c>
      <c r="I245" s="9">
        <v>60084</v>
      </c>
      <c r="J245" s="9">
        <v>59842</v>
      </c>
      <c r="K245" s="9">
        <v>252</v>
      </c>
      <c r="L245" s="18" t="s">
        <v>30</v>
      </c>
      <c r="M245" s="20"/>
      <c r="N245" s="9">
        <v>5.5587999999999997</v>
      </c>
    </row>
    <row r="246" spans="1:14" x14ac:dyDescent="0.3">
      <c r="A246" s="13" t="s">
        <v>447</v>
      </c>
      <c r="B246" s="14" t="s">
        <v>43</v>
      </c>
      <c r="C246" s="15">
        <v>45790</v>
      </c>
      <c r="D246" s="14" t="s">
        <v>52</v>
      </c>
      <c r="E246" s="14" t="s">
        <v>59</v>
      </c>
      <c r="F246" s="8">
        <v>602</v>
      </c>
      <c r="G246" s="8">
        <v>594</v>
      </c>
      <c r="H246" s="8">
        <v>156</v>
      </c>
      <c r="I246" s="8">
        <v>4214</v>
      </c>
      <c r="J246" s="8">
        <v>3363</v>
      </c>
      <c r="K246" s="8">
        <v>164</v>
      </c>
      <c r="L246" s="14" t="s">
        <v>30</v>
      </c>
      <c r="M246" s="16" t="s">
        <v>31</v>
      </c>
      <c r="N246" s="8">
        <v>5.6486000000000001</v>
      </c>
    </row>
    <row r="247" spans="1:14" x14ac:dyDescent="0.3">
      <c r="A247" s="17" t="s">
        <v>449</v>
      </c>
      <c r="B247" s="18" t="s">
        <v>14</v>
      </c>
      <c r="C247" s="19">
        <v>45463</v>
      </c>
      <c r="D247" s="18" t="s">
        <v>45</v>
      </c>
      <c r="E247" s="18" t="s">
        <v>49</v>
      </c>
      <c r="F247" s="9">
        <v>4672</v>
      </c>
      <c r="G247" s="9">
        <v>325</v>
      </c>
      <c r="H247" s="9">
        <v>32</v>
      </c>
      <c r="I247" s="9">
        <v>88768</v>
      </c>
      <c r="J247" s="9">
        <v>87833</v>
      </c>
      <c r="K247" s="9">
        <v>118</v>
      </c>
      <c r="L247" s="18" t="s">
        <v>37</v>
      </c>
      <c r="M247" s="20"/>
      <c r="N247" s="9">
        <v>5.6486000000000001</v>
      </c>
    </row>
    <row r="248" spans="1:14" x14ac:dyDescent="0.3">
      <c r="A248" s="13" t="s">
        <v>450</v>
      </c>
      <c r="B248" s="14" t="s">
        <v>33</v>
      </c>
      <c r="C248" s="15">
        <v>45511</v>
      </c>
      <c r="D248" s="14" t="s">
        <v>45</v>
      </c>
      <c r="E248" s="14" t="s">
        <v>88</v>
      </c>
      <c r="F248" s="8">
        <v>1741</v>
      </c>
      <c r="G248" s="8">
        <v>164</v>
      </c>
      <c r="H248" s="8">
        <v>318</v>
      </c>
      <c r="I248" s="8">
        <v>8705</v>
      </c>
      <c r="J248" s="8">
        <v>8272</v>
      </c>
      <c r="K248" s="8">
        <v>121</v>
      </c>
      <c r="L248" s="14" t="s">
        <v>30</v>
      </c>
      <c r="M248" s="16"/>
      <c r="N248" s="8">
        <v>5.6486000000000001</v>
      </c>
    </row>
    <row r="249" spans="1:14" x14ac:dyDescent="0.3">
      <c r="A249" s="17" t="s">
        <v>452</v>
      </c>
      <c r="B249" s="18" t="s">
        <v>33</v>
      </c>
      <c r="C249" s="19">
        <v>45455</v>
      </c>
      <c r="D249" s="18" t="s">
        <v>22</v>
      </c>
      <c r="E249" s="18" t="s">
        <v>113</v>
      </c>
      <c r="F249" s="9">
        <v>246</v>
      </c>
      <c r="G249" s="9">
        <v>149</v>
      </c>
      <c r="H249" s="9">
        <v>130</v>
      </c>
      <c r="I249" s="9">
        <v>4674</v>
      </c>
      <c r="J249" s="9">
        <v>4390</v>
      </c>
      <c r="K249" s="9">
        <v>217</v>
      </c>
      <c r="L249" s="18" t="s">
        <v>62</v>
      </c>
      <c r="M249" s="20" t="s">
        <v>31</v>
      </c>
      <c r="N249" s="9">
        <v>5.6486000000000001</v>
      </c>
    </row>
    <row r="250" spans="1:14" x14ac:dyDescent="0.3">
      <c r="A250" s="13" t="s">
        <v>454</v>
      </c>
      <c r="B250" s="14" t="s">
        <v>33</v>
      </c>
      <c r="C250" s="15">
        <v>45474</v>
      </c>
      <c r="D250" s="14" t="s">
        <v>35</v>
      </c>
      <c r="E250" s="14" t="s">
        <v>36</v>
      </c>
      <c r="F250" s="8">
        <v>4808</v>
      </c>
      <c r="G250" s="8">
        <v>772</v>
      </c>
      <c r="H250" s="8">
        <v>320</v>
      </c>
      <c r="I250" s="8">
        <v>72120</v>
      </c>
      <c r="J250" s="8">
        <v>71696</v>
      </c>
      <c r="K250" s="8">
        <v>195</v>
      </c>
      <c r="L250" s="14" t="s">
        <v>37</v>
      </c>
      <c r="M250" s="16" t="s">
        <v>19</v>
      </c>
      <c r="N250" s="8">
        <v>5.6557999999999993</v>
      </c>
    </row>
    <row r="251" spans="1:14" x14ac:dyDescent="0.3">
      <c r="A251" s="17" t="s">
        <v>456</v>
      </c>
      <c r="B251" s="18" t="s">
        <v>33</v>
      </c>
      <c r="C251" s="19">
        <v>45476</v>
      </c>
      <c r="D251" s="18" t="s">
        <v>45</v>
      </c>
      <c r="E251" s="18" t="s">
        <v>88</v>
      </c>
      <c r="F251" s="9">
        <v>4799</v>
      </c>
      <c r="G251" s="9">
        <v>694</v>
      </c>
      <c r="H251" s="9">
        <v>289</v>
      </c>
      <c r="I251" s="9">
        <v>43191</v>
      </c>
      <c r="J251" s="9">
        <v>42228</v>
      </c>
      <c r="K251" s="9">
        <v>118</v>
      </c>
      <c r="L251" s="18" t="s">
        <v>30</v>
      </c>
      <c r="M251" s="20"/>
      <c r="N251" s="9">
        <v>5.6486000000000001</v>
      </c>
    </row>
    <row r="252" spans="1:14" x14ac:dyDescent="0.3">
      <c r="A252" s="13" t="s">
        <v>457</v>
      </c>
      <c r="B252" s="14" t="s">
        <v>43</v>
      </c>
      <c r="C252" s="15">
        <v>45488</v>
      </c>
      <c r="D252" s="14" t="s">
        <v>16</v>
      </c>
      <c r="E252" s="14" t="s">
        <v>65</v>
      </c>
      <c r="F252" s="8">
        <v>3663</v>
      </c>
      <c r="G252" s="8">
        <v>17</v>
      </c>
      <c r="H252" s="8">
        <v>295</v>
      </c>
      <c r="I252" s="8">
        <v>51282</v>
      </c>
      <c r="J252" s="8">
        <v>50567</v>
      </c>
      <c r="K252" s="8">
        <v>84</v>
      </c>
      <c r="L252" s="14" t="s">
        <v>37</v>
      </c>
      <c r="M252" s="16" t="s">
        <v>31</v>
      </c>
      <c r="N252" s="8">
        <v>5.7155999999999993</v>
      </c>
    </row>
    <row r="253" spans="1:14" x14ac:dyDescent="0.3">
      <c r="A253" s="17" t="s">
        <v>458</v>
      </c>
      <c r="B253" s="18" t="s">
        <v>33</v>
      </c>
      <c r="C253" s="19">
        <v>45778</v>
      </c>
      <c r="D253" s="18" t="s">
        <v>22</v>
      </c>
      <c r="E253" s="18" t="s">
        <v>113</v>
      </c>
      <c r="F253" s="9">
        <v>1430</v>
      </c>
      <c r="G253" s="9">
        <v>376</v>
      </c>
      <c r="H253" s="9">
        <v>33</v>
      </c>
      <c r="I253" s="9">
        <v>21450</v>
      </c>
      <c r="J253" s="9">
        <v>20509</v>
      </c>
      <c r="K253" s="9">
        <v>251</v>
      </c>
      <c r="L253" s="18" t="s">
        <v>62</v>
      </c>
      <c r="M253" s="20" t="s">
        <v>19</v>
      </c>
      <c r="N253" s="9">
        <v>5.6486000000000001</v>
      </c>
    </row>
    <row r="254" spans="1:14" x14ac:dyDescent="0.3">
      <c r="A254" s="13" t="s">
        <v>459</v>
      </c>
      <c r="B254" s="14" t="s">
        <v>14</v>
      </c>
      <c r="C254" s="15">
        <v>45776</v>
      </c>
      <c r="D254" s="14" t="s">
        <v>35</v>
      </c>
      <c r="E254" s="14" t="s">
        <v>149</v>
      </c>
      <c r="F254" s="8">
        <v>249</v>
      </c>
      <c r="G254" s="8">
        <v>592</v>
      </c>
      <c r="H254" s="8">
        <v>230</v>
      </c>
      <c r="I254" s="8">
        <v>1494</v>
      </c>
      <c r="J254" s="8">
        <v>1044</v>
      </c>
      <c r="K254" s="8">
        <v>201</v>
      </c>
      <c r="L254" s="14" t="s">
        <v>37</v>
      </c>
      <c r="M254" s="16" t="s">
        <v>38</v>
      </c>
      <c r="N254" s="8">
        <v>5.6557999999999993</v>
      </c>
    </row>
    <row r="255" spans="1:14" x14ac:dyDescent="0.3">
      <c r="A255" s="17" t="s">
        <v>461</v>
      </c>
      <c r="B255" s="18" t="s">
        <v>43</v>
      </c>
      <c r="C255" s="19">
        <v>45724</v>
      </c>
      <c r="D255" s="18" t="s">
        <v>52</v>
      </c>
      <c r="E255" s="18" t="s">
        <v>59</v>
      </c>
      <c r="F255" s="9">
        <v>2382</v>
      </c>
      <c r="G255" s="9">
        <v>265</v>
      </c>
      <c r="H255" s="9">
        <v>134</v>
      </c>
      <c r="I255" s="9">
        <v>38112</v>
      </c>
      <c r="J255" s="9">
        <v>37437</v>
      </c>
      <c r="K255" s="9">
        <v>249</v>
      </c>
      <c r="L255" s="18" t="s">
        <v>62</v>
      </c>
      <c r="M255" s="20" t="s">
        <v>38</v>
      </c>
      <c r="N255" s="9">
        <v>5.6557999999999993</v>
      </c>
    </row>
    <row r="256" spans="1:14" x14ac:dyDescent="0.3">
      <c r="A256" s="13" t="s">
        <v>462</v>
      </c>
      <c r="B256" s="14" t="s">
        <v>43</v>
      </c>
      <c r="C256" s="15">
        <v>45444</v>
      </c>
      <c r="D256" s="14" t="s">
        <v>22</v>
      </c>
      <c r="E256" s="14" t="s">
        <v>56</v>
      </c>
      <c r="F256" s="8">
        <v>1272</v>
      </c>
      <c r="G256" s="8">
        <v>465</v>
      </c>
      <c r="H256" s="8">
        <v>99</v>
      </c>
      <c r="I256" s="8">
        <v>24168</v>
      </c>
      <c r="J256" s="8">
        <v>23719</v>
      </c>
      <c r="K256" s="8">
        <v>42</v>
      </c>
      <c r="L256" s="14" t="s">
        <v>30</v>
      </c>
      <c r="M256" s="16"/>
      <c r="N256" s="8">
        <v>5.6486000000000001</v>
      </c>
    </row>
    <row r="257" spans="1:14" x14ac:dyDescent="0.3">
      <c r="A257" s="17" t="s">
        <v>464</v>
      </c>
      <c r="B257" s="18" t="s">
        <v>43</v>
      </c>
      <c r="C257" s="19">
        <v>45648</v>
      </c>
      <c r="D257" s="18" t="s">
        <v>52</v>
      </c>
      <c r="E257" s="18" t="s">
        <v>59</v>
      </c>
      <c r="F257" s="9">
        <v>3196</v>
      </c>
      <c r="G257" s="9">
        <v>941</v>
      </c>
      <c r="H257" s="9">
        <v>376</v>
      </c>
      <c r="I257" s="9">
        <v>35156</v>
      </c>
      <c r="J257" s="9">
        <v>34444</v>
      </c>
      <c r="K257" s="9">
        <v>241</v>
      </c>
      <c r="L257" s="18" t="s">
        <v>30</v>
      </c>
      <c r="M257" s="20" t="s">
        <v>31</v>
      </c>
      <c r="N257" s="9">
        <v>5.5587999999999997</v>
      </c>
    </row>
    <row r="258" spans="1:14" x14ac:dyDescent="0.3">
      <c r="A258" s="13" t="s">
        <v>465</v>
      </c>
      <c r="B258" s="14" t="s">
        <v>43</v>
      </c>
      <c r="C258" s="15">
        <v>45523</v>
      </c>
      <c r="D258" s="14" t="s">
        <v>22</v>
      </c>
      <c r="E258" s="14" t="s">
        <v>56</v>
      </c>
      <c r="F258" s="8">
        <v>1257</v>
      </c>
      <c r="G258" s="8">
        <v>19</v>
      </c>
      <c r="H258" s="8">
        <v>351</v>
      </c>
      <c r="I258" s="8">
        <v>12570</v>
      </c>
      <c r="J258" s="8">
        <v>11660</v>
      </c>
      <c r="K258" s="8">
        <v>194</v>
      </c>
      <c r="L258" s="14" t="s">
        <v>62</v>
      </c>
      <c r="M258" s="16" t="s">
        <v>25</v>
      </c>
      <c r="N258" s="8">
        <v>5.6486000000000001</v>
      </c>
    </row>
    <row r="259" spans="1:14" x14ac:dyDescent="0.3">
      <c r="A259" s="17" t="s">
        <v>465</v>
      </c>
      <c r="B259" s="18" t="s">
        <v>43</v>
      </c>
      <c r="C259" s="19">
        <v>45523</v>
      </c>
      <c r="D259" s="18" t="s">
        <v>22</v>
      </c>
      <c r="E259" s="18" t="s">
        <v>56</v>
      </c>
      <c r="F259" s="9">
        <v>1257</v>
      </c>
      <c r="G259" s="9">
        <v>19</v>
      </c>
      <c r="H259" s="9">
        <v>351</v>
      </c>
      <c r="I259" s="9">
        <v>12570</v>
      </c>
      <c r="J259" s="9">
        <v>11660</v>
      </c>
      <c r="K259" s="9">
        <v>194</v>
      </c>
      <c r="L259" s="18" t="s">
        <v>613</v>
      </c>
      <c r="M259" s="20" t="s">
        <v>25</v>
      </c>
      <c r="N259" s="9">
        <v>5.7155999999999993</v>
      </c>
    </row>
    <row r="260" spans="1:14" x14ac:dyDescent="0.3">
      <c r="A260" s="13" t="s">
        <v>465</v>
      </c>
      <c r="B260" s="14" t="s">
        <v>43</v>
      </c>
      <c r="C260" s="15">
        <v>45523</v>
      </c>
      <c r="D260" s="14" t="s">
        <v>22</v>
      </c>
      <c r="E260" s="14" t="s">
        <v>56</v>
      </c>
      <c r="F260" s="8">
        <v>1257</v>
      </c>
      <c r="G260" s="8">
        <v>19</v>
      </c>
      <c r="H260" s="8">
        <v>351</v>
      </c>
      <c r="I260" s="8">
        <v>12570</v>
      </c>
      <c r="J260" s="8">
        <v>11660</v>
      </c>
      <c r="K260" s="8">
        <v>194</v>
      </c>
      <c r="L260" s="14" t="s">
        <v>37</v>
      </c>
      <c r="M260" s="16" t="s">
        <v>25</v>
      </c>
      <c r="N260" s="8">
        <v>5.6486000000000001</v>
      </c>
    </row>
    <row r="261" spans="1:14" x14ac:dyDescent="0.3">
      <c r="A261" s="17" t="s">
        <v>467</v>
      </c>
      <c r="B261" s="18" t="s">
        <v>33</v>
      </c>
      <c r="C261" s="19">
        <v>45587</v>
      </c>
      <c r="D261" s="18" t="s">
        <v>35</v>
      </c>
      <c r="E261" s="18" t="s">
        <v>36</v>
      </c>
      <c r="F261" s="9">
        <v>3770</v>
      </c>
      <c r="G261" s="9">
        <v>917</v>
      </c>
      <c r="H261" s="9">
        <v>129</v>
      </c>
      <c r="I261" s="9">
        <v>71630</v>
      </c>
      <c r="J261" s="9">
        <v>71322</v>
      </c>
      <c r="K261" s="9">
        <v>76</v>
      </c>
      <c r="L261" s="18" t="s">
        <v>62</v>
      </c>
      <c r="M261" s="20" t="s">
        <v>19</v>
      </c>
      <c r="N261" s="9">
        <v>5.7155999999999993</v>
      </c>
    </row>
    <row r="262" spans="1:14" x14ac:dyDescent="0.3">
      <c r="A262" s="13" t="s">
        <v>468</v>
      </c>
      <c r="B262" s="14" t="s">
        <v>14</v>
      </c>
      <c r="C262" s="15">
        <v>45489</v>
      </c>
      <c r="D262" s="14" t="s">
        <v>22</v>
      </c>
      <c r="E262" s="14" t="s">
        <v>23</v>
      </c>
      <c r="F262" s="8">
        <v>4725</v>
      </c>
      <c r="G262" s="8">
        <v>400</v>
      </c>
      <c r="H262" s="8">
        <v>362</v>
      </c>
      <c r="I262" s="8">
        <v>75600</v>
      </c>
      <c r="J262" s="8">
        <v>74927</v>
      </c>
      <c r="K262" s="8">
        <v>43</v>
      </c>
      <c r="L262" s="14" t="s">
        <v>62</v>
      </c>
      <c r="M262" s="16" t="s">
        <v>38</v>
      </c>
      <c r="N262" s="8">
        <v>5.7155999999999993</v>
      </c>
    </row>
    <row r="263" spans="1:14" x14ac:dyDescent="0.3">
      <c r="A263" s="17" t="s">
        <v>470</v>
      </c>
      <c r="B263" s="18" t="s">
        <v>27</v>
      </c>
      <c r="C263" s="19">
        <v>45712</v>
      </c>
      <c r="D263" s="18" t="s">
        <v>22</v>
      </c>
      <c r="E263" s="18" t="s">
        <v>104</v>
      </c>
      <c r="F263" s="9">
        <v>4188</v>
      </c>
      <c r="G263" s="9">
        <v>942</v>
      </c>
      <c r="H263" s="9">
        <v>118</v>
      </c>
      <c r="I263" s="9">
        <v>20940</v>
      </c>
      <c r="J263" s="9">
        <v>20471</v>
      </c>
      <c r="K263" s="9">
        <v>102</v>
      </c>
      <c r="L263" s="18" t="s">
        <v>62</v>
      </c>
      <c r="M263" s="20"/>
      <c r="N263" s="9">
        <v>5.5587999999999997</v>
      </c>
    </row>
    <row r="264" spans="1:14" x14ac:dyDescent="0.3">
      <c r="A264" s="13" t="s">
        <v>471</v>
      </c>
      <c r="B264" s="14" t="s">
        <v>14</v>
      </c>
      <c r="C264" s="15">
        <v>45530</v>
      </c>
      <c r="D264" s="14" t="s">
        <v>45</v>
      </c>
      <c r="E264" s="14" t="s">
        <v>49</v>
      </c>
      <c r="F264" s="8">
        <v>929</v>
      </c>
      <c r="G264" s="8">
        <v>192</v>
      </c>
      <c r="H264" s="8">
        <v>322</v>
      </c>
      <c r="I264" s="8">
        <v>16722</v>
      </c>
      <c r="J264" s="8">
        <v>15996</v>
      </c>
      <c r="K264" s="8">
        <v>145</v>
      </c>
      <c r="L264" s="14" t="s">
        <v>37</v>
      </c>
      <c r="M264" s="16" t="s">
        <v>31</v>
      </c>
      <c r="N264" s="8">
        <v>5.7155999999999993</v>
      </c>
    </row>
    <row r="265" spans="1:14" x14ac:dyDescent="0.3">
      <c r="A265" s="17" t="s">
        <v>471</v>
      </c>
      <c r="B265" s="18" t="s">
        <v>14</v>
      </c>
      <c r="C265" s="19">
        <v>45530</v>
      </c>
      <c r="D265" s="18" t="s">
        <v>45</v>
      </c>
      <c r="E265" s="18" t="s">
        <v>49</v>
      </c>
      <c r="F265" s="9">
        <v>929</v>
      </c>
      <c r="G265" s="9">
        <v>192</v>
      </c>
      <c r="H265" s="9">
        <v>322</v>
      </c>
      <c r="I265" s="9">
        <v>16722</v>
      </c>
      <c r="J265" s="9">
        <v>15996</v>
      </c>
      <c r="K265" s="9">
        <v>145</v>
      </c>
      <c r="L265" s="18" t="s">
        <v>30</v>
      </c>
      <c r="M265" s="20" t="s">
        <v>31</v>
      </c>
      <c r="N265" s="9">
        <v>5.6557999999999993</v>
      </c>
    </row>
    <row r="266" spans="1:14" x14ac:dyDescent="0.3">
      <c r="A266" s="13" t="s">
        <v>471</v>
      </c>
      <c r="B266" s="14" t="s">
        <v>14</v>
      </c>
      <c r="C266" s="15">
        <v>45530</v>
      </c>
      <c r="D266" s="14" t="s">
        <v>45</v>
      </c>
      <c r="E266" s="14" t="s">
        <v>49</v>
      </c>
      <c r="F266" s="8">
        <v>929</v>
      </c>
      <c r="G266" s="8">
        <v>192</v>
      </c>
      <c r="H266" s="8">
        <v>322</v>
      </c>
      <c r="I266" s="8">
        <v>16722</v>
      </c>
      <c r="J266" s="8">
        <v>15996</v>
      </c>
      <c r="K266" s="8">
        <v>145</v>
      </c>
      <c r="L266" s="14" t="s">
        <v>613</v>
      </c>
      <c r="M266" s="16" t="s">
        <v>31</v>
      </c>
      <c r="N266" s="8">
        <v>5.6557999999999993</v>
      </c>
    </row>
    <row r="267" spans="1:14" x14ac:dyDescent="0.3">
      <c r="A267" s="17" t="s">
        <v>472</v>
      </c>
      <c r="B267" s="18" t="s">
        <v>43</v>
      </c>
      <c r="C267" s="19">
        <v>45675</v>
      </c>
      <c r="D267" s="18" t="s">
        <v>35</v>
      </c>
      <c r="E267" s="18" t="s">
        <v>71</v>
      </c>
      <c r="F267" s="9">
        <v>4321</v>
      </c>
      <c r="G267" s="9">
        <v>874</v>
      </c>
      <c r="H267" s="9">
        <v>172</v>
      </c>
      <c r="I267" s="9">
        <v>30247</v>
      </c>
      <c r="J267" s="9">
        <v>29254</v>
      </c>
      <c r="K267" s="9">
        <v>122</v>
      </c>
      <c r="L267" s="18" t="s">
        <v>30</v>
      </c>
      <c r="M267" s="20" t="s">
        <v>38</v>
      </c>
      <c r="N267" s="9">
        <v>5.6486000000000001</v>
      </c>
    </row>
    <row r="268" spans="1:14" x14ac:dyDescent="0.3">
      <c r="A268" s="13" t="s">
        <v>474</v>
      </c>
      <c r="B268" s="14" t="s">
        <v>43</v>
      </c>
      <c r="C268" s="15">
        <v>45480</v>
      </c>
      <c r="D268" s="14" t="s">
        <v>16</v>
      </c>
      <c r="E268" s="14" t="s">
        <v>65</v>
      </c>
      <c r="F268" s="8">
        <v>4767</v>
      </c>
      <c r="G268" s="8">
        <v>190</v>
      </c>
      <c r="H268" s="8">
        <v>340</v>
      </c>
      <c r="I268" s="8">
        <v>28602</v>
      </c>
      <c r="J268" s="8">
        <v>28044</v>
      </c>
      <c r="K268" s="8">
        <v>210</v>
      </c>
      <c r="L268" s="14" t="s">
        <v>37</v>
      </c>
      <c r="M268" s="16" t="s">
        <v>31</v>
      </c>
      <c r="N268" s="8">
        <v>5.6557999999999993</v>
      </c>
    </row>
    <row r="269" spans="1:14" x14ac:dyDescent="0.3">
      <c r="A269" s="17" t="s">
        <v>475</v>
      </c>
      <c r="B269" s="18" t="s">
        <v>14</v>
      </c>
      <c r="C269" s="19">
        <v>45722</v>
      </c>
      <c r="D269" s="18" t="s">
        <v>52</v>
      </c>
      <c r="E269" s="18" t="s">
        <v>132</v>
      </c>
      <c r="F269" s="9">
        <v>3592</v>
      </c>
      <c r="G269" s="9">
        <v>911</v>
      </c>
      <c r="H269" s="9">
        <v>375</v>
      </c>
      <c r="I269" s="9">
        <v>50288</v>
      </c>
      <c r="J269" s="9">
        <v>49490</v>
      </c>
      <c r="K269" s="9">
        <v>32</v>
      </c>
      <c r="L269" s="18" t="s">
        <v>62</v>
      </c>
      <c r="M269" s="20" t="s">
        <v>38</v>
      </c>
      <c r="N269" s="9">
        <v>5.7155999999999993</v>
      </c>
    </row>
    <row r="270" spans="1:14" x14ac:dyDescent="0.3">
      <c r="A270" s="13" t="s">
        <v>477</v>
      </c>
      <c r="B270" s="14" t="s">
        <v>27</v>
      </c>
      <c r="C270" s="15">
        <v>45590</v>
      </c>
      <c r="D270" s="14" t="s">
        <v>74</v>
      </c>
      <c r="E270" s="14" t="s">
        <v>219</v>
      </c>
      <c r="F270" s="8">
        <v>4661</v>
      </c>
      <c r="G270" s="8">
        <v>935</v>
      </c>
      <c r="H270" s="8">
        <v>433</v>
      </c>
      <c r="I270" s="8">
        <v>23305</v>
      </c>
      <c r="J270" s="8">
        <v>22583</v>
      </c>
      <c r="K270" s="8">
        <v>63</v>
      </c>
      <c r="L270" s="14" t="s">
        <v>62</v>
      </c>
      <c r="M270" s="16" t="s">
        <v>31</v>
      </c>
      <c r="N270" s="8">
        <v>5.7155999999999993</v>
      </c>
    </row>
    <row r="271" spans="1:14" x14ac:dyDescent="0.3">
      <c r="A271" s="17" t="s">
        <v>479</v>
      </c>
      <c r="B271" s="18" t="s">
        <v>43</v>
      </c>
      <c r="C271" s="19">
        <v>45669</v>
      </c>
      <c r="D271" s="18" t="s">
        <v>16</v>
      </c>
      <c r="E271" s="18" t="s">
        <v>65</v>
      </c>
      <c r="F271" s="9">
        <v>4134</v>
      </c>
      <c r="G271" s="9">
        <v>824</v>
      </c>
      <c r="H271" s="9">
        <v>99</v>
      </c>
      <c r="I271" s="9">
        <v>41340</v>
      </c>
      <c r="J271" s="9">
        <v>41050</v>
      </c>
      <c r="K271" s="9">
        <v>177</v>
      </c>
      <c r="L271" s="18" t="s">
        <v>37</v>
      </c>
      <c r="M271" s="20" t="s">
        <v>19</v>
      </c>
      <c r="N271" s="9">
        <v>5.5587999999999997</v>
      </c>
    </row>
    <row r="272" spans="1:14" x14ac:dyDescent="0.3">
      <c r="A272" s="13" t="s">
        <v>481</v>
      </c>
      <c r="B272" s="14" t="s">
        <v>43</v>
      </c>
      <c r="C272" s="15">
        <v>45576</v>
      </c>
      <c r="D272" s="14" t="s">
        <v>52</v>
      </c>
      <c r="E272" s="14" t="s">
        <v>59</v>
      </c>
      <c r="F272" s="8">
        <v>400</v>
      </c>
      <c r="G272" s="8">
        <v>680</v>
      </c>
      <c r="H272" s="8">
        <v>434</v>
      </c>
      <c r="I272" s="8">
        <v>6400</v>
      </c>
      <c r="J272" s="8">
        <v>5472</v>
      </c>
      <c r="K272" s="8">
        <v>160</v>
      </c>
      <c r="L272" s="14" t="s">
        <v>62</v>
      </c>
      <c r="M272" s="16" t="s">
        <v>25</v>
      </c>
      <c r="N272" s="8">
        <v>5.7155999999999993</v>
      </c>
    </row>
    <row r="273" spans="1:14" x14ac:dyDescent="0.3">
      <c r="A273" s="17" t="s">
        <v>483</v>
      </c>
      <c r="B273" s="18" t="s">
        <v>43</v>
      </c>
      <c r="C273" s="19">
        <v>45531</v>
      </c>
      <c r="D273" s="18" t="s">
        <v>16</v>
      </c>
      <c r="E273" s="18" t="s">
        <v>65</v>
      </c>
      <c r="F273" s="9">
        <v>3960</v>
      </c>
      <c r="G273" s="9">
        <v>266</v>
      </c>
      <c r="H273" s="9">
        <v>8</v>
      </c>
      <c r="I273" s="9">
        <v>35640</v>
      </c>
      <c r="J273" s="9">
        <v>34850</v>
      </c>
      <c r="K273" s="9">
        <v>208</v>
      </c>
      <c r="L273" s="18" t="s">
        <v>62</v>
      </c>
      <c r="M273" s="20"/>
      <c r="N273" s="9">
        <v>5.7155999999999993</v>
      </c>
    </row>
    <row r="274" spans="1:14" x14ac:dyDescent="0.3">
      <c r="A274" s="13" t="s">
        <v>483</v>
      </c>
      <c r="B274" s="14" t="s">
        <v>43</v>
      </c>
      <c r="C274" s="15">
        <v>45531</v>
      </c>
      <c r="D274" s="14" t="s">
        <v>16</v>
      </c>
      <c r="E274" s="14" t="s">
        <v>65</v>
      </c>
      <c r="F274" s="8">
        <v>3960</v>
      </c>
      <c r="G274" s="8">
        <v>266</v>
      </c>
      <c r="H274" s="8">
        <v>8</v>
      </c>
      <c r="I274" s="8">
        <v>35640</v>
      </c>
      <c r="J274" s="8">
        <v>34850</v>
      </c>
      <c r="K274" s="8">
        <v>208</v>
      </c>
      <c r="L274" s="14" t="s">
        <v>37</v>
      </c>
      <c r="M274" s="16"/>
      <c r="N274" s="8">
        <v>5.5587999999999997</v>
      </c>
    </row>
    <row r="275" spans="1:14" x14ac:dyDescent="0.3">
      <c r="A275" s="17" t="s">
        <v>483</v>
      </c>
      <c r="B275" s="18" t="s">
        <v>43</v>
      </c>
      <c r="C275" s="19">
        <v>45531</v>
      </c>
      <c r="D275" s="18" t="s">
        <v>16</v>
      </c>
      <c r="E275" s="18" t="s">
        <v>65</v>
      </c>
      <c r="F275" s="9">
        <v>3960</v>
      </c>
      <c r="G275" s="9">
        <v>266</v>
      </c>
      <c r="H275" s="9">
        <v>8</v>
      </c>
      <c r="I275" s="9">
        <v>35640</v>
      </c>
      <c r="J275" s="9">
        <v>34850</v>
      </c>
      <c r="K275" s="9">
        <v>208</v>
      </c>
      <c r="L275" s="18" t="s">
        <v>614</v>
      </c>
      <c r="M275" s="20"/>
      <c r="N275" s="9">
        <v>5.6557999999999993</v>
      </c>
    </row>
    <row r="276" spans="1:14" x14ac:dyDescent="0.3">
      <c r="A276" s="13" t="s">
        <v>486</v>
      </c>
      <c r="B276" s="14" t="s">
        <v>43</v>
      </c>
      <c r="C276" s="15">
        <v>45690</v>
      </c>
      <c r="D276" s="14" t="s">
        <v>35</v>
      </c>
      <c r="E276" s="14" t="s">
        <v>71</v>
      </c>
      <c r="F276" s="8">
        <v>886</v>
      </c>
      <c r="G276" s="8">
        <v>126</v>
      </c>
      <c r="H276" s="8">
        <v>153</v>
      </c>
      <c r="I276" s="8">
        <v>4430</v>
      </c>
      <c r="J276" s="8">
        <v>4037</v>
      </c>
      <c r="K276" s="8">
        <v>212</v>
      </c>
      <c r="L276" s="14" t="s">
        <v>37</v>
      </c>
      <c r="M276" s="16"/>
      <c r="N276" s="8">
        <v>5.6486000000000001</v>
      </c>
    </row>
    <row r="277" spans="1:14" x14ac:dyDescent="0.3">
      <c r="A277" s="17" t="s">
        <v>487</v>
      </c>
      <c r="B277" s="18" t="s">
        <v>14</v>
      </c>
      <c r="C277" s="19">
        <v>45491</v>
      </c>
      <c r="D277" s="18" t="s">
        <v>52</v>
      </c>
      <c r="E277" s="18" t="s">
        <v>132</v>
      </c>
      <c r="F277" s="9">
        <v>827</v>
      </c>
      <c r="G277" s="9">
        <v>77</v>
      </c>
      <c r="H277" s="9">
        <v>402</v>
      </c>
      <c r="I277" s="9">
        <v>14886</v>
      </c>
      <c r="J277" s="9">
        <v>14129</v>
      </c>
      <c r="K277" s="9">
        <v>254</v>
      </c>
      <c r="L277" s="18" t="s">
        <v>37</v>
      </c>
      <c r="M277" s="20" t="s">
        <v>25</v>
      </c>
      <c r="N277" s="9">
        <v>5.6557999999999993</v>
      </c>
    </row>
    <row r="278" spans="1:14" x14ac:dyDescent="0.3">
      <c r="A278" s="13" t="s">
        <v>488</v>
      </c>
      <c r="B278" s="14" t="s">
        <v>43</v>
      </c>
      <c r="C278" s="15">
        <v>45465</v>
      </c>
      <c r="D278" s="14" t="s">
        <v>16</v>
      </c>
      <c r="E278" s="14" t="s">
        <v>65</v>
      </c>
      <c r="F278" s="8">
        <v>3813</v>
      </c>
      <c r="G278" s="8">
        <v>935</v>
      </c>
      <c r="H278" s="8">
        <v>274</v>
      </c>
      <c r="I278" s="8">
        <v>68634</v>
      </c>
      <c r="J278" s="8">
        <v>68488</v>
      </c>
      <c r="K278" s="8">
        <v>251</v>
      </c>
      <c r="L278" s="14" t="s">
        <v>62</v>
      </c>
      <c r="M278" s="16"/>
      <c r="N278" s="8">
        <v>5.6486000000000001</v>
      </c>
    </row>
    <row r="279" spans="1:14" x14ac:dyDescent="0.3">
      <c r="A279" s="17" t="s">
        <v>489</v>
      </c>
      <c r="B279" s="18" t="s">
        <v>33</v>
      </c>
      <c r="C279" s="19">
        <v>45743</v>
      </c>
      <c r="D279" s="18" t="s">
        <v>45</v>
      </c>
      <c r="E279" s="18" t="s">
        <v>88</v>
      </c>
      <c r="F279" s="9">
        <v>1377</v>
      </c>
      <c r="G279" s="9">
        <v>796</v>
      </c>
      <c r="H279" s="9">
        <v>387</v>
      </c>
      <c r="I279" s="9">
        <v>22032</v>
      </c>
      <c r="J279" s="9">
        <v>21869</v>
      </c>
      <c r="K279" s="9">
        <v>189</v>
      </c>
      <c r="L279" s="18" t="s">
        <v>62</v>
      </c>
      <c r="M279" s="20"/>
      <c r="N279" s="9">
        <v>5.6557999999999993</v>
      </c>
    </row>
    <row r="280" spans="1:14" x14ac:dyDescent="0.3">
      <c r="A280" s="13" t="s">
        <v>491</v>
      </c>
      <c r="B280" s="14" t="s">
        <v>43</v>
      </c>
      <c r="C280" s="15">
        <v>45775</v>
      </c>
      <c r="D280" s="14" t="s">
        <v>45</v>
      </c>
      <c r="E280" s="14" t="s">
        <v>46</v>
      </c>
      <c r="F280" s="8">
        <v>2089</v>
      </c>
      <c r="G280" s="8">
        <v>476</v>
      </c>
      <c r="H280" s="8">
        <v>69</v>
      </c>
      <c r="I280" s="8">
        <v>16712</v>
      </c>
      <c r="J280" s="8">
        <v>16309</v>
      </c>
      <c r="K280" s="8">
        <v>64</v>
      </c>
      <c r="L280" s="14" t="s">
        <v>62</v>
      </c>
      <c r="M280" s="16" t="s">
        <v>31</v>
      </c>
      <c r="N280" s="8">
        <v>5.5587999999999997</v>
      </c>
    </row>
    <row r="281" spans="1:14" x14ac:dyDescent="0.3">
      <c r="A281" s="17" t="s">
        <v>492</v>
      </c>
      <c r="B281" s="18" t="s">
        <v>14</v>
      </c>
      <c r="C281" s="19">
        <v>45507</v>
      </c>
      <c r="D281" s="18" t="s">
        <v>16</v>
      </c>
      <c r="E281" s="18" t="s">
        <v>17</v>
      </c>
      <c r="F281" s="9">
        <v>3791</v>
      </c>
      <c r="G281" s="9">
        <v>593</v>
      </c>
      <c r="H281" s="9">
        <v>228</v>
      </c>
      <c r="I281" s="9">
        <v>53074</v>
      </c>
      <c r="J281" s="9">
        <v>52613</v>
      </c>
      <c r="K281" s="9">
        <v>205</v>
      </c>
      <c r="L281" s="18" t="s">
        <v>37</v>
      </c>
      <c r="M281" s="20"/>
      <c r="N281" s="9">
        <v>5.5587999999999997</v>
      </c>
    </row>
    <row r="282" spans="1:14" x14ac:dyDescent="0.3">
      <c r="A282" s="13" t="s">
        <v>494</v>
      </c>
      <c r="B282" s="14" t="s">
        <v>14</v>
      </c>
      <c r="C282" s="15">
        <v>45671</v>
      </c>
      <c r="D282" s="14" t="s">
        <v>52</v>
      </c>
      <c r="E282" s="14" t="s">
        <v>132</v>
      </c>
      <c r="F282" s="8">
        <v>2692</v>
      </c>
      <c r="G282" s="8">
        <v>115</v>
      </c>
      <c r="H282" s="8">
        <v>64</v>
      </c>
      <c r="I282" s="8">
        <v>21536</v>
      </c>
      <c r="J282" s="8">
        <v>21120</v>
      </c>
      <c r="K282" s="8">
        <v>224</v>
      </c>
      <c r="L282" s="14" t="s">
        <v>62</v>
      </c>
      <c r="M282" s="16" t="s">
        <v>25</v>
      </c>
      <c r="N282" s="8">
        <v>5.5587999999999997</v>
      </c>
    </row>
    <row r="283" spans="1:14" x14ac:dyDescent="0.3">
      <c r="A283" s="17" t="s">
        <v>496</v>
      </c>
      <c r="B283" s="18" t="s">
        <v>43</v>
      </c>
      <c r="C283" s="19">
        <v>45750</v>
      </c>
      <c r="D283" s="18" t="s">
        <v>35</v>
      </c>
      <c r="E283" s="18" t="s">
        <v>71</v>
      </c>
      <c r="F283" s="9">
        <v>3767</v>
      </c>
      <c r="G283" s="9">
        <v>514</v>
      </c>
      <c r="H283" s="9">
        <v>238</v>
      </c>
      <c r="I283" s="9">
        <v>37670</v>
      </c>
      <c r="J283" s="9">
        <v>36807</v>
      </c>
      <c r="K283" s="9">
        <v>226</v>
      </c>
      <c r="L283" s="18" t="s">
        <v>62</v>
      </c>
      <c r="M283" s="20" t="s">
        <v>38</v>
      </c>
      <c r="N283" s="9">
        <v>5.7155999999999993</v>
      </c>
    </row>
    <row r="284" spans="1:14" x14ac:dyDescent="0.3">
      <c r="A284" s="13" t="s">
        <v>497</v>
      </c>
      <c r="B284" s="14" t="s">
        <v>27</v>
      </c>
      <c r="C284" s="15">
        <v>45553</v>
      </c>
      <c r="D284" s="14" t="s">
        <v>45</v>
      </c>
      <c r="E284" s="14" t="s">
        <v>68</v>
      </c>
      <c r="F284" s="8">
        <v>2143</v>
      </c>
      <c r="G284" s="8">
        <v>12</v>
      </c>
      <c r="H284" s="8">
        <v>204</v>
      </c>
      <c r="I284" s="8">
        <v>40717</v>
      </c>
      <c r="J284" s="8">
        <v>40125</v>
      </c>
      <c r="K284" s="8">
        <v>248</v>
      </c>
      <c r="L284" s="14" t="s">
        <v>37</v>
      </c>
      <c r="M284" s="16" t="s">
        <v>25</v>
      </c>
      <c r="N284" s="8">
        <v>5.6557999999999993</v>
      </c>
    </row>
    <row r="285" spans="1:14" x14ac:dyDescent="0.3">
      <c r="A285" s="17" t="s">
        <v>498</v>
      </c>
      <c r="B285" s="18" t="s">
        <v>43</v>
      </c>
      <c r="C285" s="19">
        <v>45753</v>
      </c>
      <c r="D285" s="18" t="s">
        <v>52</v>
      </c>
      <c r="E285" s="18" t="s">
        <v>59</v>
      </c>
      <c r="F285" s="9">
        <v>3090</v>
      </c>
      <c r="G285" s="9">
        <v>697</v>
      </c>
      <c r="H285" s="9">
        <v>164</v>
      </c>
      <c r="I285" s="9">
        <v>49440</v>
      </c>
      <c r="J285" s="9">
        <v>48524</v>
      </c>
      <c r="K285" s="9">
        <v>25</v>
      </c>
      <c r="L285" s="18" t="s">
        <v>37</v>
      </c>
      <c r="M285" s="20" t="s">
        <v>25</v>
      </c>
      <c r="N285" s="9">
        <v>5.6557999999999993</v>
      </c>
    </row>
    <row r="286" spans="1:14" x14ac:dyDescent="0.3">
      <c r="A286" s="13" t="s">
        <v>498</v>
      </c>
      <c r="B286" s="14" t="s">
        <v>43</v>
      </c>
      <c r="C286" s="15">
        <v>45753</v>
      </c>
      <c r="D286" s="14" t="s">
        <v>52</v>
      </c>
      <c r="E286" s="14" t="s">
        <v>59</v>
      </c>
      <c r="F286" s="8">
        <v>3090</v>
      </c>
      <c r="G286" s="8">
        <v>697</v>
      </c>
      <c r="H286" s="8">
        <v>164</v>
      </c>
      <c r="I286" s="8">
        <v>49440</v>
      </c>
      <c r="J286" s="8">
        <v>48524</v>
      </c>
      <c r="K286" s="8">
        <v>25</v>
      </c>
      <c r="L286" s="14" t="s">
        <v>37</v>
      </c>
      <c r="M286" s="16" t="s">
        <v>25</v>
      </c>
      <c r="N286" s="8">
        <v>5.5587999999999997</v>
      </c>
    </row>
    <row r="287" spans="1:14" x14ac:dyDescent="0.3">
      <c r="A287" s="17" t="s">
        <v>498</v>
      </c>
      <c r="B287" s="18" t="s">
        <v>43</v>
      </c>
      <c r="C287" s="19">
        <v>45753</v>
      </c>
      <c r="D287" s="18" t="s">
        <v>52</v>
      </c>
      <c r="E287" s="18" t="s">
        <v>59</v>
      </c>
      <c r="F287" s="9">
        <v>3090</v>
      </c>
      <c r="G287" s="9">
        <v>697</v>
      </c>
      <c r="H287" s="9">
        <v>164</v>
      </c>
      <c r="I287" s="9">
        <v>49440</v>
      </c>
      <c r="J287" s="9">
        <v>48524</v>
      </c>
      <c r="K287" s="9">
        <v>25</v>
      </c>
      <c r="L287" s="18" t="s">
        <v>614</v>
      </c>
      <c r="M287" s="20" t="s">
        <v>25</v>
      </c>
      <c r="N287" s="9">
        <v>5.5587999999999997</v>
      </c>
    </row>
    <row r="288" spans="1:14" x14ac:dyDescent="0.3">
      <c r="A288" s="13" t="s">
        <v>500</v>
      </c>
      <c r="B288" s="14" t="s">
        <v>33</v>
      </c>
      <c r="C288" s="15">
        <v>45509</v>
      </c>
      <c r="D288" s="14" t="s">
        <v>35</v>
      </c>
      <c r="E288" s="14" t="s">
        <v>36</v>
      </c>
      <c r="F288" s="8">
        <v>3601</v>
      </c>
      <c r="G288" s="8">
        <v>695</v>
      </c>
      <c r="H288" s="8">
        <v>75</v>
      </c>
      <c r="I288" s="8">
        <v>21606</v>
      </c>
      <c r="J288" s="8">
        <v>21454</v>
      </c>
      <c r="K288" s="8">
        <v>172</v>
      </c>
      <c r="L288" s="14" t="s">
        <v>37</v>
      </c>
      <c r="M288" s="16" t="s">
        <v>25</v>
      </c>
      <c r="N288" s="8">
        <v>5.7155999999999993</v>
      </c>
    </row>
    <row r="289" spans="1:14" x14ac:dyDescent="0.3">
      <c r="A289" s="17" t="s">
        <v>502</v>
      </c>
      <c r="B289" s="18" t="s">
        <v>43</v>
      </c>
      <c r="C289" s="19">
        <v>45698</v>
      </c>
      <c r="D289" s="18" t="s">
        <v>22</v>
      </c>
      <c r="E289" s="18" t="s">
        <v>56</v>
      </c>
      <c r="F289" s="9">
        <v>562</v>
      </c>
      <c r="G289" s="9">
        <v>158</v>
      </c>
      <c r="H289" s="9">
        <v>149</v>
      </c>
      <c r="I289" s="9">
        <v>3372</v>
      </c>
      <c r="J289" s="9">
        <v>2940</v>
      </c>
      <c r="K289" s="9">
        <v>93</v>
      </c>
      <c r="L289" s="18" t="s">
        <v>30</v>
      </c>
      <c r="M289" s="20" t="s">
        <v>19</v>
      </c>
      <c r="N289" s="9">
        <v>5.5587999999999997</v>
      </c>
    </row>
    <row r="290" spans="1:14" x14ac:dyDescent="0.3">
      <c r="A290" s="13" t="s">
        <v>503</v>
      </c>
      <c r="B290" s="14" t="s">
        <v>33</v>
      </c>
      <c r="C290" s="15">
        <v>45700</v>
      </c>
      <c r="D290" s="14" t="s">
        <v>35</v>
      </c>
      <c r="E290" s="14" t="s">
        <v>36</v>
      </c>
      <c r="F290" s="8">
        <v>4332</v>
      </c>
      <c r="G290" s="8">
        <v>771</v>
      </c>
      <c r="H290" s="8">
        <v>219</v>
      </c>
      <c r="I290" s="8">
        <v>60648</v>
      </c>
      <c r="J290" s="8">
        <v>60397</v>
      </c>
      <c r="K290" s="8">
        <v>10</v>
      </c>
      <c r="L290" s="14" t="s">
        <v>30</v>
      </c>
      <c r="M290" s="16" t="s">
        <v>31</v>
      </c>
      <c r="N290" s="8">
        <v>5.6486000000000001</v>
      </c>
    </row>
    <row r="291" spans="1:14" x14ac:dyDescent="0.3">
      <c r="A291" s="17" t="s">
        <v>503</v>
      </c>
      <c r="B291" s="18" t="s">
        <v>33</v>
      </c>
      <c r="C291" s="19">
        <v>45700</v>
      </c>
      <c r="D291" s="18" t="s">
        <v>35</v>
      </c>
      <c r="E291" s="18" t="s">
        <v>36</v>
      </c>
      <c r="F291" s="9">
        <v>4332</v>
      </c>
      <c r="G291" s="9">
        <v>771</v>
      </c>
      <c r="H291" s="9">
        <v>219</v>
      </c>
      <c r="I291" s="9">
        <v>60648</v>
      </c>
      <c r="J291" s="9">
        <v>60397</v>
      </c>
      <c r="K291" s="9">
        <v>10</v>
      </c>
      <c r="L291" s="18" t="s">
        <v>37</v>
      </c>
      <c r="M291" s="20" t="s">
        <v>31</v>
      </c>
      <c r="N291" s="9">
        <v>5.7155999999999993</v>
      </c>
    </row>
    <row r="292" spans="1:14" x14ac:dyDescent="0.3">
      <c r="A292" s="13" t="s">
        <v>503</v>
      </c>
      <c r="B292" s="14" t="s">
        <v>33</v>
      </c>
      <c r="C292" s="15">
        <v>45700</v>
      </c>
      <c r="D292" s="14" t="s">
        <v>35</v>
      </c>
      <c r="E292" s="14" t="s">
        <v>36</v>
      </c>
      <c r="F292" s="8">
        <v>4332</v>
      </c>
      <c r="G292" s="8">
        <v>771</v>
      </c>
      <c r="H292" s="8">
        <v>219</v>
      </c>
      <c r="I292" s="8">
        <v>60648</v>
      </c>
      <c r="J292" s="8">
        <v>60397</v>
      </c>
      <c r="K292" s="8">
        <v>10</v>
      </c>
      <c r="L292" s="14" t="s">
        <v>614</v>
      </c>
      <c r="M292" s="16" t="s">
        <v>31</v>
      </c>
      <c r="N292" s="8">
        <v>5.6486000000000001</v>
      </c>
    </row>
    <row r="293" spans="1:14" x14ac:dyDescent="0.3">
      <c r="A293" s="17" t="s">
        <v>506</v>
      </c>
      <c r="B293" s="18" t="s">
        <v>33</v>
      </c>
      <c r="C293" s="19">
        <v>45592</v>
      </c>
      <c r="D293" s="18" t="s">
        <v>52</v>
      </c>
      <c r="E293" s="18" t="s">
        <v>215</v>
      </c>
      <c r="F293" s="9">
        <v>4853</v>
      </c>
      <c r="G293" s="9">
        <v>837</v>
      </c>
      <c r="H293" s="9">
        <v>340</v>
      </c>
      <c r="I293" s="9">
        <v>72795</v>
      </c>
      <c r="J293" s="9">
        <v>72237</v>
      </c>
      <c r="K293" s="9">
        <v>170</v>
      </c>
      <c r="L293" s="18" t="s">
        <v>37</v>
      </c>
      <c r="M293" s="20" t="s">
        <v>19</v>
      </c>
      <c r="N293" s="9">
        <v>5.6486000000000001</v>
      </c>
    </row>
    <row r="294" spans="1:14" x14ac:dyDescent="0.3">
      <c r="A294" s="13" t="s">
        <v>508</v>
      </c>
      <c r="B294" s="14" t="s">
        <v>27</v>
      </c>
      <c r="C294" s="15">
        <v>45675</v>
      </c>
      <c r="D294" s="14" t="s">
        <v>52</v>
      </c>
      <c r="E294" s="14" t="s">
        <v>53</v>
      </c>
      <c r="F294" s="8">
        <v>1206</v>
      </c>
      <c r="G294" s="8">
        <v>238</v>
      </c>
      <c r="H294" s="8">
        <v>36</v>
      </c>
      <c r="I294" s="8">
        <v>9648</v>
      </c>
      <c r="J294" s="8">
        <v>9417</v>
      </c>
      <c r="K294" s="8">
        <v>237</v>
      </c>
      <c r="L294" s="14" t="s">
        <v>30</v>
      </c>
      <c r="M294" s="16"/>
      <c r="N294" s="8">
        <v>5.6486000000000001</v>
      </c>
    </row>
    <row r="295" spans="1:14" x14ac:dyDescent="0.3">
      <c r="A295" s="17" t="s">
        <v>509</v>
      </c>
      <c r="B295" s="18" t="s">
        <v>33</v>
      </c>
      <c r="C295" s="19">
        <v>45524</v>
      </c>
      <c r="D295" s="18" t="s">
        <v>16</v>
      </c>
      <c r="E295" s="18" t="s">
        <v>82</v>
      </c>
      <c r="F295" s="9">
        <v>2603</v>
      </c>
      <c r="G295" s="9">
        <v>690</v>
      </c>
      <c r="H295" s="9">
        <v>205</v>
      </c>
      <c r="I295" s="9">
        <v>13015</v>
      </c>
      <c r="J295" s="9">
        <v>12130</v>
      </c>
      <c r="K295" s="9">
        <v>20</v>
      </c>
      <c r="L295" s="18" t="s">
        <v>62</v>
      </c>
      <c r="M295" s="20" t="s">
        <v>25</v>
      </c>
      <c r="N295" s="9">
        <v>5.6486000000000001</v>
      </c>
    </row>
    <row r="296" spans="1:14" x14ac:dyDescent="0.3">
      <c r="A296" s="13" t="s">
        <v>511</v>
      </c>
      <c r="B296" s="14" t="s">
        <v>14</v>
      </c>
      <c r="C296" s="15">
        <v>45687</v>
      </c>
      <c r="D296" s="14" t="s">
        <v>52</v>
      </c>
      <c r="E296" s="14" t="s">
        <v>132</v>
      </c>
      <c r="F296" s="8">
        <v>59</v>
      </c>
      <c r="G296" s="8">
        <v>163</v>
      </c>
      <c r="H296" s="8">
        <v>93</v>
      </c>
      <c r="I296" s="8">
        <v>590</v>
      </c>
      <c r="J296" s="8">
        <v>475</v>
      </c>
      <c r="K296" s="8">
        <v>293</v>
      </c>
      <c r="L296" s="14" t="s">
        <v>30</v>
      </c>
      <c r="M296" s="16" t="s">
        <v>25</v>
      </c>
      <c r="N296" s="8">
        <v>5.6557999999999993</v>
      </c>
    </row>
    <row r="297" spans="1:14" x14ac:dyDescent="0.3">
      <c r="A297" s="17" t="s">
        <v>513</v>
      </c>
      <c r="B297" s="18" t="s">
        <v>14</v>
      </c>
      <c r="C297" s="19">
        <v>45708</v>
      </c>
      <c r="D297" s="18" t="s">
        <v>45</v>
      </c>
      <c r="E297" s="18" t="s">
        <v>49</v>
      </c>
      <c r="F297" s="9">
        <v>1877</v>
      </c>
      <c r="G297" s="9">
        <v>745</v>
      </c>
      <c r="H297" s="9">
        <v>225</v>
      </c>
      <c r="I297" s="9">
        <v>11262</v>
      </c>
      <c r="J297" s="9">
        <v>10967</v>
      </c>
      <c r="K297" s="9">
        <v>41</v>
      </c>
      <c r="L297" s="18" t="s">
        <v>37</v>
      </c>
      <c r="M297" s="20" t="s">
        <v>38</v>
      </c>
      <c r="N297" s="9">
        <v>5.6557999999999993</v>
      </c>
    </row>
    <row r="298" spans="1:14" x14ac:dyDescent="0.3">
      <c r="A298" s="13" t="s">
        <v>515</v>
      </c>
      <c r="B298" s="14" t="s">
        <v>43</v>
      </c>
      <c r="C298" s="15">
        <v>45621</v>
      </c>
      <c r="D298" s="14" t="s">
        <v>35</v>
      </c>
      <c r="E298" s="14" t="s">
        <v>71</v>
      </c>
      <c r="F298" s="8">
        <v>4182</v>
      </c>
      <c r="G298" s="8">
        <v>640</v>
      </c>
      <c r="H298" s="8">
        <v>240</v>
      </c>
      <c r="I298" s="8">
        <v>50184</v>
      </c>
      <c r="J298" s="8">
        <v>49351</v>
      </c>
      <c r="K298" s="8">
        <v>10</v>
      </c>
      <c r="L298" s="14" t="s">
        <v>30</v>
      </c>
      <c r="M298" s="16" t="s">
        <v>31</v>
      </c>
      <c r="N298" s="8">
        <v>5.6557999999999993</v>
      </c>
    </row>
    <row r="299" spans="1:14" x14ac:dyDescent="0.3">
      <c r="A299" s="17" t="s">
        <v>516</v>
      </c>
      <c r="B299" s="18" t="s">
        <v>14</v>
      </c>
      <c r="C299" s="19">
        <v>45569</v>
      </c>
      <c r="D299" s="18" t="s">
        <v>16</v>
      </c>
      <c r="E299" s="18" t="s">
        <v>17</v>
      </c>
      <c r="F299" s="9">
        <v>4187</v>
      </c>
      <c r="G299" s="9">
        <v>66</v>
      </c>
      <c r="H299" s="9">
        <v>31</v>
      </c>
      <c r="I299" s="9">
        <v>66992</v>
      </c>
      <c r="J299" s="9">
        <v>66614</v>
      </c>
      <c r="K299" s="9">
        <v>62</v>
      </c>
      <c r="L299" s="18" t="s">
        <v>62</v>
      </c>
      <c r="M299" s="20"/>
      <c r="N299" s="9">
        <v>5.6486000000000001</v>
      </c>
    </row>
    <row r="300" spans="1:14" x14ac:dyDescent="0.3">
      <c r="A300" s="13" t="s">
        <v>517</v>
      </c>
      <c r="B300" s="14" t="s">
        <v>33</v>
      </c>
      <c r="C300" s="15">
        <v>45760</v>
      </c>
      <c r="D300" s="14" t="s">
        <v>16</v>
      </c>
      <c r="E300" s="14" t="s">
        <v>82</v>
      </c>
      <c r="F300" s="8">
        <v>4579</v>
      </c>
      <c r="G300" s="8">
        <v>125</v>
      </c>
      <c r="H300" s="8">
        <v>300</v>
      </c>
      <c r="I300" s="8">
        <v>59527</v>
      </c>
      <c r="J300" s="8">
        <v>59400</v>
      </c>
      <c r="K300" s="8">
        <v>269</v>
      </c>
      <c r="L300" s="14" t="s">
        <v>37</v>
      </c>
      <c r="M300" s="16" t="s">
        <v>19</v>
      </c>
      <c r="N300" s="8">
        <v>5.6486000000000001</v>
      </c>
    </row>
    <row r="301" spans="1:14" x14ac:dyDescent="0.3">
      <c r="A301" s="17" t="s">
        <v>519</v>
      </c>
      <c r="B301" s="18" t="s">
        <v>33</v>
      </c>
      <c r="C301" s="19">
        <v>45601</v>
      </c>
      <c r="D301" s="18" t="s">
        <v>74</v>
      </c>
      <c r="E301" s="18" t="s">
        <v>85</v>
      </c>
      <c r="F301" s="9">
        <v>4561</v>
      </c>
      <c r="G301" s="9">
        <v>51</v>
      </c>
      <c r="H301" s="9">
        <v>441</v>
      </c>
      <c r="I301" s="9">
        <v>22805</v>
      </c>
      <c r="J301" s="9">
        <v>21890</v>
      </c>
      <c r="K301" s="9">
        <v>45</v>
      </c>
      <c r="L301" s="18" t="s">
        <v>30</v>
      </c>
      <c r="M301" s="20" t="s">
        <v>25</v>
      </c>
      <c r="N301" s="9">
        <v>5.6557999999999993</v>
      </c>
    </row>
    <row r="302" spans="1:14" x14ac:dyDescent="0.3">
      <c r="A302" s="13" t="s">
        <v>521</v>
      </c>
      <c r="B302" s="14" t="s">
        <v>27</v>
      </c>
      <c r="C302" s="15">
        <v>45672</v>
      </c>
      <c r="D302" s="14" t="s">
        <v>16</v>
      </c>
      <c r="E302" s="14" t="s">
        <v>29</v>
      </c>
      <c r="F302" s="8">
        <v>3774</v>
      </c>
      <c r="G302" s="8">
        <v>239</v>
      </c>
      <c r="H302" s="8">
        <v>39</v>
      </c>
      <c r="I302" s="8">
        <v>60384</v>
      </c>
      <c r="J302" s="8">
        <v>59490</v>
      </c>
      <c r="K302" s="8">
        <v>241</v>
      </c>
      <c r="L302" s="14" t="s">
        <v>30</v>
      </c>
      <c r="M302" s="16" t="s">
        <v>31</v>
      </c>
    </row>
    <row r="303" spans="1:14" x14ac:dyDescent="0.3">
      <c r="A303" s="17" t="s">
        <v>522</v>
      </c>
      <c r="B303" s="18" t="s">
        <v>33</v>
      </c>
      <c r="C303" s="19">
        <v>45582</v>
      </c>
      <c r="D303" s="18" t="s">
        <v>74</v>
      </c>
      <c r="E303" s="18" t="s">
        <v>85</v>
      </c>
      <c r="F303" s="9">
        <v>3575</v>
      </c>
      <c r="G303" s="9">
        <v>749</v>
      </c>
      <c r="H303" s="9">
        <v>111</v>
      </c>
      <c r="I303" s="9">
        <v>21450</v>
      </c>
      <c r="J303" s="9">
        <v>20785</v>
      </c>
      <c r="K303" s="9">
        <v>195</v>
      </c>
      <c r="L303" s="18" t="s">
        <v>37</v>
      </c>
      <c r="M303" s="20" t="s">
        <v>25</v>
      </c>
    </row>
    <row r="304" spans="1:14" x14ac:dyDescent="0.3">
      <c r="A304" s="13" t="s">
        <v>524</v>
      </c>
      <c r="B304" s="14" t="s">
        <v>33</v>
      </c>
      <c r="C304" s="15">
        <v>45743</v>
      </c>
      <c r="D304" s="14" t="s">
        <v>22</v>
      </c>
      <c r="E304" s="14" t="s">
        <v>113</v>
      </c>
      <c r="F304" s="8">
        <v>4941</v>
      </c>
      <c r="G304" s="8">
        <v>414</v>
      </c>
      <c r="H304" s="8">
        <v>266</v>
      </c>
      <c r="I304" s="8">
        <v>39528</v>
      </c>
      <c r="J304" s="8">
        <v>39154</v>
      </c>
      <c r="K304" s="8">
        <v>217</v>
      </c>
      <c r="L304" s="14" t="s">
        <v>30</v>
      </c>
      <c r="M304" s="16" t="s">
        <v>31</v>
      </c>
    </row>
    <row r="305" spans="1:13" x14ac:dyDescent="0.3">
      <c r="A305" s="17" t="s">
        <v>525</v>
      </c>
      <c r="B305" s="18" t="s">
        <v>27</v>
      </c>
      <c r="C305" s="19">
        <v>45577</v>
      </c>
      <c r="D305" s="18" t="s">
        <v>35</v>
      </c>
      <c r="E305" s="18" t="s">
        <v>154</v>
      </c>
      <c r="F305" s="9">
        <v>3641</v>
      </c>
      <c r="G305" s="9">
        <v>226</v>
      </c>
      <c r="H305" s="9">
        <v>46</v>
      </c>
      <c r="I305" s="9">
        <v>40051</v>
      </c>
      <c r="J305" s="9">
        <v>39319</v>
      </c>
      <c r="K305" s="9">
        <v>296</v>
      </c>
      <c r="L305" s="18" t="s">
        <v>37</v>
      </c>
      <c r="M305" s="20" t="s">
        <v>38</v>
      </c>
    </row>
    <row r="306" spans="1:13" x14ac:dyDescent="0.3">
      <c r="A306" s="13" t="s">
        <v>527</v>
      </c>
      <c r="B306" s="14" t="s">
        <v>14</v>
      </c>
      <c r="C306" s="15">
        <v>45658</v>
      </c>
      <c r="D306" s="14" t="s">
        <v>45</v>
      </c>
      <c r="E306" s="14" t="s">
        <v>49</v>
      </c>
      <c r="F306" s="8">
        <v>3535</v>
      </c>
      <c r="G306" s="8">
        <v>494</v>
      </c>
      <c r="H306" s="8">
        <v>152</v>
      </c>
      <c r="I306" s="8">
        <v>53025</v>
      </c>
      <c r="J306" s="8">
        <v>52791</v>
      </c>
      <c r="K306" s="8">
        <v>44</v>
      </c>
      <c r="L306" s="14" t="s">
        <v>30</v>
      </c>
      <c r="M306" s="16" t="s">
        <v>38</v>
      </c>
    </row>
    <row r="307" spans="1:13" x14ac:dyDescent="0.3">
      <c r="A307" s="17" t="s">
        <v>528</v>
      </c>
      <c r="B307" s="18" t="s">
        <v>43</v>
      </c>
      <c r="C307" s="19">
        <v>45509</v>
      </c>
      <c r="D307" s="18" t="s">
        <v>16</v>
      </c>
      <c r="E307" s="18" t="s">
        <v>65</v>
      </c>
      <c r="F307" s="9">
        <v>1741</v>
      </c>
      <c r="G307" s="9">
        <v>831</v>
      </c>
      <c r="H307" s="9">
        <v>345</v>
      </c>
      <c r="I307" s="9">
        <v>17410</v>
      </c>
      <c r="J307" s="9">
        <v>16844</v>
      </c>
      <c r="K307" s="9">
        <v>58</v>
      </c>
      <c r="L307" s="18" t="s">
        <v>37</v>
      </c>
      <c r="M307" s="20" t="s">
        <v>31</v>
      </c>
    </row>
    <row r="308" spans="1:13" x14ac:dyDescent="0.3">
      <c r="A308" s="13" t="s">
        <v>529</v>
      </c>
      <c r="B308" s="14" t="s">
        <v>14</v>
      </c>
      <c r="C308" s="15">
        <v>45450</v>
      </c>
      <c r="D308" s="14" t="s">
        <v>45</v>
      </c>
      <c r="E308" s="14" t="s">
        <v>49</v>
      </c>
      <c r="F308" s="8">
        <v>1556</v>
      </c>
      <c r="G308" s="8">
        <v>195</v>
      </c>
      <c r="H308" s="8">
        <v>131</v>
      </c>
      <c r="I308" s="8">
        <v>9336</v>
      </c>
      <c r="J308" s="8">
        <v>8875</v>
      </c>
      <c r="K308" s="8">
        <v>137</v>
      </c>
      <c r="L308" s="14" t="s">
        <v>30</v>
      </c>
      <c r="M308" s="16" t="s">
        <v>25</v>
      </c>
    </row>
    <row r="309" spans="1:13" x14ac:dyDescent="0.3">
      <c r="A309" s="17" t="s">
        <v>531</v>
      </c>
      <c r="B309" s="18" t="s">
        <v>43</v>
      </c>
      <c r="C309" s="19">
        <v>45753</v>
      </c>
      <c r="D309" s="18" t="s">
        <v>52</v>
      </c>
      <c r="E309" s="18" t="s">
        <v>59</v>
      </c>
      <c r="F309" s="9">
        <v>4236</v>
      </c>
      <c r="G309" s="9">
        <v>711</v>
      </c>
      <c r="H309" s="9">
        <v>298</v>
      </c>
      <c r="I309" s="9">
        <v>21180</v>
      </c>
      <c r="J309" s="9">
        <v>20516</v>
      </c>
      <c r="K309" s="9">
        <v>238</v>
      </c>
      <c r="L309" s="18" t="s">
        <v>62</v>
      </c>
      <c r="M309" s="20" t="s">
        <v>19</v>
      </c>
    </row>
    <row r="310" spans="1:13" x14ac:dyDescent="0.3">
      <c r="A310" s="13" t="s">
        <v>532</v>
      </c>
      <c r="B310" s="14" t="s">
        <v>14</v>
      </c>
      <c r="C310" s="15">
        <v>45622</v>
      </c>
      <c r="D310" s="14" t="s">
        <v>22</v>
      </c>
      <c r="E310" s="14" t="s">
        <v>23</v>
      </c>
      <c r="F310" s="8">
        <v>4516</v>
      </c>
      <c r="G310" s="8">
        <v>836</v>
      </c>
      <c r="H310" s="8">
        <v>169</v>
      </c>
      <c r="I310" s="8">
        <v>49676</v>
      </c>
      <c r="J310" s="8">
        <v>49257</v>
      </c>
      <c r="K310" s="8">
        <v>282</v>
      </c>
      <c r="L310" s="14" t="s">
        <v>37</v>
      </c>
      <c r="M310" s="16" t="s">
        <v>38</v>
      </c>
    </row>
    <row r="311" spans="1:13" x14ac:dyDescent="0.3">
      <c r="A311" s="17" t="s">
        <v>534</v>
      </c>
      <c r="B311" s="18" t="s">
        <v>27</v>
      </c>
      <c r="C311" s="19">
        <v>45537</v>
      </c>
      <c r="D311" s="18" t="s">
        <v>52</v>
      </c>
      <c r="E311" s="18" t="s">
        <v>53</v>
      </c>
      <c r="F311" s="9">
        <v>4905</v>
      </c>
      <c r="G311" s="9">
        <v>845</v>
      </c>
      <c r="H311" s="9">
        <v>129</v>
      </c>
      <c r="I311" s="9">
        <v>98100</v>
      </c>
      <c r="J311" s="9">
        <v>97772</v>
      </c>
      <c r="K311" s="9">
        <v>279</v>
      </c>
      <c r="L311" s="18" t="s">
        <v>30</v>
      </c>
      <c r="M311" s="20" t="s">
        <v>25</v>
      </c>
    </row>
    <row r="312" spans="1:13" x14ac:dyDescent="0.3">
      <c r="A312" s="13" t="s">
        <v>535</v>
      </c>
      <c r="B312" s="14" t="s">
        <v>27</v>
      </c>
      <c r="C312" s="15">
        <v>45586</v>
      </c>
      <c r="D312" s="14" t="s">
        <v>74</v>
      </c>
      <c r="E312" s="14" t="s">
        <v>219</v>
      </c>
      <c r="F312" s="8">
        <v>4275</v>
      </c>
      <c r="G312" s="8">
        <v>680</v>
      </c>
      <c r="H312" s="8">
        <v>385</v>
      </c>
      <c r="I312" s="8">
        <v>64125</v>
      </c>
      <c r="J312" s="8">
        <v>63650</v>
      </c>
      <c r="K312" s="8">
        <v>104</v>
      </c>
      <c r="L312" s="14" t="s">
        <v>37</v>
      </c>
      <c r="M312" s="16" t="s">
        <v>38</v>
      </c>
    </row>
    <row r="313" spans="1:13" x14ac:dyDescent="0.3">
      <c r="A313" s="17" t="s">
        <v>535</v>
      </c>
      <c r="B313" s="18" t="s">
        <v>27</v>
      </c>
      <c r="C313" s="19">
        <v>45586</v>
      </c>
      <c r="D313" s="18" t="s">
        <v>74</v>
      </c>
      <c r="E313" s="18" t="s">
        <v>219</v>
      </c>
      <c r="F313" s="9">
        <v>4275</v>
      </c>
      <c r="G313" s="9">
        <v>680</v>
      </c>
      <c r="H313" s="9">
        <v>385</v>
      </c>
      <c r="I313" s="9">
        <v>64125</v>
      </c>
      <c r="J313" s="9">
        <v>63650</v>
      </c>
      <c r="K313" s="9">
        <v>104</v>
      </c>
      <c r="L313" s="18" t="s">
        <v>30</v>
      </c>
      <c r="M313" s="20" t="s">
        <v>38</v>
      </c>
    </row>
    <row r="314" spans="1:13" x14ac:dyDescent="0.3">
      <c r="A314" s="13" t="s">
        <v>535</v>
      </c>
      <c r="B314" s="14" t="s">
        <v>27</v>
      </c>
      <c r="C314" s="15">
        <v>45586</v>
      </c>
      <c r="D314" s="14" t="s">
        <v>74</v>
      </c>
      <c r="E314" s="14" t="s">
        <v>219</v>
      </c>
      <c r="F314" s="8">
        <v>4275</v>
      </c>
      <c r="G314" s="8">
        <v>680</v>
      </c>
      <c r="H314" s="8">
        <v>385</v>
      </c>
      <c r="I314" s="8">
        <v>64125</v>
      </c>
      <c r="J314" s="8">
        <v>63650</v>
      </c>
      <c r="K314" s="8">
        <v>104</v>
      </c>
      <c r="L314" s="14" t="s">
        <v>613</v>
      </c>
      <c r="M314" s="16" t="s">
        <v>38</v>
      </c>
    </row>
    <row r="315" spans="1:13" x14ac:dyDescent="0.3">
      <c r="A315" s="17" t="s">
        <v>536</v>
      </c>
      <c r="B315" s="18" t="s">
        <v>27</v>
      </c>
      <c r="C315" s="19">
        <v>45738</v>
      </c>
      <c r="D315" s="18" t="s">
        <v>52</v>
      </c>
      <c r="E315" s="18" t="s">
        <v>53</v>
      </c>
      <c r="F315" s="9">
        <v>3166</v>
      </c>
      <c r="G315" s="9">
        <v>90</v>
      </c>
      <c r="H315" s="9">
        <v>341</v>
      </c>
      <c r="I315" s="9">
        <v>56988</v>
      </c>
      <c r="J315" s="9">
        <v>56125</v>
      </c>
      <c r="K315" s="9">
        <v>135</v>
      </c>
      <c r="L315" s="18" t="s">
        <v>37</v>
      </c>
      <c r="M315" s="20" t="s">
        <v>25</v>
      </c>
    </row>
    <row r="316" spans="1:13" x14ac:dyDescent="0.3">
      <c r="A316" s="13" t="s">
        <v>538</v>
      </c>
      <c r="B316" s="14" t="s">
        <v>33</v>
      </c>
      <c r="C316" s="15">
        <v>45568</v>
      </c>
      <c r="D316" s="14" t="s">
        <v>74</v>
      </c>
      <c r="E316" s="14" t="s">
        <v>85</v>
      </c>
      <c r="F316" s="8">
        <v>1488</v>
      </c>
      <c r="G316" s="8">
        <v>417</v>
      </c>
      <c r="H316" s="8">
        <v>168</v>
      </c>
      <c r="I316" s="8">
        <v>19344</v>
      </c>
      <c r="J316" s="8">
        <v>18395</v>
      </c>
      <c r="K316" s="8">
        <v>30</v>
      </c>
      <c r="L316" s="14" t="s">
        <v>62</v>
      </c>
      <c r="M316" s="16" t="s">
        <v>31</v>
      </c>
    </row>
    <row r="317" spans="1:13" x14ac:dyDescent="0.3">
      <c r="A317" s="17" t="s">
        <v>540</v>
      </c>
      <c r="B317" s="18" t="s">
        <v>14</v>
      </c>
      <c r="C317" s="19">
        <v>45786</v>
      </c>
      <c r="D317" s="18" t="s">
        <v>16</v>
      </c>
      <c r="E317" s="18" t="s">
        <v>17</v>
      </c>
      <c r="F317" s="9">
        <v>3367</v>
      </c>
      <c r="G317" s="9">
        <v>302</v>
      </c>
      <c r="H317" s="9">
        <v>57</v>
      </c>
      <c r="I317" s="9">
        <v>63973</v>
      </c>
      <c r="J317" s="9">
        <v>63789</v>
      </c>
      <c r="K317" s="9">
        <v>157</v>
      </c>
      <c r="L317" s="18" t="s">
        <v>62</v>
      </c>
      <c r="M317" s="20" t="s">
        <v>25</v>
      </c>
    </row>
    <row r="318" spans="1:13" x14ac:dyDescent="0.3">
      <c r="A318" s="13" t="s">
        <v>542</v>
      </c>
      <c r="B318" s="14" t="s">
        <v>14</v>
      </c>
      <c r="C318" s="15">
        <v>45552</v>
      </c>
      <c r="D318" s="14" t="s">
        <v>22</v>
      </c>
      <c r="E318" s="14" t="s">
        <v>23</v>
      </c>
      <c r="F318" s="8">
        <v>571</v>
      </c>
      <c r="G318" s="8">
        <v>190</v>
      </c>
      <c r="H318" s="8">
        <v>352</v>
      </c>
      <c r="I318" s="8">
        <v>9707</v>
      </c>
      <c r="J318" s="8">
        <v>9418</v>
      </c>
      <c r="K318" s="8">
        <v>231</v>
      </c>
      <c r="L318" s="14" t="s">
        <v>30</v>
      </c>
      <c r="M318" s="16" t="s">
        <v>38</v>
      </c>
    </row>
    <row r="319" spans="1:13" x14ac:dyDescent="0.3">
      <c r="A319" s="17" t="s">
        <v>543</v>
      </c>
      <c r="B319" s="18" t="s">
        <v>27</v>
      </c>
      <c r="C319" s="19">
        <v>45491</v>
      </c>
      <c r="D319" s="18" t="s">
        <v>22</v>
      </c>
      <c r="E319" s="18" t="s">
        <v>104</v>
      </c>
      <c r="F319" s="9">
        <v>4021</v>
      </c>
      <c r="G319" s="9">
        <v>794</v>
      </c>
      <c r="H319" s="9">
        <v>77</v>
      </c>
      <c r="I319" s="9">
        <v>36189</v>
      </c>
      <c r="J319" s="9">
        <v>35505</v>
      </c>
      <c r="K319" s="9">
        <v>174</v>
      </c>
      <c r="L319" s="18" t="s">
        <v>37</v>
      </c>
      <c r="M319" s="20"/>
    </row>
    <row r="320" spans="1:13" x14ac:dyDescent="0.3">
      <c r="A320" s="13" t="s">
        <v>544</v>
      </c>
      <c r="B320" s="14" t="s">
        <v>27</v>
      </c>
      <c r="C320" s="15">
        <v>45560</v>
      </c>
      <c r="D320" s="14" t="s">
        <v>74</v>
      </c>
      <c r="E320" s="14" t="s">
        <v>219</v>
      </c>
      <c r="F320" s="8">
        <v>3389</v>
      </c>
      <c r="G320" s="8">
        <v>344</v>
      </c>
      <c r="H320" s="8">
        <v>229</v>
      </c>
      <c r="I320" s="8">
        <v>20334</v>
      </c>
      <c r="J320" s="8">
        <v>19443</v>
      </c>
      <c r="K320" s="8">
        <v>228</v>
      </c>
      <c r="L320" s="14" t="s">
        <v>62</v>
      </c>
      <c r="M320" s="16" t="s">
        <v>31</v>
      </c>
    </row>
    <row r="321" spans="1:13" x14ac:dyDescent="0.3">
      <c r="A321" s="17" t="s">
        <v>546</v>
      </c>
      <c r="B321" s="18" t="s">
        <v>33</v>
      </c>
      <c r="C321" s="19">
        <v>45519</v>
      </c>
      <c r="D321" s="18" t="s">
        <v>16</v>
      </c>
      <c r="E321" s="18" t="s">
        <v>82</v>
      </c>
      <c r="F321" s="9">
        <v>1164</v>
      </c>
      <c r="G321" s="9">
        <v>616</v>
      </c>
      <c r="H321" s="9">
        <v>324</v>
      </c>
      <c r="I321" s="9">
        <v>6984</v>
      </c>
      <c r="J321" s="9">
        <v>6636</v>
      </c>
      <c r="K321" s="9">
        <v>82</v>
      </c>
      <c r="L321" s="18" t="s">
        <v>37</v>
      </c>
      <c r="M321" s="20" t="s">
        <v>19</v>
      </c>
    </row>
    <row r="322" spans="1:13" x14ac:dyDescent="0.3">
      <c r="A322" s="13" t="s">
        <v>547</v>
      </c>
      <c r="B322" s="14" t="s">
        <v>27</v>
      </c>
      <c r="C322" s="15">
        <v>45764</v>
      </c>
      <c r="D322" s="14" t="s">
        <v>45</v>
      </c>
      <c r="E322" s="14" t="s">
        <v>68</v>
      </c>
      <c r="F322" s="8">
        <v>4780</v>
      </c>
      <c r="G322" s="8">
        <v>691</v>
      </c>
      <c r="H322" s="8">
        <v>380</v>
      </c>
      <c r="I322" s="8">
        <v>86040</v>
      </c>
      <c r="J322" s="8">
        <v>85743</v>
      </c>
      <c r="K322" s="8">
        <v>262</v>
      </c>
      <c r="L322" s="14" t="s">
        <v>62</v>
      </c>
      <c r="M322" s="16" t="s">
        <v>31</v>
      </c>
    </row>
    <row r="323" spans="1:13" x14ac:dyDescent="0.3">
      <c r="A323" s="17" t="s">
        <v>549</v>
      </c>
      <c r="B323" s="18" t="s">
        <v>43</v>
      </c>
      <c r="C323" s="19">
        <v>45624</v>
      </c>
      <c r="D323" s="18" t="s">
        <v>45</v>
      </c>
      <c r="E323" s="18" t="s">
        <v>46</v>
      </c>
      <c r="F323" s="9">
        <v>2751</v>
      </c>
      <c r="G323" s="9">
        <v>33</v>
      </c>
      <c r="H323" s="9">
        <v>430</v>
      </c>
      <c r="I323" s="9">
        <v>44016</v>
      </c>
      <c r="J323" s="9">
        <v>43415</v>
      </c>
      <c r="K323" s="9">
        <v>129</v>
      </c>
      <c r="L323" s="18" t="s">
        <v>62</v>
      </c>
      <c r="M323" s="20"/>
    </row>
    <row r="324" spans="1:13" x14ac:dyDescent="0.3">
      <c r="A324" s="13" t="s">
        <v>550</v>
      </c>
      <c r="B324" s="14" t="s">
        <v>33</v>
      </c>
      <c r="C324" s="15">
        <v>45646</v>
      </c>
      <c r="D324" s="14" t="s">
        <v>45</v>
      </c>
      <c r="E324" s="14" t="s">
        <v>88</v>
      </c>
      <c r="F324" s="8">
        <v>2107</v>
      </c>
      <c r="G324" s="8">
        <v>550</v>
      </c>
      <c r="H324" s="8">
        <v>349</v>
      </c>
      <c r="I324" s="8">
        <v>35819</v>
      </c>
      <c r="J324" s="8">
        <v>35340</v>
      </c>
      <c r="K324" s="8">
        <v>191</v>
      </c>
      <c r="L324" s="14" t="s">
        <v>37</v>
      </c>
      <c r="M324" s="16" t="s">
        <v>38</v>
      </c>
    </row>
    <row r="325" spans="1:13" x14ac:dyDescent="0.3">
      <c r="A325" s="17" t="s">
        <v>552</v>
      </c>
      <c r="B325" s="18" t="s">
        <v>43</v>
      </c>
      <c r="C325" s="19">
        <v>45602</v>
      </c>
      <c r="D325" s="18" t="s">
        <v>74</v>
      </c>
      <c r="E325" s="18" t="s">
        <v>75</v>
      </c>
      <c r="F325" s="9">
        <v>4663</v>
      </c>
      <c r="G325" s="9">
        <v>145</v>
      </c>
      <c r="H325" s="9">
        <v>225</v>
      </c>
      <c r="I325" s="9">
        <v>69945</v>
      </c>
      <c r="J325" s="9">
        <v>69596</v>
      </c>
      <c r="K325" s="9">
        <v>35</v>
      </c>
      <c r="L325" s="18" t="s">
        <v>37</v>
      </c>
      <c r="M325" s="20" t="s">
        <v>38</v>
      </c>
    </row>
    <row r="326" spans="1:13" x14ac:dyDescent="0.3">
      <c r="A326" s="13" t="s">
        <v>553</v>
      </c>
      <c r="B326" s="14" t="s">
        <v>43</v>
      </c>
      <c r="C326" s="15">
        <v>45613</v>
      </c>
      <c r="D326" s="14" t="s">
        <v>22</v>
      </c>
      <c r="E326" s="14" t="s">
        <v>56</v>
      </c>
      <c r="F326" s="8">
        <v>880</v>
      </c>
      <c r="G326" s="8">
        <v>297</v>
      </c>
      <c r="H326" s="8">
        <v>345</v>
      </c>
      <c r="I326" s="8">
        <v>12320</v>
      </c>
      <c r="J326" s="8">
        <v>11978</v>
      </c>
      <c r="K326" s="8">
        <v>238</v>
      </c>
      <c r="L326" s="14" t="s">
        <v>30</v>
      </c>
      <c r="M326" s="16"/>
    </row>
    <row r="327" spans="1:13" x14ac:dyDescent="0.3">
      <c r="A327" s="17" t="s">
        <v>553</v>
      </c>
      <c r="B327" s="18" t="s">
        <v>43</v>
      </c>
      <c r="C327" s="19">
        <v>45613</v>
      </c>
      <c r="D327" s="18" t="s">
        <v>22</v>
      </c>
      <c r="E327" s="18" t="s">
        <v>56</v>
      </c>
      <c r="F327" s="9">
        <v>880</v>
      </c>
      <c r="G327" s="9">
        <v>297</v>
      </c>
      <c r="H327" s="9">
        <v>345</v>
      </c>
      <c r="I327" s="9">
        <v>12320</v>
      </c>
      <c r="J327" s="9">
        <v>11978</v>
      </c>
      <c r="K327" s="9">
        <v>238</v>
      </c>
      <c r="L327" s="18" t="s">
        <v>613</v>
      </c>
      <c r="M327" s="20"/>
    </row>
    <row r="328" spans="1:13" x14ac:dyDescent="0.3">
      <c r="A328" s="13" t="s">
        <v>555</v>
      </c>
      <c r="B328" s="14" t="s">
        <v>43</v>
      </c>
      <c r="C328" s="15">
        <v>45791</v>
      </c>
      <c r="D328" s="14" t="s">
        <v>22</v>
      </c>
      <c r="E328" s="14" t="s">
        <v>56</v>
      </c>
      <c r="F328" s="8">
        <v>2634</v>
      </c>
      <c r="G328" s="8">
        <v>726</v>
      </c>
      <c r="H328" s="8">
        <v>241</v>
      </c>
      <c r="I328" s="8">
        <v>28974</v>
      </c>
      <c r="J328" s="8">
        <v>28102</v>
      </c>
      <c r="K328" s="8">
        <v>277</v>
      </c>
      <c r="L328" s="14" t="s">
        <v>37</v>
      </c>
      <c r="M328" s="16" t="s">
        <v>19</v>
      </c>
    </row>
    <row r="329" spans="1:13" x14ac:dyDescent="0.3">
      <c r="A329" s="17" t="s">
        <v>557</v>
      </c>
      <c r="B329" s="18" t="s">
        <v>43</v>
      </c>
      <c r="C329" s="19">
        <v>45462</v>
      </c>
      <c r="D329" s="18" t="s">
        <v>45</v>
      </c>
      <c r="E329" s="18" t="s">
        <v>46</v>
      </c>
      <c r="F329" s="9">
        <v>4731</v>
      </c>
      <c r="G329" s="9">
        <v>173</v>
      </c>
      <c r="H329" s="9">
        <v>276</v>
      </c>
      <c r="I329" s="9">
        <v>28386</v>
      </c>
      <c r="J329" s="9">
        <v>28185</v>
      </c>
      <c r="K329" s="9">
        <v>89</v>
      </c>
      <c r="L329" s="18" t="s">
        <v>37</v>
      </c>
      <c r="M329" s="20" t="s">
        <v>31</v>
      </c>
    </row>
    <row r="330" spans="1:13" x14ac:dyDescent="0.3">
      <c r="A330" s="13" t="s">
        <v>559</v>
      </c>
      <c r="B330" s="14" t="s">
        <v>14</v>
      </c>
      <c r="C330" s="15">
        <v>45783</v>
      </c>
      <c r="D330" s="14" t="s">
        <v>52</v>
      </c>
      <c r="E330" s="14" t="s">
        <v>132</v>
      </c>
      <c r="F330" s="8">
        <v>1952</v>
      </c>
      <c r="G330" s="8">
        <v>344</v>
      </c>
      <c r="H330" s="8">
        <v>287</v>
      </c>
      <c r="I330" s="8">
        <v>15616</v>
      </c>
      <c r="J330" s="8">
        <v>15403</v>
      </c>
      <c r="K330" s="8">
        <v>235</v>
      </c>
      <c r="L330" s="14" t="s">
        <v>62</v>
      </c>
      <c r="M330" s="16" t="s">
        <v>25</v>
      </c>
    </row>
    <row r="331" spans="1:13" x14ac:dyDescent="0.3">
      <c r="A331" s="17" t="s">
        <v>559</v>
      </c>
      <c r="B331" s="18" t="s">
        <v>14</v>
      </c>
      <c r="C331" s="19">
        <v>45783</v>
      </c>
      <c r="D331" s="18" t="s">
        <v>52</v>
      </c>
      <c r="E331" s="18" t="s">
        <v>132</v>
      </c>
      <c r="F331" s="9">
        <v>1952</v>
      </c>
      <c r="G331" s="9">
        <v>344</v>
      </c>
      <c r="H331" s="9">
        <v>287</v>
      </c>
      <c r="I331" s="9">
        <v>15616</v>
      </c>
      <c r="J331" s="9">
        <v>15403</v>
      </c>
      <c r="K331" s="9">
        <v>235</v>
      </c>
      <c r="L331" s="18" t="s">
        <v>30</v>
      </c>
      <c r="M331" s="20" t="s">
        <v>25</v>
      </c>
    </row>
    <row r="332" spans="1:13" x14ac:dyDescent="0.3">
      <c r="A332" s="13" t="s">
        <v>559</v>
      </c>
      <c r="B332" s="14" t="s">
        <v>14</v>
      </c>
      <c r="C332" s="15">
        <v>45783</v>
      </c>
      <c r="D332" s="14" t="s">
        <v>52</v>
      </c>
      <c r="E332" s="14" t="s">
        <v>132</v>
      </c>
      <c r="F332" s="8">
        <v>1952</v>
      </c>
      <c r="G332" s="8">
        <v>344</v>
      </c>
      <c r="H332" s="8">
        <v>287</v>
      </c>
      <c r="I332" s="8">
        <v>15616</v>
      </c>
      <c r="J332" s="8">
        <v>15403</v>
      </c>
      <c r="K332" s="8">
        <v>235</v>
      </c>
      <c r="L332" s="14" t="s">
        <v>613</v>
      </c>
      <c r="M332" s="16" t="s">
        <v>25</v>
      </c>
    </row>
    <row r="333" spans="1:13" x14ac:dyDescent="0.3">
      <c r="A333" s="17" t="s">
        <v>560</v>
      </c>
      <c r="B333" s="18" t="s">
        <v>14</v>
      </c>
      <c r="C333" s="19">
        <v>45699</v>
      </c>
      <c r="D333" s="18" t="s">
        <v>74</v>
      </c>
      <c r="E333" s="18" t="s">
        <v>145</v>
      </c>
      <c r="F333" s="9">
        <v>3440</v>
      </c>
      <c r="G333" s="9">
        <v>13</v>
      </c>
      <c r="H333" s="9">
        <v>20</v>
      </c>
      <c r="I333" s="9">
        <v>58480</v>
      </c>
      <c r="J333" s="9">
        <v>58146</v>
      </c>
      <c r="K333" s="9">
        <v>210</v>
      </c>
      <c r="L333" s="18" t="s">
        <v>30</v>
      </c>
      <c r="M333" s="20" t="s">
        <v>38</v>
      </c>
    </row>
    <row r="334" spans="1:13" x14ac:dyDescent="0.3">
      <c r="A334" s="13" t="s">
        <v>560</v>
      </c>
      <c r="B334" s="14" t="s">
        <v>14</v>
      </c>
      <c r="C334" s="15">
        <v>45699</v>
      </c>
      <c r="D334" s="14" t="s">
        <v>74</v>
      </c>
      <c r="E334" s="14" t="s">
        <v>145</v>
      </c>
      <c r="F334" s="8">
        <v>3440</v>
      </c>
      <c r="G334" s="8">
        <v>13</v>
      </c>
      <c r="H334" s="8">
        <v>20</v>
      </c>
      <c r="I334" s="8">
        <v>58480</v>
      </c>
      <c r="J334" s="8">
        <v>58146</v>
      </c>
      <c r="K334" s="8">
        <v>210</v>
      </c>
      <c r="L334" s="14" t="s">
        <v>607</v>
      </c>
      <c r="M334" s="16" t="s">
        <v>38</v>
      </c>
    </row>
    <row r="335" spans="1:13" x14ac:dyDescent="0.3">
      <c r="A335" s="17" t="s">
        <v>562</v>
      </c>
      <c r="B335" s="18" t="s">
        <v>14</v>
      </c>
      <c r="C335" s="19">
        <v>45650</v>
      </c>
      <c r="D335" s="18" t="s">
        <v>22</v>
      </c>
      <c r="E335" s="18" t="s">
        <v>23</v>
      </c>
      <c r="F335" s="9">
        <v>2166</v>
      </c>
      <c r="G335" s="9">
        <v>354</v>
      </c>
      <c r="H335" s="9">
        <v>117</v>
      </c>
      <c r="I335" s="9">
        <v>10830</v>
      </c>
      <c r="J335" s="9">
        <v>10245</v>
      </c>
      <c r="K335" s="9">
        <v>24</v>
      </c>
      <c r="L335" s="18" t="s">
        <v>37</v>
      </c>
      <c r="M335" s="20" t="s">
        <v>38</v>
      </c>
    </row>
    <row r="336" spans="1:13" x14ac:dyDescent="0.3">
      <c r="A336" s="13" t="s">
        <v>564</v>
      </c>
      <c r="B336" s="14" t="s">
        <v>43</v>
      </c>
      <c r="C336" s="15">
        <v>45589</v>
      </c>
      <c r="D336" s="14" t="s">
        <v>52</v>
      </c>
      <c r="E336" s="14" t="s">
        <v>59</v>
      </c>
      <c r="F336" s="8">
        <v>4303</v>
      </c>
      <c r="G336" s="8">
        <v>451</v>
      </c>
      <c r="H336" s="8">
        <v>286</v>
      </c>
      <c r="I336" s="8">
        <v>86060</v>
      </c>
      <c r="J336" s="8">
        <v>85823</v>
      </c>
      <c r="K336" s="8">
        <v>14</v>
      </c>
      <c r="L336" s="14" t="s">
        <v>30</v>
      </c>
      <c r="M336" s="16" t="s">
        <v>31</v>
      </c>
    </row>
    <row r="337" spans="1:13" x14ac:dyDescent="0.3">
      <c r="A337" s="17" t="s">
        <v>565</v>
      </c>
      <c r="B337" s="18" t="s">
        <v>43</v>
      </c>
      <c r="C337" s="19">
        <v>45530</v>
      </c>
      <c r="D337" s="18" t="s">
        <v>52</v>
      </c>
      <c r="E337" s="18" t="s">
        <v>59</v>
      </c>
      <c r="F337" s="9">
        <v>2581</v>
      </c>
      <c r="G337" s="9">
        <v>517</v>
      </c>
      <c r="H337" s="9">
        <v>117</v>
      </c>
      <c r="I337" s="9">
        <v>23229</v>
      </c>
      <c r="J337" s="9">
        <v>22331</v>
      </c>
      <c r="K337" s="9">
        <v>70</v>
      </c>
      <c r="L337" s="18" t="s">
        <v>62</v>
      </c>
      <c r="M337" s="20" t="s">
        <v>31</v>
      </c>
    </row>
    <row r="338" spans="1:13" x14ac:dyDescent="0.3">
      <c r="A338" s="13" t="s">
        <v>566</v>
      </c>
      <c r="B338" s="14" t="s">
        <v>14</v>
      </c>
      <c r="C338" s="15">
        <v>45535</v>
      </c>
      <c r="D338" s="14" t="s">
        <v>45</v>
      </c>
      <c r="E338" s="14" t="s">
        <v>49</v>
      </c>
      <c r="F338" s="8">
        <v>4494</v>
      </c>
      <c r="G338" s="8">
        <v>717</v>
      </c>
      <c r="H338" s="8">
        <v>45</v>
      </c>
      <c r="I338" s="8">
        <v>62916</v>
      </c>
      <c r="J338" s="8">
        <v>62688</v>
      </c>
      <c r="K338" s="8">
        <v>191</v>
      </c>
      <c r="L338" s="14" t="s">
        <v>30</v>
      </c>
      <c r="M338" s="16" t="s">
        <v>19</v>
      </c>
    </row>
    <row r="339" spans="1:13" x14ac:dyDescent="0.3">
      <c r="A339" s="17" t="s">
        <v>566</v>
      </c>
      <c r="B339" s="18" t="s">
        <v>14</v>
      </c>
      <c r="C339" s="19">
        <v>45535</v>
      </c>
      <c r="D339" s="18" t="s">
        <v>45</v>
      </c>
      <c r="E339" s="18" t="s">
        <v>49</v>
      </c>
      <c r="F339" s="9">
        <v>4494</v>
      </c>
      <c r="G339" s="9">
        <v>717</v>
      </c>
      <c r="H339" s="9">
        <v>45</v>
      </c>
      <c r="I339" s="9">
        <v>62916</v>
      </c>
      <c r="J339" s="9">
        <v>62688</v>
      </c>
      <c r="K339" s="9">
        <v>191</v>
      </c>
      <c r="L339" s="18" t="s">
        <v>37</v>
      </c>
      <c r="M339" s="20" t="s">
        <v>19</v>
      </c>
    </row>
    <row r="340" spans="1:13" x14ac:dyDescent="0.3">
      <c r="A340" s="13" t="s">
        <v>566</v>
      </c>
      <c r="B340" s="14" t="s">
        <v>14</v>
      </c>
      <c r="C340" s="15">
        <v>45535</v>
      </c>
      <c r="D340" s="14" t="s">
        <v>45</v>
      </c>
      <c r="E340" s="14" t="s">
        <v>49</v>
      </c>
      <c r="F340" s="8">
        <v>4494</v>
      </c>
      <c r="G340" s="8">
        <v>717</v>
      </c>
      <c r="H340" s="8">
        <v>45</v>
      </c>
      <c r="I340" s="8">
        <v>62916</v>
      </c>
      <c r="J340" s="8">
        <v>62688</v>
      </c>
      <c r="K340" s="8">
        <v>191</v>
      </c>
      <c r="L340" s="14" t="s">
        <v>614</v>
      </c>
      <c r="M340" s="16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E9C5-BD24-41B5-A5FF-10F4E3587592}">
  <dimension ref="A3:C10"/>
  <sheetViews>
    <sheetView workbookViewId="0">
      <selection activeCell="J24" sqref="J24"/>
    </sheetView>
  </sheetViews>
  <sheetFormatPr defaultRowHeight="14.4" x14ac:dyDescent="0.3"/>
  <cols>
    <col min="1" max="1" width="20.21875" bestFit="1" customWidth="1"/>
    <col min="2" max="2" width="16.44140625" bestFit="1" customWidth="1"/>
    <col min="3" max="3" width="26.33203125" bestFit="1" customWidth="1"/>
  </cols>
  <sheetData>
    <row r="3" spans="1:3" x14ac:dyDescent="0.3">
      <c r="A3" s="11" t="s">
        <v>619</v>
      </c>
      <c r="B3" t="s">
        <v>630</v>
      </c>
      <c r="C3" t="s">
        <v>626</v>
      </c>
    </row>
    <row r="4" spans="1:3" x14ac:dyDescent="0.3">
      <c r="A4" s="12" t="s">
        <v>30</v>
      </c>
      <c r="B4" s="4">
        <v>5350</v>
      </c>
      <c r="C4" s="4">
        <v>5.648224299065487</v>
      </c>
    </row>
    <row r="5" spans="1:3" x14ac:dyDescent="0.3">
      <c r="A5" s="12" t="s">
        <v>62</v>
      </c>
      <c r="B5" s="4">
        <v>5150</v>
      </c>
      <c r="C5" s="4">
        <v>5.6563417475728803</v>
      </c>
    </row>
    <row r="6" spans="1:3" x14ac:dyDescent="0.3">
      <c r="A6" s="12" t="s">
        <v>37</v>
      </c>
      <c r="B6" s="4">
        <v>5100</v>
      </c>
      <c r="C6" s="4">
        <v>5.6477803921568785</v>
      </c>
    </row>
    <row r="7" spans="1:3" x14ac:dyDescent="0.3">
      <c r="A7" s="12" t="s">
        <v>613</v>
      </c>
      <c r="B7" s="4">
        <v>750</v>
      </c>
      <c r="C7" s="4">
        <v>5.6509066666666614</v>
      </c>
    </row>
    <row r="8" spans="1:3" x14ac:dyDescent="0.3">
      <c r="A8" s="12" t="s">
        <v>614</v>
      </c>
      <c r="B8" s="4">
        <v>350</v>
      </c>
      <c r="C8" s="4">
        <v>5.6345714285714239</v>
      </c>
    </row>
    <row r="9" spans="1:3" x14ac:dyDescent="0.3">
      <c r="A9" s="12" t="s">
        <v>607</v>
      </c>
      <c r="B9" s="4">
        <v>250</v>
      </c>
      <c r="C9" s="4">
        <v>5.6529199999999973</v>
      </c>
    </row>
    <row r="10" spans="1:3" x14ac:dyDescent="0.3">
      <c r="A10" s="12" t="s">
        <v>620</v>
      </c>
      <c r="B10" s="4">
        <v>16950</v>
      </c>
      <c r="C10" s="4">
        <v>5.650463126843853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D892-E566-4B09-B6A2-DA5A97F6D2B7}">
  <dimension ref="A3:B10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26.33203125" bestFit="1" customWidth="1"/>
  </cols>
  <sheetData>
    <row r="3" spans="1:2" x14ac:dyDescent="0.3">
      <c r="A3" s="11" t="s">
        <v>619</v>
      </c>
      <c r="B3" t="s">
        <v>626</v>
      </c>
    </row>
    <row r="4" spans="1:2" x14ac:dyDescent="0.3">
      <c r="A4" s="12" t="s">
        <v>35</v>
      </c>
      <c r="B4" s="4">
        <v>5.6596333333333169</v>
      </c>
    </row>
    <row r="5" spans="1:2" x14ac:dyDescent="0.3">
      <c r="A5" s="12" t="s">
        <v>45</v>
      </c>
      <c r="B5" s="4">
        <v>5.6538805970149069</v>
      </c>
    </row>
    <row r="6" spans="1:2" x14ac:dyDescent="0.3">
      <c r="A6" s="12" t="s">
        <v>52</v>
      </c>
      <c r="B6" s="4">
        <v>5.6516722222222553</v>
      </c>
    </row>
    <row r="7" spans="1:2" x14ac:dyDescent="0.3">
      <c r="A7" s="12" t="s">
        <v>74</v>
      </c>
      <c r="B7" s="4">
        <v>5.647980392156839</v>
      </c>
    </row>
    <row r="8" spans="1:2" x14ac:dyDescent="0.3">
      <c r="A8" s="12" t="s">
        <v>22</v>
      </c>
      <c r="B8" s="4">
        <v>5.6456500000000069</v>
      </c>
    </row>
    <row r="9" spans="1:2" x14ac:dyDescent="0.3">
      <c r="A9" s="12" t="s">
        <v>16</v>
      </c>
      <c r="B9" s="4">
        <v>5.6429433962264355</v>
      </c>
    </row>
    <row r="10" spans="1:2" x14ac:dyDescent="0.3">
      <c r="A10" s="12" t="s">
        <v>620</v>
      </c>
      <c r="B10" s="4">
        <v>5.6504631268438272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00E7-FC47-4886-A368-F10804D56D32}">
  <dimension ref="A1:S302"/>
  <sheetViews>
    <sheetView topLeftCell="H1" zoomScale="70" zoomScaleNormal="70" workbookViewId="0">
      <selection activeCell="T2" sqref="T2"/>
    </sheetView>
  </sheetViews>
  <sheetFormatPr defaultColWidth="25.5546875" defaultRowHeight="14.4" x14ac:dyDescent="0.3"/>
  <cols>
    <col min="1" max="1" width="11.88671875" customWidth="1"/>
    <col min="2" max="2" width="13.88671875" customWidth="1"/>
    <col min="3" max="3" width="18.33203125" customWidth="1"/>
    <col min="6" max="6" width="10.77734375" customWidth="1"/>
    <col min="7" max="7" width="13.109375" customWidth="1"/>
    <col min="8" max="8" width="15.33203125" customWidth="1"/>
    <col min="9" max="9" width="13.88671875" customWidth="1"/>
    <col min="10" max="10" width="13.6640625" customWidth="1"/>
    <col min="11" max="11" width="14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636</v>
      </c>
      <c r="O1" t="s">
        <v>637</v>
      </c>
      <c r="P1" t="s">
        <v>638</v>
      </c>
      <c r="Q1" t="s">
        <v>639</v>
      </c>
      <c r="R1" t="s">
        <v>640</v>
      </c>
      <c r="S1" t="s">
        <v>641</v>
      </c>
    </row>
    <row r="2" spans="1:19" x14ac:dyDescent="0.3">
      <c r="A2" s="4" t="s">
        <v>13</v>
      </c>
      <c r="B2" s="4" t="s">
        <v>14</v>
      </c>
      <c r="C2" s="5">
        <v>45649</v>
      </c>
      <c r="D2" s="4" t="s">
        <v>16</v>
      </c>
      <c r="E2" s="4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s="4" t="s">
        <v>62</v>
      </c>
      <c r="M2" s="4" t="s">
        <v>19</v>
      </c>
      <c r="N2">
        <v>53484</v>
      </c>
      <c r="O2">
        <v>12307</v>
      </c>
      <c r="P2">
        <v>5.6557999999999993</v>
      </c>
      <c r="Q2">
        <v>1060357</v>
      </c>
      <c r="R2">
        <f>(F2+K2)/Q2</f>
        <v>1.3919840204761227E-3</v>
      </c>
      <c r="S2">
        <f>N2-O2</f>
        <v>41177</v>
      </c>
    </row>
    <row r="3" spans="1:19" x14ac:dyDescent="0.3">
      <c r="A3" s="4" t="s">
        <v>20</v>
      </c>
      <c r="B3" s="4" t="s">
        <v>14</v>
      </c>
      <c r="C3" s="5">
        <v>45750</v>
      </c>
      <c r="D3" s="4" t="s">
        <v>22</v>
      </c>
      <c r="E3" s="4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s="4" t="s">
        <v>30</v>
      </c>
      <c r="M3" s="4" t="s">
        <v>25</v>
      </c>
      <c r="N3">
        <v>53484</v>
      </c>
      <c r="O3">
        <v>12307</v>
      </c>
      <c r="P3">
        <v>5.6557999999999993</v>
      </c>
      <c r="Q3">
        <v>1060357</v>
      </c>
      <c r="R3">
        <f t="shared" ref="R3:R66" si="0">(F3+K3)/Q3</f>
        <v>3.9335808600311026E-3</v>
      </c>
      <c r="S3">
        <f t="shared" ref="S3:S66" si="1">N3-O3</f>
        <v>41177</v>
      </c>
    </row>
    <row r="4" spans="1:19" x14ac:dyDescent="0.3">
      <c r="A4" s="4" t="s">
        <v>32</v>
      </c>
      <c r="B4" s="4" t="s">
        <v>33</v>
      </c>
      <c r="C4" s="5">
        <v>45516</v>
      </c>
      <c r="D4" s="4" t="s">
        <v>35</v>
      </c>
      <c r="E4" s="4" t="s">
        <v>36</v>
      </c>
      <c r="F4">
        <v>2404</v>
      </c>
      <c r="G4">
        <v>363</v>
      </c>
      <c r="H4">
        <v>138</v>
      </c>
      <c r="I4">
        <v>19232</v>
      </c>
      <c r="J4">
        <v>18636</v>
      </c>
      <c r="K4">
        <v>128</v>
      </c>
      <c r="L4" s="4" t="s">
        <v>37</v>
      </c>
      <c r="M4" s="4" t="s">
        <v>38</v>
      </c>
      <c r="N4">
        <v>58311</v>
      </c>
      <c r="O4">
        <v>10307</v>
      </c>
      <c r="P4">
        <v>5.7155999999999993</v>
      </c>
      <c r="Q4">
        <v>1164373</v>
      </c>
      <c r="R4">
        <f t="shared" si="0"/>
        <v>2.1745609010171141E-3</v>
      </c>
      <c r="S4">
        <f t="shared" si="1"/>
        <v>48004</v>
      </c>
    </row>
    <row r="5" spans="1:19" x14ac:dyDescent="0.3">
      <c r="A5" s="4" t="s">
        <v>26</v>
      </c>
      <c r="B5" s="4" t="s">
        <v>27</v>
      </c>
      <c r="C5" s="5">
        <v>45789</v>
      </c>
      <c r="D5" s="4" t="s">
        <v>16</v>
      </c>
      <c r="E5" s="4" t="s">
        <v>29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s="4" t="s">
        <v>30</v>
      </c>
      <c r="M5" s="4" t="s">
        <v>31</v>
      </c>
      <c r="N5">
        <v>47471</v>
      </c>
      <c r="O5">
        <v>12104</v>
      </c>
      <c r="P5">
        <v>5.5587999999999997</v>
      </c>
      <c r="Q5">
        <v>1228647</v>
      </c>
      <c r="R5">
        <f t="shared" si="0"/>
        <v>2.4408963681187518E-3</v>
      </c>
      <c r="S5">
        <f t="shared" si="1"/>
        <v>35367</v>
      </c>
    </row>
    <row r="6" spans="1:19" x14ac:dyDescent="0.3">
      <c r="A6" s="4" t="s">
        <v>39</v>
      </c>
      <c r="B6" s="4" t="s">
        <v>27</v>
      </c>
      <c r="C6" s="5">
        <v>45469</v>
      </c>
      <c r="D6" s="4" t="s">
        <v>16</v>
      </c>
      <c r="E6" s="4" t="s">
        <v>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s="4" t="s">
        <v>37</v>
      </c>
      <c r="M6" s="4" t="s">
        <v>19</v>
      </c>
      <c r="N6">
        <v>47471</v>
      </c>
      <c r="O6">
        <v>12104</v>
      </c>
      <c r="P6">
        <v>5.5587999999999997</v>
      </c>
      <c r="Q6">
        <v>1228647</v>
      </c>
      <c r="R6">
        <f t="shared" si="0"/>
        <v>3.0773688455675227E-3</v>
      </c>
      <c r="S6">
        <f t="shared" si="1"/>
        <v>35367</v>
      </c>
    </row>
    <row r="7" spans="1:19" x14ac:dyDescent="0.3">
      <c r="A7" s="4" t="s">
        <v>42</v>
      </c>
      <c r="B7" s="4" t="s">
        <v>43</v>
      </c>
      <c r="C7" s="5">
        <v>45596</v>
      </c>
      <c r="D7" s="4" t="s">
        <v>45</v>
      </c>
      <c r="E7" s="4" t="s">
        <v>46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s="4" t="s">
        <v>30</v>
      </c>
      <c r="M7" s="4" t="s">
        <v>25</v>
      </c>
      <c r="N7">
        <v>50862</v>
      </c>
      <c r="O7">
        <v>15305</v>
      </c>
      <c r="P7">
        <v>5.6486000000000001</v>
      </c>
      <c r="Q7">
        <v>1379539</v>
      </c>
      <c r="R7">
        <f t="shared" si="0"/>
        <v>2.3203403455792117E-3</v>
      </c>
      <c r="S7">
        <f t="shared" si="1"/>
        <v>35557</v>
      </c>
    </row>
    <row r="8" spans="1:19" x14ac:dyDescent="0.3">
      <c r="A8" s="4" t="s">
        <v>47</v>
      </c>
      <c r="B8" s="4" t="s">
        <v>14</v>
      </c>
      <c r="C8" s="5">
        <v>45467</v>
      </c>
      <c r="D8" s="4" t="s">
        <v>45</v>
      </c>
      <c r="E8" s="4" t="s">
        <v>49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s="4" t="s">
        <v>30</v>
      </c>
      <c r="M8" s="4" t="s">
        <v>25</v>
      </c>
      <c r="N8">
        <v>53484</v>
      </c>
      <c r="O8">
        <v>12307</v>
      </c>
      <c r="P8">
        <v>5.6557999999999993</v>
      </c>
      <c r="Q8">
        <v>1060357</v>
      </c>
      <c r="R8">
        <f t="shared" si="0"/>
        <v>3.8619068860770477E-3</v>
      </c>
      <c r="S8">
        <f t="shared" si="1"/>
        <v>41177</v>
      </c>
    </row>
    <row r="9" spans="1:19" x14ac:dyDescent="0.3">
      <c r="A9" s="4" t="s">
        <v>50</v>
      </c>
      <c r="B9" s="4" t="s">
        <v>27</v>
      </c>
      <c r="C9" s="5">
        <v>45486</v>
      </c>
      <c r="D9" s="4" t="s">
        <v>52</v>
      </c>
      <c r="E9" s="4" t="s">
        <v>53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s="4" t="s">
        <v>37</v>
      </c>
      <c r="M9" s="4" t="s">
        <v>38</v>
      </c>
      <c r="N9">
        <v>47471</v>
      </c>
      <c r="O9">
        <v>12104</v>
      </c>
      <c r="P9">
        <v>5.5587999999999997</v>
      </c>
      <c r="Q9">
        <v>1228647</v>
      </c>
      <c r="R9">
        <f t="shared" si="0"/>
        <v>3.2295687858270115E-3</v>
      </c>
      <c r="S9">
        <f t="shared" si="1"/>
        <v>35367</v>
      </c>
    </row>
    <row r="10" spans="1:19" x14ac:dyDescent="0.3">
      <c r="A10" s="4" t="s">
        <v>54</v>
      </c>
      <c r="B10" s="4" t="s">
        <v>43</v>
      </c>
      <c r="C10" s="5">
        <v>45534</v>
      </c>
      <c r="D10" s="4" t="s">
        <v>22</v>
      </c>
      <c r="E10" s="4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s="4" t="s">
        <v>30</v>
      </c>
      <c r="M10" s="4" t="s">
        <v>25</v>
      </c>
      <c r="N10">
        <v>50862</v>
      </c>
      <c r="O10">
        <v>15305</v>
      </c>
      <c r="P10">
        <v>5.6486000000000001</v>
      </c>
      <c r="Q10">
        <v>1379539</v>
      </c>
      <c r="R10">
        <f t="shared" si="0"/>
        <v>2.8379045463738247E-3</v>
      </c>
      <c r="S10">
        <f t="shared" si="1"/>
        <v>35557</v>
      </c>
    </row>
    <row r="11" spans="1:19" x14ac:dyDescent="0.3">
      <c r="A11" s="4" t="s">
        <v>57</v>
      </c>
      <c r="B11" s="4" t="s">
        <v>43</v>
      </c>
      <c r="C11" s="5">
        <v>45727</v>
      </c>
      <c r="D11" s="4" t="s">
        <v>52</v>
      </c>
      <c r="E11" s="4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s="4" t="s">
        <v>30</v>
      </c>
      <c r="M11" s="4" t="s">
        <v>25</v>
      </c>
      <c r="N11">
        <v>50862</v>
      </c>
      <c r="O11">
        <v>15305</v>
      </c>
      <c r="P11">
        <v>5.6486000000000001</v>
      </c>
      <c r="Q11">
        <v>1379539</v>
      </c>
      <c r="R11">
        <f t="shared" si="0"/>
        <v>3.1952703040653437E-3</v>
      </c>
      <c r="S11">
        <f t="shared" si="1"/>
        <v>35557</v>
      </c>
    </row>
    <row r="12" spans="1:19" x14ac:dyDescent="0.3">
      <c r="A12" s="4" t="s">
        <v>60</v>
      </c>
      <c r="B12" s="4" t="s">
        <v>33</v>
      </c>
      <c r="C12" s="5">
        <v>45690</v>
      </c>
      <c r="D12" s="4" t="s">
        <v>35</v>
      </c>
      <c r="E12" s="4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s="4" t="s">
        <v>62</v>
      </c>
      <c r="M12" s="4" t="s">
        <v>38</v>
      </c>
      <c r="N12">
        <v>58311</v>
      </c>
      <c r="O12">
        <v>10307</v>
      </c>
      <c r="P12">
        <v>5.7155999999999993</v>
      </c>
      <c r="Q12">
        <v>1164373</v>
      </c>
      <c r="R12">
        <f t="shared" si="0"/>
        <v>1.5948497603431202E-3</v>
      </c>
      <c r="S12">
        <f t="shared" si="1"/>
        <v>48004</v>
      </c>
    </row>
    <row r="13" spans="1:19" x14ac:dyDescent="0.3">
      <c r="A13" s="4" t="s">
        <v>63</v>
      </c>
      <c r="B13" s="4" t="s">
        <v>43</v>
      </c>
      <c r="C13" s="5">
        <v>45494</v>
      </c>
      <c r="D13" s="4" t="s">
        <v>16</v>
      </c>
      <c r="E13" s="4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s="4" t="s">
        <v>62</v>
      </c>
      <c r="M13" s="4" t="s">
        <v>31</v>
      </c>
      <c r="N13">
        <v>50862</v>
      </c>
      <c r="O13">
        <v>15305</v>
      </c>
      <c r="P13">
        <v>5.6486000000000001</v>
      </c>
      <c r="Q13">
        <v>1379539</v>
      </c>
      <c r="R13">
        <f t="shared" si="0"/>
        <v>1.5650155595456163E-3</v>
      </c>
      <c r="S13">
        <f t="shared" si="1"/>
        <v>35557</v>
      </c>
    </row>
    <row r="14" spans="1:19" x14ac:dyDescent="0.3">
      <c r="A14" s="4" t="s">
        <v>66</v>
      </c>
      <c r="B14" s="4" t="s">
        <v>27</v>
      </c>
      <c r="C14" s="5">
        <v>45614</v>
      </c>
      <c r="D14" s="4" t="s">
        <v>45</v>
      </c>
      <c r="E14" s="4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s="4" t="s">
        <v>37</v>
      </c>
      <c r="M14" s="4" t="s">
        <v>19</v>
      </c>
      <c r="N14">
        <v>47471</v>
      </c>
      <c r="O14">
        <v>12104</v>
      </c>
      <c r="P14">
        <v>5.5587999999999997</v>
      </c>
      <c r="Q14">
        <v>1228647</v>
      </c>
      <c r="R14">
        <f t="shared" si="0"/>
        <v>1.0458658996440799E-3</v>
      </c>
      <c r="S14">
        <f t="shared" si="1"/>
        <v>35367</v>
      </c>
    </row>
    <row r="15" spans="1:19" x14ac:dyDescent="0.3">
      <c r="A15" s="4" t="s">
        <v>69</v>
      </c>
      <c r="B15" s="4" t="s">
        <v>43</v>
      </c>
      <c r="C15" s="5">
        <v>45704</v>
      </c>
      <c r="D15" s="4" t="s">
        <v>35</v>
      </c>
      <c r="E15" s="4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s="4" t="s">
        <v>62</v>
      </c>
      <c r="M15" s="4"/>
      <c r="N15">
        <v>50862</v>
      </c>
      <c r="O15">
        <v>15305</v>
      </c>
      <c r="P15">
        <v>5.6486000000000001</v>
      </c>
      <c r="Q15">
        <v>1379539</v>
      </c>
      <c r="R15">
        <f t="shared" si="0"/>
        <v>3.2670334075368657E-3</v>
      </c>
      <c r="S15">
        <f t="shared" si="1"/>
        <v>35557</v>
      </c>
    </row>
    <row r="16" spans="1:19" x14ac:dyDescent="0.3">
      <c r="A16" s="4" t="s">
        <v>72</v>
      </c>
      <c r="B16" s="4" t="s">
        <v>43</v>
      </c>
      <c r="C16" s="5">
        <v>45589</v>
      </c>
      <c r="D16" s="4" t="s">
        <v>74</v>
      </c>
      <c r="E16" s="4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s="4" t="s">
        <v>62</v>
      </c>
      <c r="M16" s="4" t="s">
        <v>19</v>
      </c>
      <c r="N16">
        <v>50862</v>
      </c>
      <c r="O16">
        <v>15305</v>
      </c>
      <c r="P16">
        <v>5.6486000000000001</v>
      </c>
      <c r="Q16">
        <v>1379539</v>
      </c>
      <c r="R16">
        <f t="shared" si="0"/>
        <v>2.8328303875425052E-3</v>
      </c>
      <c r="S16">
        <f t="shared" si="1"/>
        <v>35557</v>
      </c>
    </row>
    <row r="17" spans="1:19" x14ac:dyDescent="0.3">
      <c r="A17" s="4" t="s">
        <v>76</v>
      </c>
      <c r="B17" s="4" t="s">
        <v>43</v>
      </c>
      <c r="C17" s="5">
        <v>45530</v>
      </c>
      <c r="D17" s="4" t="s">
        <v>22</v>
      </c>
      <c r="E17" s="4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s="4" t="s">
        <v>62</v>
      </c>
      <c r="M17" s="4" t="s">
        <v>31</v>
      </c>
      <c r="N17">
        <v>50862</v>
      </c>
      <c r="O17">
        <v>15305</v>
      </c>
      <c r="P17">
        <v>5.6486000000000001</v>
      </c>
      <c r="Q17">
        <v>1379539</v>
      </c>
      <c r="R17">
        <f t="shared" si="0"/>
        <v>2.5653497291486505E-3</v>
      </c>
      <c r="S17">
        <f t="shared" si="1"/>
        <v>35557</v>
      </c>
    </row>
    <row r="18" spans="1:19" x14ac:dyDescent="0.3">
      <c r="A18" s="4" t="s">
        <v>78</v>
      </c>
      <c r="B18" s="4" t="s">
        <v>43</v>
      </c>
      <c r="C18" s="5">
        <v>45782</v>
      </c>
      <c r="D18" s="4" t="s">
        <v>22</v>
      </c>
      <c r="E18" s="4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s="4" t="s">
        <v>37</v>
      </c>
      <c r="M18" s="4" t="s">
        <v>38</v>
      </c>
      <c r="N18">
        <v>50862</v>
      </c>
      <c r="O18">
        <v>15305</v>
      </c>
      <c r="P18">
        <v>5.6486000000000001</v>
      </c>
      <c r="Q18">
        <v>1379539</v>
      </c>
      <c r="R18">
        <f t="shared" si="0"/>
        <v>3.3344472320101133E-3</v>
      </c>
      <c r="S18">
        <f t="shared" si="1"/>
        <v>35557</v>
      </c>
    </row>
    <row r="19" spans="1:19" x14ac:dyDescent="0.3">
      <c r="A19" s="4" t="s">
        <v>80</v>
      </c>
      <c r="B19" s="4" t="s">
        <v>33</v>
      </c>
      <c r="C19" s="5">
        <v>45523</v>
      </c>
      <c r="D19" s="4" t="s">
        <v>16</v>
      </c>
      <c r="E19" s="4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s="4" t="s">
        <v>62</v>
      </c>
      <c r="M19" s="4" t="s">
        <v>19</v>
      </c>
      <c r="N19">
        <v>58311</v>
      </c>
      <c r="O19">
        <v>10307</v>
      </c>
      <c r="P19">
        <v>5.7155999999999993</v>
      </c>
      <c r="Q19">
        <v>1164373</v>
      </c>
      <c r="R19">
        <f t="shared" si="0"/>
        <v>2.5928117536219062E-3</v>
      </c>
      <c r="S19">
        <f t="shared" si="1"/>
        <v>48004</v>
      </c>
    </row>
    <row r="20" spans="1:19" x14ac:dyDescent="0.3">
      <c r="A20" s="4" t="s">
        <v>83</v>
      </c>
      <c r="B20" s="4" t="s">
        <v>33</v>
      </c>
      <c r="C20" s="5">
        <v>45466</v>
      </c>
      <c r="D20" s="4" t="s">
        <v>74</v>
      </c>
      <c r="E20" s="4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s="4" t="s">
        <v>30</v>
      </c>
      <c r="M20" s="4" t="s">
        <v>38</v>
      </c>
      <c r="N20">
        <v>58311</v>
      </c>
      <c r="O20">
        <v>10307</v>
      </c>
      <c r="P20">
        <v>5.7155999999999993</v>
      </c>
      <c r="Q20">
        <v>1164373</v>
      </c>
      <c r="R20">
        <f t="shared" si="0"/>
        <v>1.0082679691129904E-3</v>
      </c>
      <c r="S20">
        <f t="shared" si="1"/>
        <v>48004</v>
      </c>
    </row>
    <row r="21" spans="1:19" x14ac:dyDescent="0.3">
      <c r="A21" s="4" t="s">
        <v>86</v>
      </c>
      <c r="B21" s="4" t="s">
        <v>33</v>
      </c>
      <c r="C21" s="5">
        <v>45544</v>
      </c>
      <c r="D21" s="4" t="s">
        <v>45</v>
      </c>
      <c r="E21" s="4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s="4" t="s">
        <v>30</v>
      </c>
      <c r="M21" s="4" t="s">
        <v>19</v>
      </c>
      <c r="N21">
        <v>58311</v>
      </c>
      <c r="O21">
        <v>10307</v>
      </c>
      <c r="P21">
        <v>5.7155999999999993</v>
      </c>
      <c r="Q21">
        <v>1164373</v>
      </c>
      <c r="R21">
        <f t="shared" si="0"/>
        <v>3.5031729523099559E-3</v>
      </c>
      <c r="S21">
        <f t="shared" si="1"/>
        <v>48004</v>
      </c>
    </row>
    <row r="22" spans="1:19" x14ac:dyDescent="0.3">
      <c r="A22" s="4" t="s">
        <v>89</v>
      </c>
      <c r="B22" s="4" t="s">
        <v>33</v>
      </c>
      <c r="C22" s="5">
        <v>45661</v>
      </c>
      <c r="D22" s="4" t="s">
        <v>16</v>
      </c>
      <c r="E22" s="4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s="4" t="s">
        <v>62</v>
      </c>
      <c r="M22" s="4" t="s">
        <v>38</v>
      </c>
      <c r="N22">
        <v>58311</v>
      </c>
      <c r="O22">
        <v>10307</v>
      </c>
      <c r="P22">
        <v>5.7155999999999993</v>
      </c>
      <c r="Q22">
        <v>1164373</v>
      </c>
      <c r="R22">
        <f t="shared" si="0"/>
        <v>4.2263089233432931E-3</v>
      </c>
      <c r="S22">
        <f t="shared" si="1"/>
        <v>48004</v>
      </c>
    </row>
    <row r="23" spans="1:19" x14ac:dyDescent="0.3">
      <c r="A23" s="4" t="s">
        <v>91</v>
      </c>
      <c r="B23" s="4" t="s">
        <v>43</v>
      </c>
      <c r="C23" s="5">
        <v>45715</v>
      </c>
      <c r="D23" s="4" t="s">
        <v>22</v>
      </c>
      <c r="E23" s="4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s="4" t="s">
        <v>30</v>
      </c>
      <c r="M23" s="4" t="s">
        <v>38</v>
      </c>
      <c r="N23">
        <v>50862</v>
      </c>
      <c r="O23">
        <v>15305</v>
      </c>
      <c r="P23">
        <v>5.6486000000000001</v>
      </c>
      <c r="Q23">
        <v>1379539</v>
      </c>
      <c r="R23">
        <f t="shared" si="0"/>
        <v>1.2344703556767876E-3</v>
      </c>
      <c r="S23">
        <f t="shared" si="1"/>
        <v>35557</v>
      </c>
    </row>
    <row r="24" spans="1:19" x14ac:dyDescent="0.3">
      <c r="A24" s="4" t="s">
        <v>93</v>
      </c>
      <c r="B24" s="4" t="s">
        <v>43</v>
      </c>
      <c r="C24" s="5">
        <v>45602</v>
      </c>
      <c r="D24" s="4" t="s">
        <v>74</v>
      </c>
      <c r="E24" s="4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s="4" t="s">
        <v>30</v>
      </c>
      <c r="M24" s="4" t="s">
        <v>25</v>
      </c>
      <c r="N24">
        <v>50862</v>
      </c>
      <c r="O24">
        <v>15305</v>
      </c>
      <c r="P24">
        <v>5.6486000000000001</v>
      </c>
      <c r="Q24">
        <v>1379539</v>
      </c>
      <c r="R24">
        <f t="shared" si="0"/>
        <v>1.3272549743066342E-3</v>
      </c>
      <c r="S24">
        <f t="shared" si="1"/>
        <v>35557</v>
      </c>
    </row>
    <row r="25" spans="1:19" x14ac:dyDescent="0.3">
      <c r="A25" s="4" t="s">
        <v>96</v>
      </c>
      <c r="B25" s="4" t="s">
        <v>43</v>
      </c>
      <c r="C25" s="5">
        <v>45680</v>
      </c>
      <c r="D25" s="4" t="s">
        <v>74</v>
      </c>
      <c r="E25" s="4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s="4" t="s">
        <v>62</v>
      </c>
      <c r="M25" s="4" t="s">
        <v>31</v>
      </c>
      <c r="N25">
        <v>50862</v>
      </c>
      <c r="O25">
        <v>15305</v>
      </c>
      <c r="P25">
        <v>5.6486000000000001</v>
      </c>
      <c r="Q25">
        <v>1379539</v>
      </c>
      <c r="R25">
        <f t="shared" si="0"/>
        <v>2.9879546718142801E-3</v>
      </c>
      <c r="S25">
        <f t="shared" si="1"/>
        <v>35557</v>
      </c>
    </row>
    <row r="26" spans="1:19" x14ac:dyDescent="0.3">
      <c r="A26" s="4" t="s">
        <v>98</v>
      </c>
      <c r="B26" s="4" t="s">
        <v>14</v>
      </c>
      <c r="C26" s="5">
        <v>45757</v>
      </c>
      <c r="D26" s="4" t="s">
        <v>45</v>
      </c>
      <c r="E26" s="4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s="4" t="s">
        <v>37</v>
      </c>
      <c r="M26" s="4"/>
      <c r="N26">
        <v>53484</v>
      </c>
      <c r="O26">
        <v>12307</v>
      </c>
      <c r="P26">
        <v>5.6557999999999993</v>
      </c>
      <c r="Q26">
        <v>1060357</v>
      </c>
      <c r="R26">
        <f t="shared" si="0"/>
        <v>3.1744025832809138E-3</v>
      </c>
      <c r="S26">
        <f t="shared" si="1"/>
        <v>41177</v>
      </c>
    </row>
    <row r="27" spans="1:19" x14ac:dyDescent="0.3">
      <c r="A27" s="4" t="s">
        <v>100</v>
      </c>
      <c r="B27" s="4" t="s">
        <v>27</v>
      </c>
      <c r="C27" s="5">
        <v>45752</v>
      </c>
      <c r="D27" s="4" t="s">
        <v>16</v>
      </c>
      <c r="E27" s="4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s="4" t="s">
        <v>62</v>
      </c>
      <c r="M27" s="4" t="s">
        <v>25</v>
      </c>
      <c r="N27">
        <v>47471</v>
      </c>
      <c r="O27">
        <v>12104</v>
      </c>
      <c r="P27">
        <v>5.5587999999999997</v>
      </c>
      <c r="Q27">
        <v>1228647</v>
      </c>
      <c r="R27">
        <f t="shared" si="0"/>
        <v>2.6207690247890564E-3</v>
      </c>
      <c r="S27">
        <f t="shared" si="1"/>
        <v>35367</v>
      </c>
    </row>
    <row r="28" spans="1:19" x14ac:dyDescent="0.3">
      <c r="A28" s="4" t="s">
        <v>102</v>
      </c>
      <c r="B28" s="4" t="s">
        <v>27</v>
      </c>
      <c r="C28" s="5">
        <v>45552</v>
      </c>
      <c r="D28" s="4" t="s">
        <v>22</v>
      </c>
      <c r="E28" s="4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s="4" t="s">
        <v>62</v>
      </c>
      <c r="M28" s="4" t="s">
        <v>38</v>
      </c>
      <c r="N28">
        <v>47471</v>
      </c>
      <c r="O28">
        <v>12104</v>
      </c>
      <c r="P28">
        <v>5.5587999999999997</v>
      </c>
      <c r="Q28">
        <v>1228647</v>
      </c>
      <c r="R28">
        <f t="shared" si="0"/>
        <v>1.7311725825237029E-3</v>
      </c>
      <c r="S28">
        <f t="shared" si="1"/>
        <v>35367</v>
      </c>
    </row>
    <row r="29" spans="1:19" x14ac:dyDescent="0.3">
      <c r="A29" s="4" t="s">
        <v>105</v>
      </c>
      <c r="B29" s="4" t="s">
        <v>33</v>
      </c>
      <c r="C29" s="5">
        <v>45720</v>
      </c>
      <c r="D29" s="4" t="s">
        <v>74</v>
      </c>
      <c r="E29" s="4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s="4" t="s">
        <v>62</v>
      </c>
      <c r="M29" s="4" t="s">
        <v>38</v>
      </c>
      <c r="N29">
        <v>58311</v>
      </c>
      <c r="O29">
        <v>10307</v>
      </c>
      <c r="P29">
        <v>5.7155999999999993</v>
      </c>
      <c r="Q29">
        <v>1164373</v>
      </c>
      <c r="R29">
        <f t="shared" si="0"/>
        <v>4.3886280427320114E-4</v>
      </c>
      <c r="S29">
        <f t="shared" si="1"/>
        <v>48004</v>
      </c>
    </row>
    <row r="30" spans="1:19" x14ac:dyDescent="0.3">
      <c r="A30" s="4" t="s">
        <v>107</v>
      </c>
      <c r="B30" s="4" t="s">
        <v>33</v>
      </c>
      <c r="C30" s="5">
        <v>45688</v>
      </c>
      <c r="D30" s="4" t="s">
        <v>45</v>
      </c>
      <c r="E30" s="4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s="4" t="s">
        <v>62</v>
      </c>
      <c r="M30" s="4" t="s">
        <v>31</v>
      </c>
      <c r="N30">
        <v>58311</v>
      </c>
      <c r="O30">
        <v>10307</v>
      </c>
      <c r="P30">
        <v>5.7155999999999993</v>
      </c>
      <c r="Q30">
        <v>1164373</v>
      </c>
      <c r="R30">
        <f t="shared" si="0"/>
        <v>2.393562887493956E-3</v>
      </c>
      <c r="S30">
        <f t="shared" si="1"/>
        <v>48004</v>
      </c>
    </row>
    <row r="31" spans="1:19" x14ac:dyDescent="0.3">
      <c r="A31" s="4" t="s">
        <v>109</v>
      </c>
      <c r="B31" s="4" t="s">
        <v>33</v>
      </c>
      <c r="C31" s="5">
        <v>45713</v>
      </c>
      <c r="D31" s="4" t="s">
        <v>74</v>
      </c>
      <c r="E31" s="4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s="4" t="s">
        <v>37</v>
      </c>
      <c r="M31" s="4"/>
      <c r="N31">
        <v>58311</v>
      </c>
      <c r="O31">
        <v>10307</v>
      </c>
      <c r="P31">
        <v>5.7155999999999993</v>
      </c>
      <c r="Q31">
        <v>1164373</v>
      </c>
      <c r="R31">
        <f t="shared" si="0"/>
        <v>2.737954246620284E-3</v>
      </c>
      <c r="S31">
        <f t="shared" si="1"/>
        <v>48004</v>
      </c>
    </row>
    <row r="32" spans="1:19" x14ac:dyDescent="0.3">
      <c r="A32" s="4" t="s">
        <v>111</v>
      </c>
      <c r="B32" s="4" t="s">
        <v>33</v>
      </c>
      <c r="C32" s="5">
        <v>45642</v>
      </c>
      <c r="D32" s="4" t="s">
        <v>22</v>
      </c>
      <c r="E32" s="4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s="4" t="s">
        <v>30</v>
      </c>
      <c r="M32" s="4" t="s">
        <v>25</v>
      </c>
      <c r="N32">
        <v>58311</v>
      </c>
      <c r="O32">
        <v>10307</v>
      </c>
      <c r="P32">
        <v>5.7155999999999993</v>
      </c>
      <c r="Q32">
        <v>1164373</v>
      </c>
      <c r="R32">
        <f t="shared" si="0"/>
        <v>6.1835855005225988E-4</v>
      </c>
      <c r="S32">
        <f t="shared" si="1"/>
        <v>48004</v>
      </c>
    </row>
    <row r="33" spans="1:19" x14ac:dyDescent="0.3">
      <c r="A33" s="4" t="s">
        <v>114</v>
      </c>
      <c r="B33" s="4" t="s">
        <v>14</v>
      </c>
      <c r="C33" s="5">
        <v>45504</v>
      </c>
      <c r="D33" s="4" t="s">
        <v>45</v>
      </c>
      <c r="E33" s="4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s="4" t="s">
        <v>37</v>
      </c>
      <c r="M33" s="4" t="s">
        <v>19</v>
      </c>
      <c r="N33">
        <v>53484</v>
      </c>
      <c r="O33">
        <v>12307</v>
      </c>
      <c r="P33">
        <v>5.6557999999999993</v>
      </c>
      <c r="Q33">
        <v>1060357</v>
      </c>
      <c r="R33">
        <f t="shared" si="0"/>
        <v>2.4076796776934563E-3</v>
      </c>
      <c r="S33">
        <f t="shared" si="1"/>
        <v>41177</v>
      </c>
    </row>
    <row r="34" spans="1:19" x14ac:dyDescent="0.3">
      <c r="A34" s="4" t="s">
        <v>116</v>
      </c>
      <c r="B34" s="4" t="s">
        <v>43</v>
      </c>
      <c r="C34" s="5">
        <v>45525</v>
      </c>
      <c r="D34" s="4" t="s">
        <v>52</v>
      </c>
      <c r="E34" s="4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s="4" t="s">
        <v>30</v>
      </c>
      <c r="M34" s="4" t="s">
        <v>19</v>
      </c>
      <c r="N34">
        <v>50862</v>
      </c>
      <c r="O34">
        <v>15305</v>
      </c>
      <c r="P34">
        <v>5.6486000000000001</v>
      </c>
      <c r="Q34">
        <v>1379539</v>
      </c>
      <c r="R34">
        <f t="shared" si="0"/>
        <v>1.1018173462294288E-3</v>
      </c>
      <c r="S34">
        <f t="shared" si="1"/>
        <v>35557</v>
      </c>
    </row>
    <row r="35" spans="1:19" x14ac:dyDescent="0.3">
      <c r="A35" s="4" t="s">
        <v>118</v>
      </c>
      <c r="B35" s="4" t="s">
        <v>43</v>
      </c>
      <c r="C35" s="5">
        <v>45742</v>
      </c>
      <c r="D35" s="4" t="s">
        <v>22</v>
      </c>
      <c r="E35" s="4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s="4" t="s">
        <v>30</v>
      </c>
      <c r="M35" s="4" t="s">
        <v>31</v>
      </c>
      <c r="N35">
        <v>50862</v>
      </c>
      <c r="O35">
        <v>15305</v>
      </c>
      <c r="P35">
        <v>5.6486000000000001</v>
      </c>
      <c r="Q35">
        <v>1379539</v>
      </c>
      <c r="R35">
        <f t="shared" si="0"/>
        <v>1.3533506482962788E-3</v>
      </c>
      <c r="S35">
        <f t="shared" si="1"/>
        <v>35557</v>
      </c>
    </row>
    <row r="36" spans="1:19" x14ac:dyDescent="0.3">
      <c r="A36" s="4" t="s">
        <v>120</v>
      </c>
      <c r="B36" s="4" t="s">
        <v>33</v>
      </c>
      <c r="C36" s="5">
        <v>45626</v>
      </c>
      <c r="D36" s="4" t="s">
        <v>74</v>
      </c>
      <c r="E36" s="4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s="4" t="s">
        <v>62</v>
      </c>
      <c r="M36" s="4" t="s">
        <v>25</v>
      </c>
      <c r="N36">
        <v>58311</v>
      </c>
      <c r="O36">
        <v>10307</v>
      </c>
      <c r="P36">
        <v>5.7155999999999993</v>
      </c>
      <c r="Q36">
        <v>1164373</v>
      </c>
      <c r="R36">
        <f t="shared" si="0"/>
        <v>3.4748315187658938E-3</v>
      </c>
      <c r="S36">
        <f t="shared" si="1"/>
        <v>48004</v>
      </c>
    </row>
    <row r="37" spans="1:19" x14ac:dyDescent="0.3">
      <c r="A37" s="4" t="s">
        <v>122</v>
      </c>
      <c r="B37" s="4" t="s">
        <v>33</v>
      </c>
      <c r="C37" s="5">
        <v>45766</v>
      </c>
      <c r="D37" s="4" t="s">
        <v>35</v>
      </c>
      <c r="E37" s="4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s="4" t="s">
        <v>37</v>
      </c>
      <c r="M37" s="4" t="s">
        <v>25</v>
      </c>
      <c r="N37">
        <v>58311</v>
      </c>
      <c r="O37">
        <v>10307</v>
      </c>
      <c r="P37">
        <v>5.7155999999999993</v>
      </c>
      <c r="Q37">
        <v>1164373</v>
      </c>
      <c r="R37">
        <f t="shared" si="0"/>
        <v>3.9068236724829584E-3</v>
      </c>
      <c r="S37">
        <f t="shared" si="1"/>
        <v>48004</v>
      </c>
    </row>
    <row r="38" spans="1:19" x14ac:dyDescent="0.3">
      <c r="A38" s="4" t="s">
        <v>124</v>
      </c>
      <c r="B38" s="4" t="s">
        <v>43</v>
      </c>
      <c r="C38" s="5">
        <v>45663</v>
      </c>
      <c r="D38" s="4" t="s">
        <v>45</v>
      </c>
      <c r="E38" s="4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s="4" t="s">
        <v>37</v>
      </c>
      <c r="M38" s="4" t="s">
        <v>25</v>
      </c>
      <c r="N38">
        <v>50862</v>
      </c>
      <c r="O38">
        <v>15305</v>
      </c>
      <c r="P38">
        <v>5.6486000000000001</v>
      </c>
      <c r="Q38">
        <v>1379539</v>
      </c>
      <c r="R38">
        <f t="shared" si="0"/>
        <v>2.2181322891197714E-3</v>
      </c>
      <c r="S38">
        <f t="shared" si="1"/>
        <v>35557</v>
      </c>
    </row>
    <row r="39" spans="1:19" x14ac:dyDescent="0.3">
      <c r="A39" s="4" t="s">
        <v>126</v>
      </c>
      <c r="B39" s="4" t="s">
        <v>27</v>
      </c>
      <c r="C39" s="5">
        <v>45705</v>
      </c>
      <c r="D39" s="4" t="s">
        <v>16</v>
      </c>
      <c r="E39" s="4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s="4" t="s">
        <v>30</v>
      </c>
      <c r="M39" s="4" t="s">
        <v>38</v>
      </c>
      <c r="N39">
        <v>47471</v>
      </c>
      <c r="O39">
        <v>12104</v>
      </c>
      <c r="P39">
        <v>5.5587999999999997</v>
      </c>
      <c r="Q39">
        <v>1228647</v>
      </c>
      <c r="R39">
        <f t="shared" si="0"/>
        <v>2.6248385419082943E-3</v>
      </c>
      <c r="S39">
        <f t="shared" si="1"/>
        <v>35367</v>
      </c>
    </row>
    <row r="40" spans="1:19" x14ac:dyDescent="0.3">
      <c r="A40" s="4" t="s">
        <v>128</v>
      </c>
      <c r="B40" s="4" t="s">
        <v>43</v>
      </c>
      <c r="C40" s="5">
        <v>45621</v>
      </c>
      <c r="D40" s="4" t="s">
        <v>52</v>
      </c>
      <c r="E40" s="4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s="4" t="s">
        <v>30</v>
      </c>
      <c r="M40" s="4"/>
      <c r="N40">
        <v>50862</v>
      </c>
      <c r="O40">
        <v>15305</v>
      </c>
      <c r="P40">
        <v>5.6486000000000001</v>
      </c>
      <c r="Q40">
        <v>1379539</v>
      </c>
      <c r="R40">
        <f t="shared" si="0"/>
        <v>2.6501606696149945E-3</v>
      </c>
      <c r="S40">
        <f t="shared" si="1"/>
        <v>35557</v>
      </c>
    </row>
    <row r="41" spans="1:19" x14ac:dyDescent="0.3">
      <c r="A41" s="4" t="s">
        <v>130</v>
      </c>
      <c r="B41" s="4" t="s">
        <v>14</v>
      </c>
      <c r="C41" s="5">
        <v>45723</v>
      </c>
      <c r="D41" s="4" t="s">
        <v>52</v>
      </c>
      <c r="E41" s="4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s="4" t="s">
        <v>37</v>
      </c>
      <c r="M41" s="4" t="s">
        <v>38</v>
      </c>
      <c r="N41">
        <v>53484</v>
      </c>
      <c r="O41">
        <v>12307</v>
      </c>
      <c r="P41">
        <v>5.6557999999999993</v>
      </c>
      <c r="Q41">
        <v>1060357</v>
      </c>
      <c r="R41">
        <f t="shared" si="0"/>
        <v>4.7616038749213711E-3</v>
      </c>
      <c r="S41">
        <f t="shared" si="1"/>
        <v>41177</v>
      </c>
    </row>
    <row r="42" spans="1:19" x14ac:dyDescent="0.3">
      <c r="A42" s="4" t="s">
        <v>133</v>
      </c>
      <c r="B42" s="4" t="s">
        <v>33</v>
      </c>
      <c r="C42" s="5">
        <v>45724</v>
      </c>
      <c r="D42" s="4" t="s">
        <v>16</v>
      </c>
      <c r="E42" s="4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s="4" t="s">
        <v>62</v>
      </c>
      <c r="M42" s="4" t="s">
        <v>38</v>
      </c>
      <c r="N42">
        <v>58311</v>
      </c>
      <c r="O42">
        <v>10307</v>
      </c>
      <c r="P42">
        <v>5.7155999999999993</v>
      </c>
      <c r="Q42">
        <v>1164373</v>
      </c>
      <c r="R42">
        <f t="shared" si="0"/>
        <v>5.6768750220075525E-4</v>
      </c>
      <c r="S42">
        <f t="shared" si="1"/>
        <v>48004</v>
      </c>
    </row>
    <row r="43" spans="1:19" x14ac:dyDescent="0.3">
      <c r="A43" s="4" t="s">
        <v>135</v>
      </c>
      <c r="B43" s="4" t="s">
        <v>27</v>
      </c>
      <c r="C43" s="5">
        <v>45721</v>
      </c>
      <c r="D43" s="4" t="s">
        <v>16</v>
      </c>
      <c r="E43" s="4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s="4" t="s">
        <v>37</v>
      </c>
      <c r="M43" s="4"/>
      <c r="N43">
        <v>47471</v>
      </c>
      <c r="O43">
        <v>12104</v>
      </c>
      <c r="P43">
        <v>5.5587999999999997</v>
      </c>
      <c r="Q43">
        <v>1228647</v>
      </c>
      <c r="R43">
        <f t="shared" si="0"/>
        <v>1.4520037081439991E-3</v>
      </c>
      <c r="S43">
        <f t="shared" si="1"/>
        <v>35367</v>
      </c>
    </row>
    <row r="44" spans="1:19" x14ac:dyDescent="0.3">
      <c r="A44" s="4" t="s">
        <v>137</v>
      </c>
      <c r="B44" s="4" t="s">
        <v>33</v>
      </c>
      <c r="C44" s="5">
        <v>45640</v>
      </c>
      <c r="D44" s="4" t="s">
        <v>45</v>
      </c>
      <c r="E44" s="4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s="4" t="s">
        <v>30</v>
      </c>
      <c r="M44" s="4" t="s">
        <v>31</v>
      </c>
      <c r="N44">
        <v>58311</v>
      </c>
      <c r="O44">
        <v>10307</v>
      </c>
      <c r="P44">
        <v>5.7155999999999993</v>
      </c>
      <c r="Q44">
        <v>1164373</v>
      </c>
      <c r="R44">
        <f t="shared" si="0"/>
        <v>1.9847591794038507E-3</v>
      </c>
      <c r="S44">
        <f t="shared" si="1"/>
        <v>48004</v>
      </c>
    </row>
    <row r="45" spans="1:19" x14ac:dyDescent="0.3">
      <c r="A45" s="4" t="s">
        <v>139</v>
      </c>
      <c r="B45" s="4" t="s">
        <v>14</v>
      </c>
      <c r="C45" s="5">
        <v>45718</v>
      </c>
      <c r="D45" s="4" t="s">
        <v>52</v>
      </c>
      <c r="E45" s="4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s="4" t="s">
        <v>30</v>
      </c>
      <c r="M45" s="4"/>
      <c r="N45">
        <v>53484</v>
      </c>
      <c r="O45">
        <v>12307</v>
      </c>
      <c r="P45">
        <v>5.6557999999999993</v>
      </c>
      <c r="Q45">
        <v>1060357</v>
      </c>
      <c r="R45">
        <f t="shared" si="0"/>
        <v>2.427484328391287E-3</v>
      </c>
      <c r="S45">
        <f t="shared" si="1"/>
        <v>41177</v>
      </c>
    </row>
    <row r="46" spans="1:19" x14ac:dyDescent="0.3">
      <c r="A46" s="4" t="s">
        <v>141</v>
      </c>
      <c r="B46" s="4" t="s">
        <v>43</v>
      </c>
      <c r="C46" s="5">
        <v>45597</v>
      </c>
      <c r="D46" s="4" t="s">
        <v>74</v>
      </c>
      <c r="E46" s="4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s="4" t="s">
        <v>62</v>
      </c>
      <c r="M46" s="4" t="s">
        <v>19</v>
      </c>
      <c r="N46">
        <v>50862</v>
      </c>
      <c r="O46">
        <v>15305</v>
      </c>
      <c r="P46">
        <v>5.6486000000000001</v>
      </c>
      <c r="Q46">
        <v>1379539</v>
      </c>
      <c r="R46">
        <f t="shared" si="0"/>
        <v>2.571148767813016E-3</v>
      </c>
      <c r="S46">
        <f t="shared" si="1"/>
        <v>35557</v>
      </c>
    </row>
    <row r="47" spans="1:19" x14ac:dyDescent="0.3">
      <c r="A47" s="4" t="s">
        <v>143</v>
      </c>
      <c r="B47" s="4" t="s">
        <v>14</v>
      </c>
      <c r="C47" s="5">
        <v>45779</v>
      </c>
      <c r="D47" s="4" t="s">
        <v>74</v>
      </c>
      <c r="E47" s="4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s="4" t="s">
        <v>30</v>
      </c>
      <c r="M47" s="4" t="s">
        <v>38</v>
      </c>
      <c r="N47">
        <v>53484</v>
      </c>
      <c r="O47">
        <v>12307</v>
      </c>
      <c r="P47">
        <v>5.6557999999999993</v>
      </c>
      <c r="Q47">
        <v>1060357</v>
      </c>
      <c r="R47">
        <f t="shared" si="0"/>
        <v>1.1364097186136368E-3</v>
      </c>
      <c r="S47">
        <f t="shared" si="1"/>
        <v>41177</v>
      </c>
    </row>
    <row r="48" spans="1:19" x14ac:dyDescent="0.3">
      <c r="A48" s="4" t="s">
        <v>146</v>
      </c>
      <c r="B48" s="4" t="s">
        <v>14</v>
      </c>
      <c r="C48" s="5">
        <v>45712</v>
      </c>
      <c r="D48" s="4" t="s">
        <v>45</v>
      </c>
      <c r="E48" s="4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s="4" t="s">
        <v>62</v>
      </c>
      <c r="M48" s="4"/>
      <c r="N48">
        <v>53484</v>
      </c>
      <c r="O48">
        <v>12307</v>
      </c>
      <c r="P48">
        <v>5.6557999999999993</v>
      </c>
      <c r="Q48">
        <v>1060357</v>
      </c>
      <c r="R48">
        <f t="shared" si="0"/>
        <v>2.6698555297885525E-3</v>
      </c>
      <c r="S48">
        <f t="shared" si="1"/>
        <v>41177</v>
      </c>
    </row>
    <row r="49" spans="1:19" x14ac:dyDescent="0.3">
      <c r="A49" s="4" t="s">
        <v>148</v>
      </c>
      <c r="B49" s="4" t="s">
        <v>14</v>
      </c>
      <c r="C49" s="5">
        <v>45727</v>
      </c>
      <c r="D49" s="4" t="s">
        <v>35</v>
      </c>
      <c r="E49" s="4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s="4" t="s">
        <v>30</v>
      </c>
      <c r="M49" s="4"/>
      <c r="N49">
        <v>53484</v>
      </c>
      <c r="O49">
        <v>12307</v>
      </c>
      <c r="P49">
        <v>5.6557999999999993</v>
      </c>
      <c r="Q49">
        <v>1060357</v>
      </c>
      <c r="R49">
        <f t="shared" si="0"/>
        <v>1.951229633038684E-3</v>
      </c>
      <c r="S49">
        <f t="shared" si="1"/>
        <v>41177</v>
      </c>
    </row>
    <row r="50" spans="1:19" x14ac:dyDescent="0.3">
      <c r="A50" s="4" t="s">
        <v>150</v>
      </c>
      <c r="B50" s="4" t="s">
        <v>14</v>
      </c>
      <c r="C50" s="5">
        <v>45453</v>
      </c>
      <c r="D50" s="4" t="s">
        <v>35</v>
      </c>
      <c r="E50" s="4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s="4" t="s">
        <v>30</v>
      </c>
      <c r="M50" s="4" t="s">
        <v>38</v>
      </c>
      <c r="N50">
        <v>53484</v>
      </c>
      <c r="O50">
        <v>12307</v>
      </c>
      <c r="P50">
        <v>5.6557999999999993</v>
      </c>
      <c r="Q50">
        <v>1060357</v>
      </c>
      <c r="R50">
        <f t="shared" si="0"/>
        <v>2.2077470135058288E-3</v>
      </c>
      <c r="S50">
        <f t="shared" si="1"/>
        <v>41177</v>
      </c>
    </row>
    <row r="51" spans="1:19" x14ac:dyDescent="0.3">
      <c r="A51" s="4" t="s">
        <v>152</v>
      </c>
      <c r="B51" s="4" t="s">
        <v>27</v>
      </c>
      <c r="C51" s="5">
        <v>45476</v>
      </c>
      <c r="D51" s="4" t="s">
        <v>35</v>
      </c>
      <c r="E51" s="4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s="4" t="s">
        <v>30</v>
      </c>
      <c r="M51" s="4" t="s">
        <v>31</v>
      </c>
      <c r="N51">
        <v>47471</v>
      </c>
      <c r="O51">
        <v>12104</v>
      </c>
      <c r="P51">
        <v>5.5587999999999997</v>
      </c>
      <c r="Q51">
        <v>1228647</v>
      </c>
      <c r="R51">
        <f t="shared" si="0"/>
        <v>2.3326472127470298E-3</v>
      </c>
      <c r="S51">
        <f t="shared" si="1"/>
        <v>35367</v>
      </c>
    </row>
    <row r="52" spans="1:19" x14ac:dyDescent="0.3">
      <c r="A52" s="4" t="s">
        <v>155</v>
      </c>
      <c r="B52" s="4" t="s">
        <v>43</v>
      </c>
      <c r="C52" s="5">
        <v>45456</v>
      </c>
      <c r="D52" s="4" t="s">
        <v>45</v>
      </c>
      <c r="E52" s="4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s="4" t="s">
        <v>62</v>
      </c>
      <c r="M52" s="4" t="s">
        <v>25</v>
      </c>
      <c r="N52">
        <v>50862</v>
      </c>
      <c r="O52">
        <v>15305</v>
      </c>
      <c r="P52">
        <v>5.6486000000000001</v>
      </c>
      <c r="Q52">
        <v>1379539</v>
      </c>
      <c r="R52">
        <f t="shared" si="0"/>
        <v>1.7578335951357663E-3</v>
      </c>
      <c r="S52">
        <f t="shared" si="1"/>
        <v>35557</v>
      </c>
    </row>
    <row r="53" spans="1:19" x14ac:dyDescent="0.3">
      <c r="A53" s="4" t="s">
        <v>157</v>
      </c>
      <c r="B53" s="4" t="s">
        <v>43</v>
      </c>
      <c r="C53" s="5">
        <v>45660</v>
      </c>
      <c r="D53" s="4" t="s">
        <v>52</v>
      </c>
      <c r="E53" s="4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s="4" t="s">
        <v>30</v>
      </c>
      <c r="M53" s="4" t="s">
        <v>38</v>
      </c>
      <c r="N53">
        <v>50862</v>
      </c>
      <c r="O53">
        <v>15305</v>
      </c>
      <c r="P53">
        <v>5.6486000000000001</v>
      </c>
      <c r="Q53">
        <v>1379539</v>
      </c>
      <c r="R53">
        <f t="shared" si="0"/>
        <v>7.1110711621780902E-4</v>
      </c>
      <c r="S53">
        <f t="shared" si="1"/>
        <v>35557</v>
      </c>
    </row>
    <row r="54" spans="1:19" x14ac:dyDescent="0.3">
      <c r="A54" s="4" t="s">
        <v>159</v>
      </c>
      <c r="B54" s="4" t="s">
        <v>27</v>
      </c>
      <c r="C54" s="5">
        <v>45712</v>
      </c>
      <c r="D54" s="4" t="s">
        <v>45</v>
      </c>
      <c r="E54" s="4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s="4" t="s">
        <v>37</v>
      </c>
      <c r="M54" s="4"/>
      <c r="N54">
        <v>47471</v>
      </c>
      <c r="O54">
        <v>12104</v>
      </c>
      <c r="P54">
        <v>5.5587999999999997</v>
      </c>
      <c r="Q54">
        <v>1228647</v>
      </c>
      <c r="R54">
        <f t="shared" si="0"/>
        <v>6.6333129043573945E-4</v>
      </c>
      <c r="S54">
        <f t="shared" si="1"/>
        <v>35367</v>
      </c>
    </row>
    <row r="55" spans="1:19" x14ac:dyDescent="0.3">
      <c r="A55" s="4" t="s">
        <v>161</v>
      </c>
      <c r="B55" s="4" t="s">
        <v>27</v>
      </c>
      <c r="C55" s="5">
        <v>45729</v>
      </c>
      <c r="D55" s="4" t="s">
        <v>45</v>
      </c>
      <c r="E55" s="4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s="4" t="s">
        <v>62</v>
      </c>
      <c r="M55" s="4" t="s">
        <v>25</v>
      </c>
      <c r="N55">
        <v>47471</v>
      </c>
      <c r="O55">
        <v>12104</v>
      </c>
      <c r="P55">
        <v>5.5587999999999997</v>
      </c>
      <c r="Q55">
        <v>1228647</v>
      </c>
      <c r="R55">
        <f t="shared" si="0"/>
        <v>1.4145641506470125E-3</v>
      </c>
      <c r="S55">
        <f t="shared" si="1"/>
        <v>35367</v>
      </c>
    </row>
    <row r="56" spans="1:19" x14ac:dyDescent="0.3">
      <c r="A56" s="4" t="s">
        <v>163</v>
      </c>
      <c r="B56" s="4" t="s">
        <v>43</v>
      </c>
      <c r="C56" s="5">
        <v>45460</v>
      </c>
      <c r="D56" s="4" t="s">
        <v>52</v>
      </c>
      <c r="E56" s="4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s="4" t="s">
        <v>37</v>
      </c>
      <c r="M56" s="4" t="s">
        <v>38</v>
      </c>
      <c r="N56">
        <v>50862</v>
      </c>
      <c r="O56">
        <v>15305</v>
      </c>
      <c r="P56">
        <v>5.6486000000000001</v>
      </c>
      <c r="Q56">
        <v>1379539</v>
      </c>
      <c r="R56">
        <f t="shared" si="0"/>
        <v>9.7786289477861808E-4</v>
      </c>
      <c r="S56">
        <f t="shared" si="1"/>
        <v>35557</v>
      </c>
    </row>
    <row r="57" spans="1:19" x14ac:dyDescent="0.3">
      <c r="A57" s="4" t="s">
        <v>165</v>
      </c>
      <c r="B57" s="4" t="s">
        <v>43</v>
      </c>
      <c r="C57" s="5">
        <v>45644</v>
      </c>
      <c r="D57" s="4" t="s">
        <v>45</v>
      </c>
      <c r="E57" s="4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s="4" t="s">
        <v>62</v>
      </c>
      <c r="M57" s="4" t="s">
        <v>31</v>
      </c>
      <c r="N57">
        <v>50862</v>
      </c>
      <c r="O57">
        <v>15305</v>
      </c>
      <c r="P57">
        <v>5.6486000000000001</v>
      </c>
      <c r="Q57">
        <v>1379539</v>
      </c>
      <c r="R57">
        <f t="shared" si="0"/>
        <v>2.1789887781353046E-3</v>
      </c>
      <c r="S57">
        <f t="shared" si="1"/>
        <v>35557</v>
      </c>
    </row>
    <row r="58" spans="1:19" x14ac:dyDescent="0.3">
      <c r="A58" s="4" t="s">
        <v>167</v>
      </c>
      <c r="B58" s="4" t="s">
        <v>14</v>
      </c>
      <c r="C58" s="5">
        <v>45586</v>
      </c>
      <c r="D58" s="4" t="s">
        <v>74</v>
      </c>
      <c r="E58" s="4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s="4" t="s">
        <v>30</v>
      </c>
      <c r="M58" s="4" t="s">
        <v>19</v>
      </c>
      <c r="N58">
        <v>53484</v>
      </c>
      <c r="O58">
        <v>12307</v>
      </c>
      <c r="P58">
        <v>5.6557999999999993</v>
      </c>
      <c r="Q58">
        <v>1060357</v>
      </c>
      <c r="R58">
        <f t="shared" si="0"/>
        <v>2.8235773423479073E-3</v>
      </c>
      <c r="S58">
        <f t="shared" si="1"/>
        <v>41177</v>
      </c>
    </row>
    <row r="59" spans="1:19" x14ac:dyDescent="0.3">
      <c r="A59" s="4" t="s">
        <v>169</v>
      </c>
      <c r="B59" s="4" t="s">
        <v>33</v>
      </c>
      <c r="C59" s="5">
        <v>45762</v>
      </c>
      <c r="D59" s="4" t="s">
        <v>16</v>
      </c>
      <c r="E59" s="4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s="4" t="s">
        <v>30</v>
      </c>
      <c r="M59" s="4" t="s">
        <v>38</v>
      </c>
      <c r="N59">
        <v>58311</v>
      </c>
      <c r="O59">
        <v>10307</v>
      </c>
      <c r="P59">
        <v>5.7155999999999993</v>
      </c>
      <c r="Q59">
        <v>1164373</v>
      </c>
      <c r="R59">
        <f t="shared" si="0"/>
        <v>3.1347343162371511E-4</v>
      </c>
      <c r="S59">
        <f t="shared" si="1"/>
        <v>48004</v>
      </c>
    </row>
    <row r="60" spans="1:19" x14ac:dyDescent="0.3">
      <c r="A60" s="4" t="s">
        <v>171</v>
      </c>
      <c r="B60" s="4" t="s">
        <v>33</v>
      </c>
      <c r="C60" s="5">
        <v>45465</v>
      </c>
      <c r="D60" s="4" t="s">
        <v>22</v>
      </c>
      <c r="E60" s="4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s="4" t="s">
        <v>37</v>
      </c>
      <c r="M60" s="4"/>
      <c r="N60">
        <v>58311</v>
      </c>
      <c r="O60">
        <v>10307</v>
      </c>
      <c r="P60">
        <v>5.7155999999999993</v>
      </c>
      <c r="Q60">
        <v>1164373</v>
      </c>
      <c r="R60">
        <f t="shared" si="0"/>
        <v>2.021688926143083E-3</v>
      </c>
      <c r="S60">
        <f t="shared" si="1"/>
        <v>48004</v>
      </c>
    </row>
    <row r="61" spans="1:19" x14ac:dyDescent="0.3">
      <c r="A61" s="4" t="s">
        <v>173</v>
      </c>
      <c r="B61" s="4" t="s">
        <v>33</v>
      </c>
      <c r="C61" s="5">
        <v>45685</v>
      </c>
      <c r="D61" s="4" t="s">
        <v>74</v>
      </c>
      <c r="E61" s="4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s="4" t="s">
        <v>37</v>
      </c>
      <c r="M61" s="4" t="s">
        <v>31</v>
      </c>
      <c r="N61">
        <v>58311</v>
      </c>
      <c r="O61">
        <v>10307</v>
      </c>
      <c r="P61">
        <v>5.7155999999999993</v>
      </c>
      <c r="Q61">
        <v>1164373</v>
      </c>
      <c r="R61">
        <f t="shared" si="0"/>
        <v>8.4852534368282334E-4</v>
      </c>
      <c r="S61">
        <f t="shared" si="1"/>
        <v>48004</v>
      </c>
    </row>
    <row r="62" spans="1:19" x14ac:dyDescent="0.3">
      <c r="A62" s="4" t="s">
        <v>176</v>
      </c>
      <c r="B62" s="4" t="s">
        <v>14</v>
      </c>
      <c r="C62" s="5">
        <v>45540</v>
      </c>
      <c r="D62" s="4" t="s">
        <v>74</v>
      </c>
      <c r="E62" s="4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s="4" t="s">
        <v>30</v>
      </c>
      <c r="M62" s="4" t="s">
        <v>19</v>
      </c>
      <c r="N62">
        <v>53484</v>
      </c>
      <c r="O62">
        <v>12307</v>
      </c>
      <c r="P62">
        <v>5.6557999999999993</v>
      </c>
      <c r="Q62">
        <v>1060357</v>
      </c>
      <c r="R62">
        <f t="shared" si="0"/>
        <v>4.6691821716648265E-3</v>
      </c>
      <c r="S62">
        <f t="shared" si="1"/>
        <v>41177</v>
      </c>
    </row>
    <row r="63" spans="1:19" x14ac:dyDescent="0.3">
      <c r="A63" s="4" t="s">
        <v>178</v>
      </c>
      <c r="B63" s="4" t="s">
        <v>14</v>
      </c>
      <c r="C63" s="5">
        <v>45618</v>
      </c>
      <c r="D63" s="4" t="s">
        <v>45</v>
      </c>
      <c r="E63" s="4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s="4" t="s">
        <v>30</v>
      </c>
      <c r="M63" s="4" t="s">
        <v>31</v>
      </c>
      <c r="N63">
        <v>53484</v>
      </c>
      <c r="O63">
        <v>12307</v>
      </c>
      <c r="P63">
        <v>5.6557999999999993</v>
      </c>
      <c r="Q63">
        <v>1060357</v>
      </c>
      <c r="R63">
        <f t="shared" si="0"/>
        <v>1.8955879953638257E-4</v>
      </c>
      <c r="S63">
        <f t="shared" si="1"/>
        <v>41177</v>
      </c>
    </row>
    <row r="64" spans="1:19" x14ac:dyDescent="0.3">
      <c r="A64" s="4" t="s">
        <v>180</v>
      </c>
      <c r="B64" s="4" t="s">
        <v>14</v>
      </c>
      <c r="C64" s="5">
        <v>45504</v>
      </c>
      <c r="D64" s="4" t="s">
        <v>45</v>
      </c>
      <c r="E64" s="4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s="4" t="s">
        <v>62</v>
      </c>
      <c r="M64" s="4" t="s">
        <v>31</v>
      </c>
      <c r="N64">
        <v>53484</v>
      </c>
      <c r="O64">
        <v>12307</v>
      </c>
      <c r="P64">
        <v>5.6557999999999993</v>
      </c>
      <c r="Q64">
        <v>1060357</v>
      </c>
      <c r="R64">
        <f t="shared" si="0"/>
        <v>4.3683400967787266E-3</v>
      </c>
      <c r="S64">
        <f t="shared" si="1"/>
        <v>41177</v>
      </c>
    </row>
    <row r="65" spans="1:19" x14ac:dyDescent="0.3">
      <c r="A65" s="4" t="s">
        <v>181</v>
      </c>
      <c r="B65" s="4" t="s">
        <v>43</v>
      </c>
      <c r="C65" s="5">
        <v>45521</v>
      </c>
      <c r="D65" s="4" t="s">
        <v>52</v>
      </c>
      <c r="E65" s="4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s="4" t="s">
        <v>62</v>
      </c>
      <c r="M65" s="4" t="s">
        <v>31</v>
      </c>
      <c r="N65">
        <v>50862</v>
      </c>
      <c r="O65">
        <v>15305</v>
      </c>
      <c r="P65">
        <v>5.6486000000000001</v>
      </c>
      <c r="Q65">
        <v>1379539</v>
      </c>
      <c r="R65">
        <f t="shared" si="0"/>
        <v>2.1405701469838839E-3</v>
      </c>
      <c r="S65">
        <f t="shared" si="1"/>
        <v>35557</v>
      </c>
    </row>
    <row r="66" spans="1:19" x14ac:dyDescent="0.3">
      <c r="A66" s="4" t="s">
        <v>183</v>
      </c>
      <c r="B66" s="4" t="s">
        <v>33</v>
      </c>
      <c r="C66" s="5">
        <v>45744</v>
      </c>
      <c r="D66" s="4" t="s">
        <v>35</v>
      </c>
      <c r="E66" s="4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s="4" t="s">
        <v>37</v>
      </c>
      <c r="M66" s="4"/>
      <c r="N66">
        <v>58311</v>
      </c>
      <c r="O66">
        <v>10307</v>
      </c>
      <c r="P66">
        <v>5.7155999999999993</v>
      </c>
      <c r="Q66">
        <v>1164373</v>
      </c>
      <c r="R66">
        <f t="shared" si="0"/>
        <v>1.8636639633519499E-3</v>
      </c>
      <c r="S66">
        <f t="shared" si="1"/>
        <v>48004</v>
      </c>
    </row>
    <row r="67" spans="1:19" x14ac:dyDescent="0.3">
      <c r="A67" s="4" t="s">
        <v>185</v>
      </c>
      <c r="B67" s="4" t="s">
        <v>14</v>
      </c>
      <c r="C67" s="5">
        <v>45499</v>
      </c>
      <c r="D67" s="4" t="s">
        <v>45</v>
      </c>
      <c r="E67" s="4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s="4" t="s">
        <v>37</v>
      </c>
      <c r="M67" s="4" t="s">
        <v>19</v>
      </c>
      <c r="N67">
        <v>53484</v>
      </c>
      <c r="O67">
        <v>12307</v>
      </c>
      <c r="P67">
        <v>5.6557999999999993</v>
      </c>
      <c r="Q67">
        <v>1060357</v>
      </c>
      <c r="R67">
        <f t="shared" ref="R67:R130" si="2">(F67+K67)/Q67</f>
        <v>5.8093642046970972E-4</v>
      </c>
      <c r="S67">
        <f t="shared" ref="S67:S130" si="3">N67-O67</f>
        <v>41177</v>
      </c>
    </row>
    <row r="68" spans="1:19" x14ac:dyDescent="0.3">
      <c r="A68" s="4" t="s">
        <v>187</v>
      </c>
      <c r="B68" s="4" t="s">
        <v>43</v>
      </c>
      <c r="C68" s="5">
        <v>45745</v>
      </c>
      <c r="D68" s="4" t="s">
        <v>45</v>
      </c>
      <c r="E68" s="4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s="4" t="s">
        <v>37</v>
      </c>
      <c r="M68" s="4" t="s">
        <v>31</v>
      </c>
      <c r="N68">
        <v>50862</v>
      </c>
      <c r="O68">
        <v>15305</v>
      </c>
      <c r="P68">
        <v>5.6486000000000001</v>
      </c>
      <c r="Q68">
        <v>1379539</v>
      </c>
      <c r="R68">
        <f t="shared" si="2"/>
        <v>3.4881217566157972E-3</v>
      </c>
      <c r="S68">
        <f t="shared" si="3"/>
        <v>35557</v>
      </c>
    </row>
    <row r="69" spans="1:19" x14ac:dyDescent="0.3">
      <c r="A69" s="4" t="s">
        <v>189</v>
      </c>
      <c r="B69" s="4" t="s">
        <v>33</v>
      </c>
      <c r="C69" s="5">
        <v>45634</v>
      </c>
      <c r="D69" s="4" t="s">
        <v>35</v>
      </c>
      <c r="E69" s="4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s="4" t="s">
        <v>37</v>
      </c>
      <c r="M69" s="4"/>
      <c r="N69">
        <v>58311</v>
      </c>
      <c r="O69">
        <v>10307</v>
      </c>
      <c r="P69">
        <v>5.7155999999999993</v>
      </c>
      <c r="Q69">
        <v>1164373</v>
      </c>
      <c r="R69">
        <f t="shared" si="2"/>
        <v>2.304244430264185E-3</v>
      </c>
      <c r="S69">
        <f t="shared" si="3"/>
        <v>48004</v>
      </c>
    </row>
    <row r="70" spans="1:19" x14ac:dyDescent="0.3">
      <c r="A70" s="4" t="s">
        <v>191</v>
      </c>
      <c r="B70" s="4" t="s">
        <v>14</v>
      </c>
      <c r="C70" s="5">
        <v>45724</v>
      </c>
      <c r="D70" s="4" t="s">
        <v>22</v>
      </c>
      <c r="E70" s="4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s="4" t="s">
        <v>62</v>
      </c>
      <c r="M70" s="4" t="s">
        <v>31</v>
      </c>
      <c r="N70">
        <v>53484</v>
      </c>
      <c r="O70">
        <v>12307</v>
      </c>
      <c r="P70">
        <v>5.6557999999999993</v>
      </c>
      <c r="Q70">
        <v>1060357</v>
      </c>
      <c r="R70">
        <f t="shared" si="2"/>
        <v>1.358976269313071E-3</v>
      </c>
      <c r="S70">
        <f t="shared" si="3"/>
        <v>41177</v>
      </c>
    </row>
    <row r="71" spans="1:19" x14ac:dyDescent="0.3">
      <c r="A71" s="4" t="s">
        <v>192</v>
      </c>
      <c r="B71" s="4" t="s">
        <v>43</v>
      </c>
      <c r="C71" s="5">
        <v>45749</v>
      </c>
      <c r="D71" s="4" t="s">
        <v>74</v>
      </c>
      <c r="E71" s="4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s="4" t="s">
        <v>30</v>
      </c>
      <c r="M71" s="4"/>
      <c r="N71">
        <v>50862</v>
      </c>
      <c r="O71">
        <v>15305</v>
      </c>
      <c r="P71">
        <v>5.6486000000000001</v>
      </c>
      <c r="Q71">
        <v>1379539</v>
      </c>
      <c r="R71">
        <f t="shared" si="2"/>
        <v>1.754209195970538E-4</v>
      </c>
      <c r="S71">
        <f t="shared" si="3"/>
        <v>35557</v>
      </c>
    </row>
    <row r="72" spans="1:19" x14ac:dyDescent="0.3">
      <c r="A72" s="4" t="s">
        <v>194</v>
      </c>
      <c r="B72" s="4" t="s">
        <v>27</v>
      </c>
      <c r="C72" s="5">
        <v>45537</v>
      </c>
      <c r="D72" s="4" t="s">
        <v>45</v>
      </c>
      <c r="E72" s="4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s="4" t="s">
        <v>30</v>
      </c>
      <c r="M72" s="4" t="s">
        <v>25</v>
      </c>
      <c r="N72">
        <v>47471</v>
      </c>
      <c r="O72">
        <v>12104</v>
      </c>
      <c r="P72">
        <v>5.5587999999999997</v>
      </c>
      <c r="Q72">
        <v>1228647</v>
      </c>
      <c r="R72">
        <f t="shared" si="2"/>
        <v>2.2610237114484471E-3</v>
      </c>
      <c r="S72">
        <f t="shared" si="3"/>
        <v>35367</v>
      </c>
    </row>
    <row r="73" spans="1:19" x14ac:dyDescent="0.3">
      <c r="A73" s="4" t="s">
        <v>196</v>
      </c>
      <c r="B73" s="4" t="s">
        <v>27</v>
      </c>
      <c r="C73" s="5">
        <v>45719</v>
      </c>
      <c r="D73" s="4" t="s">
        <v>16</v>
      </c>
      <c r="E73" s="4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s="4" t="s">
        <v>37</v>
      </c>
      <c r="M73" s="4" t="s">
        <v>25</v>
      </c>
      <c r="N73">
        <v>47471</v>
      </c>
      <c r="O73">
        <v>12104</v>
      </c>
      <c r="P73">
        <v>5.5587999999999997</v>
      </c>
      <c r="Q73">
        <v>1228647</v>
      </c>
      <c r="R73">
        <f t="shared" si="2"/>
        <v>3.1253891475745274E-4</v>
      </c>
      <c r="S73">
        <f t="shared" si="3"/>
        <v>35367</v>
      </c>
    </row>
    <row r="74" spans="1:19" x14ac:dyDescent="0.3">
      <c r="A74" s="4" t="s">
        <v>198</v>
      </c>
      <c r="B74" s="4" t="s">
        <v>43</v>
      </c>
      <c r="C74" s="5">
        <v>45583</v>
      </c>
      <c r="D74" s="4" t="s">
        <v>35</v>
      </c>
      <c r="E74" s="4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s="4" t="s">
        <v>62</v>
      </c>
      <c r="M74" s="4" t="s">
        <v>38</v>
      </c>
      <c r="N74">
        <v>50862</v>
      </c>
      <c r="O74">
        <v>15305</v>
      </c>
      <c r="P74">
        <v>5.6486000000000001</v>
      </c>
      <c r="Q74">
        <v>1379539</v>
      </c>
      <c r="R74">
        <f t="shared" si="2"/>
        <v>3.0546436164544822E-3</v>
      </c>
      <c r="S74">
        <f t="shared" si="3"/>
        <v>35557</v>
      </c>
    </row>
    <row r="75" spans="1:19" x14ac:dyDescent="0.3">
      <c r="A75" s="4" t="s">
        <v>200</v>
      </c>
      <c r="B75" s="4" t="s">
        <v>27</v>
      </c>
      <c r="C75" s="5">
        <v>45593</v>
      </c>
      <c r="D75" s="4" t="s">
        <v>16</v>
      </c>
      <c r="E75" s="4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s="4" t="s">
        <v>30</v>
      </c>
      <c r="M75" s="4" t="s">
        <v>31</v>
      </c>
      <c r="N75">
        <v>47471</v>
      </c>
      <c r="O75">
        <v>12104</v>
      </c>
      <c r="P75">
        <v>5.5587999999999997</v>
      </c>
      <c r="Q75">
        <v>1228647</v>
      </c>
      <c r="R75">
        <f t="shared" si="2"/>
        <v>1.6099009723704206E-3</v>
      </c>
      <c r="S75">
        <f t="shared" si="3"/>
        <v>35367</v>
      </c>
    </row>
    <row r="76" spans="1:19" x14ac:dyDescent="0.3">
      <c r="A76" s="4" t="s">
        <v>202</v>
      </c>
      <c r="B76" s="4" t="s">
        <v>33</v>
      </c>
      <c r="C76" s="5">
        <v>45505</v>
      </c>
      <c r="D76" s="4" t="s">
        <v>16</v>
      </c>
      <c r="E76" s="4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s="4" t="s">
        <v>30</v>
      </c>
      <c r="M76" s="4" t="s">
        <v>38</v>
      </c>
      <c r="N76">
        <v>58311</v>
      </c>
      <c r="O76">
        <v>10307</v>
      </c>
      <c r="P76">
        <v>5.7155999999999993</v>
      </c>
      <c r="Q76">
        <v>1164373</v>
      </c>
      <c r="R76">
        <f t="shared" si="2"/>
        <v>1.6566856153483463E-3</v>
      </c>
      <c r="S76">
        <f t="shared" si="3"/>
        <v>48004</v>
      </c>
    </row>
    <row r="77" spans="1:19" x14ac:dyDescent="0.3">
      <c r="A77" s="4" t="s">
        <v>204</v>
      </c>
      <c r="B77" s="4" t="s">
        <v>14</v>
      </c>
      <c r="C77" s="5">
        <v>45603</v>
      </c>
      <c r="D77" s="4" t="s">
        <v>35</v>
      </c>
      <c r="E77" s="4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s="4" t="s">
        <v>30</v>
      </c>
      <c r="M77" s="4" t="s">
        <v>38</v>
      </c>
      <c r="N77">
        <v>53484</v>
      </c>
      <c r="O77">
        <v>12307</v>
      </c>
      <c r="P77">
        <v>5.6557999999999993</v>
      </c>
      <c r="Q77">
        <v>1060357</v>
      </c>
      <c r="R77">
        <f t="shared" si="2"/>
        <v>1.150555897683516E-3</v>
      </c>
      <c r="S77">
        <f t="shared" si="3"/>
        <v>41177</v>
      </c>
    </row>
    <row r="78" spans="1:19" x14ac:dyDescent="0.3">
      <c r="A78" s="4" t="s">
        <v>206</v>
      </c>
      <c r="B78" s="4" t="s">
        <v>43</v>
      </c>
      <c r="C78" s="5">
        <v>45720</v>
      </c>
      <c r="D78" s="4" t="s">
        <v>35</v>
      </c>
      <c r="E78" s="4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s="4" t="s">
        <v>30</v>
      </c>
      <c r="M78" s="4"/>
      <c r="N78">
        <v>50862</v>
      </c>
      <c r="O78">
        <v>15305</v>
      </c>
      <c r="P78">
        <v>5.6486000000000001</v>
      </c>
      <c r="Q78">
        <v>1379539</v>
      </c>
      <c r="R78">
        <f t="shared" si="2"/>
        <v>9.5104234095592802E-4</v>
      </c>
      <c r="S78">
        <f t="shared" si="3"/>
        <v>35557</v>
      </c>
    </row>
    <row r="79" spans="1:19" x14ac:dyDescent="0.3">
      <c r="A79" s="4" t="s">
        <v>207</v>
      </c>
      <c r="B79" s="4" t="s">
        <v>14</v>
      </c>
      <c r="C79" s="5">
        <v>45460</v>
      </c>
      <c r="D79" s="4" t="s">
        <v>52</v>
      </c>
      <c r="E79" s="4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s="4" t="s">
        <v>62</v>
      </c>
      <c r="M79" s="4" t="s">
        <v>38</v>
      </c>
      <c r="N79">
        <v>53484</v>
      </c>
      <c r="O79">
        <v>12307</v>
      </c>
      <c r="P79">
        <v>5.6557999999999993</v>
      </c>
      <c r="Q79">
        <v>1060357</v>
      </c>
      <c r="R79">
        <f t="shared" si="2"/>
        <v>9.1950163954215424E-4</v>
      </c>
      <c r="S79">
        <f t="shared" si="3"/>
        <v>41177</v>
      </c>
    </row>
    <row r="80" spans="1:19" x14ac:dyDescent="0.3">
      <c r="A80" s="4" t="s">
        <v>208</v>
      </c>
      <c r="B80" s="4" t="s">
        <v>33</v>
      </c>
      <c r="C80" s="5">
        <v>45574</v>
      </c>
      <c r="D80" s="4" t="s">
        <v>45</v>
      </c>
      <c r="E80" s="4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s="4" t="s">
        <v>37</v>
      </c>
      <c r="M80" s="4" t="s">
        <v>25</v>
      </c>
      <c r="N80">
        <v>58311</v>
      </c>
      <c r="O80">
        <v>10307</v>
      </c>
      <c r="P80">
        <v>5.7155999999999993</v>
      </c>
      <c r="Q80">
        <v>1164373</v>
      </c>
      <c r="R80">
        <f t="shared" si="2"/>
        <v>2.86334361926977E-3</v>
      </c>
      <c r="S80">
        <f t="shared" si="3"/>
        <v>48004</v>
      </c>
    </row>
    <row r="81" spans="1:19" x14ac:dyDescent="0.3">
      <c r="A81" s="4" t="s">
        <v>210</v>
      </c>
      <c r="B81" s="4" t="s">
        <v>33</v>
      </c>
      <c r="C81" s="5">
        <v>45456</v>
      </c>
      <c r="D81" s="4" t="s">
        <v>35</v>
      </c>
      <c r="E81" s="4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s="4" t="s">
        <v>62</v>
      </c>
      <c r="M81" s="4"/>
      <c r="N81">
        <v>58311</v>
      </c>
      <c r="O81">
        <v>10307</v>
      </c>
      <c r="P81">
        <v>5.7155999999999993</v>
      </c>
      <c r="Q81">
        <v>1164373</v>
      </c>
      <c r="R81">
        <f t="shared" si="2"/>
        <v>1.8301695418907859E-3</v>
      </c>
      <c r="S81">
        <f t="shared" si="3"/>
        <v>48004</v>
      </c>
    </row>
    <row r="82" spans="1:19" x14ac:dyDescent="0.3">
      <c r="A82" s="4" t="s">
        <v>211</v>
      </c>
      <c r="B82" s="4" t="s">
        <v>33</v>
      </c>
      <c r="C82" s="5">
        <v>45584</v>
      </c>
      <c r="D82" s="4" t="s">
        <v>35</v>
      </c>
      <c r="E82" s="4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s="4" t="s">
        <v>30</v>
      </c>
      <c r="M82" s="4" t="s">
        <v>31</v>
      </c>
      <c r="N82">
        <v>58311</v>
      </c>
      <c r="O82">
        <v>10307</v>
      </c>
      <c r="P82">
        <v>5.7155999999999993</v>
      </c>
      <c r="Q82">
        <v>1164373</v>
      </c>
      <c r="R82">
        <f t="shared" si="2"/>
        <v>1.802686939666241E-3</v>
      </c>
      <c r="S82">
        <f t="shared" si="3"/>
        <v>48004</v>
      </c>
    </row>
    <row r="83" spans="1:19" x14ac:dyDescent="0.3">
      <c r="A83" s="4" t="s">
        <v>213</v>
      </c>
      <c r="B83" s="4" t="s">
        <v>33</v>
      </c>
      <c r="C83" s="5">
        <v>45497</v>
      </c>
      <c r="D83" s="4" t="s">
        <v>52</v>
      </c>
      <c r="E83" s="4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s="4" t="s">
        <v>62</v>
      </c>
      <c r="M83" s="4" t="s">
        <v>31</v>
      </c>
      <c r="N83">
        <v>58311</v>
      </c>
      <c r="O83">
        <v>10307</v>
      </c>
      <c r="P83">
        <v>5.7155999999999993</v>
      </c>
      <c r="Q83">
        <v>1164373</v>
      </c>
      <c r="R83">
        <f t="shared" si="2"/>
        <v>7.9441897055325058E-4</v>
      </c>
      <c r="S83">
        <f t="shared" si="3"/>
        <v>48004</v>
      </c>
    </row>
    <row r="84" spans="1:19" x14ac:dyDescent="0.3">
      <c r="A84" s="4" t="s">
        <v>217</v>
      </c>
      <c r="B84" s="4" t="s">
        <v>27</v>
      </c>
      <c r="C84" s="5">
        <v>45580</v>
      </c>
      <c r="D84" s="4" t="s">
        <v>74</v>
      </c>
      <c r="E84" s="4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s="4" t="s">
        <v>37</v>
      </c>
      <c r="M84" s="4"/>
      <c r="N84">
        <v>47471</v>
      </c>
      <c r="O84">
        <v>12104</v>
      </c>
      <c r="P84">
        <v>5.5587999999999997</v>
      </c>
      <c r="Q84">
        <v>1228647</v>
      </c>
      <c r="R84">
        <f t="shared" si="2"/>
        <v>9.8156752916012482E-4</v>
      </c>
      <c r="S84">
        <f t="shared" si="3"/>
        <v>35367</v>
      </c>
    </row>
    <row r="85" spans="1:19" x14ac:dyDescent="0.3">
      <c r="A85" s="4" t="s">
        <v>220</v>
      </c>
      <c r="B85" s="4" t="s">
        <v>43</v>
      </c>
      <c r="C85" s="5">
        <v>45635</v>
      </c>
      <c r="D85" s="4" t="s">
        <v>52</v>
      </c>
      <c r="E85" s="4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s="4" t="s">
        <v>62</v>
      </c>
      <c r="M85" s="4" t="s">
        <v>38</v>
      </c>
      <c r="N85">
        <v>50862</v>
      </c>
      <c r="O85">
        <v>15305</v>
      </c>
      <c r="P85">
        <v>5.6486000000000001</v>
      </c>
      <c r="Q85">
        <v>1379539</v>
      </c>
      <c r="R85">
        <f t="shared" si="2"/>
        <v>1.5193481300637387E-3</v>
      </c>
      <c r="S85">
        <f t="shared" si="3"/>
        <v>35557</v>
      </c>
    </row>
    <row r="86" spans="1:19" x14ac:dyDescent="0.3">
      <c r="A86" s="4" t="s">
        <v>222</v>
      </c>
      <c r="B86" s="4" t="s">
        <v>33</v>
      </c>
      <c r="C86" s="5">
        <v>45766</v>
      </c>
      <c r="D86" s="4" t="s">
        <v>52</v>
      </c>
      <c r="E86" s="4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s="4" t="s">
        <v>62</v>
      </c>
      <c r="M86" s="4" t="s">
        <v>19</v>
      </c>
      <c r="N86">
        <v>58311</v>
      </c>
      <c r="O86">
        <v>10307</v>
      </c>
      <c r="P86">
        <v>5.7155999999999993</v>
      </c>
      <c r="Q86">
        <v>1164373</v>
      </c>
      <c r="R86">
        <f t="shared" si="2"/>
        <v>3.7848696251115408E-3</v>
      </c>
      <c r="S86">
        <f t="shared" si="3"/>
        <v>48004</v>
      </c>
    </row>
    <row r="87" spans="1:19" x14ac:dyDescent="0.3">
      <c r="A87" s="4" t="s">
        <v>223</v>
      </c>
      <c r="B87" s="4" t="s">
        <v>27</v>
      </c>
      <c r="C87" s="5">
        <v>45684</v>
      </c>
      <c r="D87" s="4" t="s">
        <v>22</v>
      </c>
      <c r="E87" s="4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s="4" t="s">
        <v>37</v>
      </c>
      <c r="M87" s="4" t="s">
        <v>38</v>
      </c>
      <c r="N87">
        <v>47471</v>
      </c>
      <c r="O87">
        <v>12104</v>
      </c>
      <c r="P87">
        <v>5.5587999999999997</v>
      </c>
      <c r="Q87">
        <v>1228647</v>
      </c>
      <c r="R87">
        <f t="shared" si="2"/>
        <v>2.9870255655204464E-3</v>
      </c>
      <c r="S87">
        <f t="shared" si="3"/>
        <v>35367</v>
      </c>
    </row>
    <row r="88" spans="1:19" x14ac:dyDescent="0.3">
      <c r="A88" s="4" t="s">
        <v>225</v>
      </c>
      <c r="B88" s="4" t="s">
        <v>14</v>
      </c>
      <c r="C88" s="5">
        <v>45449</v>
      </c>
      <c r="D88" s="4" t="s">
        <v>74</v>
      </c>
      <c r="E88" s="4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s="4" t="s">
        <v>62</v>
      </c>
      <c r="M88" s="4" t="s">
        <v>31</v>
      </c>
      <c r="N88">
        <v>53484</v>
      </c>
      <c r="O88">
        <v>12307</v>
      </c>
      <c r="P88">
        <v>5.6557999999999993</v>
      </c>
      <c r="Q88">
        <v>1060357</v>
      </c>
      <c r="R88">
        <f t="shared" si="2"/>
        <v>1.540047361407526E-3</v>
      </c>
      <c r="S88">
        <f t="shared" si="3"/>
        <v>41177</v>
      </c>
    </row>
    <row r="89" spans="1:19" x14ac:dyDescent="0.3">
      <c r="A89" s="4" t="s">
        <v>227</v>
      </c>
      <c r="B89" s="4" t="s">
        <v>43</v>
      </c>
      <c r="C89" s="5">
        <v>45480</v>
      </c>
      <c r="D89" s="4" t="s">
        <v>35</v>
      </c>
      <c r="E89" s="4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s="4" t="s">
        <v>30</v>
      </c>
      <c r="M89" s="4" t="s">
        <v>38</v>
      </c>
      <c r="N89">
        <v>50862</v>
      </c>
      <c r="O89">
        <v>15305</v>
      </c>
      <c r="P89">
        <v>5.6486000000000001</v>
      </c>
      <c r="Q89">
        <v>1379539</v>
      </c>
      <c r="R89">
        <f t="shared" si="2"/>
        <v>2.3703570540593632E-4</v>
      </c>
      <c r="S89">
        <f t="shared" si="3"/>
        <v>35557</v>
      </c>
    </row>
    <row r="90" spans="1:19" x14ac:dyDescent="0.3">
      <c r="A90" s="4" t="s">
        <v>229</v>
      </c>
      <c r="B90" s="4" t="s">
        <v>14</v>
      </c>
      <c r="C90" s="5">
        <v>45667</v>
      </c>
      <c r="D90" s="4" t="s">
        <v>52</v>
      </c>
      <c r="E90" s="4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s="4" t="s">
        <v>37</v>
      </c>
      <c r="M90" s="4"/>
      <c r="N90">
        <v>53484</v>
      </c>
      <c r="O90">
        <v>12307</v>
      </c>
      <c r="P90">
        <v>5.6557999999999993</v>
      </c>
      <c r="Q90">
        <v>1060357</v>
      </c>
      <c r="R90">
        <f t="shared" si="2"/>
        <v>2.2577301795527354E-3</v>
      </c>
      <c r="S90">
        <f t="shared" si="3"/>
        <v>41177</v>
      </c>
    </row>
    <row r="91" spans="1:19" x14ac:dyDescent="0.3">
      <c r="A91" s="4" t="s">
        <v>231</v>
      </c>
      <c r="B91" s="4" t="s">
        <v>33</v>
      </c>
      <c r="C91" s="5">
        <v>45446</v>
      </c>
      <c r="D91" s="4" t="s">
        <v>52</v>
      </c>
      <c r="E91" s="4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s="4" t="s">
        <v>30</v>
      </c>
      <c r="M91" s="4" t="s">
        <v>38</v>
      </c>
      <c r="N91">
        <v>58311</v>
      </c>
      <c r="O91">
        <v>10307</v>
      </c>
      <c r="P91">
        <v>5.7155999999999993</v>
      </c>
      <c r="Q91">
        <v>1164373</v>
      </c>
      <c r="R91">
        <f t="shared" si="2"/>
        <v>3.5710206265518007E-3</v>
      </c>
      <c r="S91">
        <f t="shared" si="3"/>
        <v>48004</v>
      </c>
    </row>
    <row r="92" spans="1:19" x14ac:dyDescent="0.3">
      <c r="A92" s="4" t="s">
        <v>233</v>
      </c>
      <c r="B92" s="4" t="s">
        <v>43</v>
      </c>
      <c r="C92" s="5">
        <v>45740</v>
      </c>
      <c r="D92" s="4" t="s">
        <v>52</v>
      </c>
      <c r="E92" s="4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s="4" t="s">
        <v>37</v>
      </c>
      <c r="M92" s="4" t="s">
        <v>38</v>
      </c>
      <c r="N92">
        <v>50862</v>
      </c>
      <c r="O92">
        <v>15305</v>
      </c>
      <c r="P92">
        <v>5.6486000000000001</v>
      </c>
      <c r="Q92">
        <v>1379539</v>
      </c>
      <c r="R92">
        <f t="shared" si="2"/>
        <v>1.0148317662639476E-3</v>
      </c>
      <c r="S92">
        <f t="shared" si="3"/>
        <v>35557</v>
      </c>
    </row>
    <row r="93" spans="1:19" x14ac:dyDescent="0.3">
      <c r="A93" s="4" t="s">
        <v>235</v>
      </c>
      <c r="B93" s="4" t="s">
        <v>14</v>
      </c>
      <c r="C93" s="5">
        <v>45586</v>
      </c>
      <c r="D93" s="4" t="s">
        <v>35</v>
      </c>
      <c r="E93" s="4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s="4" t="s">
        <v>62</v>
      </c>
      <c r="M93" s="4" t="s">
        <v>31</v>
      </c>
      <c r="N93">
        <v>53484</v>
      </c>
      <c r="O93">
        <v>12307</v>
      </c>
      <c r="P93">
        <v>5.6557999999999993</v>
      </c>
      <c r="Q93">
        <v>1060357</v>
      </c>
      <c r="R93">
        <f t="shared" si="2"/>
        <v>3.8072083270068477E-3</v>
      </c>
      <c r="S93">
        <f t="shared" si="3"/>
        <v>41177</v>
      </c>
    </row>
    <row r="94" spans="1:19" x14ac:dyDescent="0.3">
      <c r="A94" s="4" t="s">
        <v>236</v>
      </c>
      <c r="B94" s="4" t="s">
        <v>33</v>
      </c>
      <c r="C94" s="5">
        <v>45637</v>
      </c>
      <c r="D94" s="4" t="s">
        <v>74</v>
      </c>
      <c r="E94" s="4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s="4" t="s">
        <v>37</v>
      </c>
      <c r="M94" s="4" t="s">
        <v>31</v>
      </c>
      <c r="N94">
        <v>58311</v>
      </c>
      <c r="O94">
        <v>10307</v>
      </c>
      <c r="P94">
        <v>5.7155999999999993</v>
      </c>
      <c r="Q94">
        <v>1164373</v>
      </c>
      <c r="R94">
        <f t="shared" si="2"/>
        <v>1.3578123161564206E-3</v>
      </c>
      <c r="S94">
        <f t="shared" si="3"/>
        <v>48004</v>
      </c>
    </row>
    <row r="95" spans="1:19" x14ac:dyDescent="0.3">
      <c r="A95" s="4" t="s">
        <v>238</v>
      </c>
      <c r="B95" s="4" t="s">
        <v>33</v>
      </c>
      <c r="C95" s="5">
        <v>45603</v>
      </c>
      <c r="D95" s="4" t="s">
        <v>52</v>
      </c>
      <c r="E95" s="4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s="4" t="s">
        <v>62</v>
      </c>
      <c r="M95" s="4" t="s">
        <v>31</v>
      </c>
      <c r="N95">
        <v>58311</v>
      </c>
      <c r="O95">
        <v>10307</v>
      </c>
      <c r="P95">
        <v>5.7155999999999993</v>
      </c>
      <c r="Q95">
        <v>1164373</v>
      </c>
      <c r="R95">
        <f t="shared" si="2"/>
        <v>2.3128327434593552E-3</v>
      </c>
      <c r="S95">
        <f t="shared" si="3"/>
        <v>48004</v>
      </c>
    </row>
    <row r="96" spans="1:19" x14ac:dyDescent="0.3">
      <c r="A96" s="4" t="s">
        <v>239</v>
      </c>
      <c r="B96" s="4" t="s">
        <v>33</v>
      </c>
      <c r="C96" s="5">
        <v>45604</v>
      </c>
      <c r="D96" s="4" t="s">
        <v>22</v>
      </c>
      <c r="E96" s="4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s="4" t="s">
        <v>62</v>
      </c>
      <c r="M96" s="4" t="s">
        <v>38</v>
      </c>
      <c r="N96">
        <v>58311</v>
      </c>
      <c r="O96">
        <v>10307</v>
      </c>
      <c r="P96">
        <v>5.7155999999999993</v>
      </c>
      <c r="Q96">
        <v>1164373</v>
      </c>
      <c r="R96">
        <f t="shared" si="2"/>
        <v>2.8727907637844572E-3</v>
      </c>
      <c r="S96">
        <f t="shared" si="3"/>
        <v>48004</v>
      </c>
    </row>
    <row r="97" spans="1:19" x14ac:dyDescent="0.3">
      <c r="A97" s="4" t="s">
        <v>241</v>
      </c>
      <c r="B97" s="4" t="s">
        <v>14</v>
      </c>
      <c r="C97" s="5">
        <v>45545</v>
      </c>
      <c r="D97" s="4" t="s">
        <v>52</v>
      </c>
      <c r="E97" s="4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s="4" t="s">
        <v>62</v>
      </c>
      <c r="M97" s="4"/>
      <c r="N97">
        <v>53484</v>
      </c>
      <c r="O97">
        <v>12307</v>
      </c>
      <c r="P97">
        <v>5.6557999999999993</v>
      </c>
      <c r="Q97">
        <v>1060357</v>
      </c>
      <c r="R97">
        <f t="shared" si="2"/>
        <v>1.2835299809403815E-3</v>
      </c>
      <c r="S97">
        <f t="shared" si="3"/>
        <v>41177</v>
      </c>
    </row>
    <row r="98" spans="1:19" x14ac:dyDescent="0.3">
      <c r="A98" s="4" t="s">
        <v>243</v>
      </c>
      <c r="B98" s="4" t="s">
        <v>33</v>
      </c>
      <c r="C98" s="5">
        <v>45517</v>
      </c>
      <c r="D98" s="4" t="s">
        <v>52</v>
      </c>
      <c r="E98" s="4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s="4" t="s">
        <v>30</v>
      </c>
      <c r="M98" s="4" t="s">
        <v>25</v>
      </c>
      <c r="N98">
        <v>58311</v>
      </c>
      <c r="O98">
        <v>10307</v>
      </c>
      <c r="P98">
        <v>5.7155999999999993</v>
      </c>
      <c r="Q98">
        <v>1164373</v>
      </c>
      <c r="R98">
        <f t="shared" si="2"/>
        <v>4.1009195506938071E-3</v>
      </c>
      <c r="S98">
        <f t="shared" si="3"/>
        <v>48004</v>
      </c>
    </row>
    <row r="99" spans="1:19" x14ac:dyDescent="0.3">
      <c r="A99" s="4" t="s">
        <v>245</v>
      </c>
      <c r="B99" s="4" t="s">
        <v>14</v>
      </c>
      <c r="C99" s="5">
        <v>45453</v>
      </c>
      <c r="D99" s="4" t="s">
        <v>35</v>
      </c>
      <c r="E99" s="4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s="4" t="s">
        <v>62</v>
      </c>
      <c r="M99" s="4" t="s">
        <v>38</v>
      </c>
      <c r="N99">
        <v>53484</v>
      </c>
      <c r="O99">
        <v>12307</v>
      </c>
      <c r="P99">
        <v>5.6557999999999993</v>
      </c>
      <c r="Q99">
        <v>1060357</v>
      </c>
      <c r="R99">
        <f t="shared" si="2"/>
        <v>1.5013811386165225E-3</v>
      </c>
      <c r="S99">
        <f t="shared" si="3"/>
        <v>41177</v>
      </c>
    </row>
    <row r="100" spans="1:19" x14ac:dyDescent="0.3">
      <c r="A100" s="4" t="s">
        <v>246</v>
      </c>
      <c r="B100" s="4" t="s">
        <v>27</v>
      </c>
      <c r="C100" s="5">
        <v>45475</v>
      </c>
      <c r="D100" s="4" t="s">
        <v>45</v>
      </c>
      <c r="E100" s="4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s="4" t="s">
        <v>62</v>
      </c>
      <c r="M100" s="4" t="s">
        <v>31</v>
      </c>
      <c r="N100">
        <v>47471</v>
      </c>
      <c r="O100">
        <v>12104</v>
      </c>
      <c r="P100">
        <v>5.5587999999999997</v>
      </c>
      <c r="Q100">
        <v>1228647</v>
      </c>
      <c r="R100">
        <f t="shared" si="2"/>
        <v>3.5355964731936837E-3</v>
      </c>
      <c r="S100">
        <f t="shared" si="3"/>
        <v>35367</v>
      </c>
    </row>
    <row r="101" spans="1:19" x14ac:dyDescent="0.3">
      <c r="A101" s="4" t="s">
        <v>248</v>
      </c>
      <c r="B101" s="4" t="s">
        <v>27</v>
      </c>
      <c r="C101" s="5">
        <v>45698</v>
      </c>
      <c r="D101" s="4" t="s">
        <v>74</v>
      </c>
      <c r="E101" s="4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s="4" t="s">
        <v>37</v>
      </c>
      <c r="M101" s="4"/>
      <c r="N101">
        <v>47471</v>
      </c>
      <c r="O101">
        <v>12104</v>
      </c>
      <c r="P101">
        <v>5.5587999999999997</v>
      </c>
      <c r="Q101">
        <v>1228647</v>
      </c>
      <c r="R101">
        <f t="shared" si="2"/>
        <v>1.4796764245548152E-3</v>
      </c>
      <c r="S101">
        <f t="shared" si="3"/>
        <v>35367</v>
      </c>
    </row>
    <row r="102" spans="1:19" x14ac:dyDescent="0.3">
      <c r="A102" s="4" t="s">
        <v>250</v>
      </c>
      <c r="B102" s="4" t="s">
        <v>27</v>
      </c>
      <c r="C102" s="5">
        <v>45583</v>
      </c>
      <c r="D102" s="4" t="s">
        <v>74</v>
      </c>
      <c r="E102" s="4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s="4" t="s">
        <v>62</v>
      </c>
      <c r="M102" s="4" t="s">
        <v>31</v>
      </c>
      <c r="N102">
        <v>47471</v>
      </c>
      <c r="O102">
        <v>12104</v>
      </c>
      <c r="P102">
        <v>5.5587999999999997</v>
      </c>
      <c r="Q102">
        <v>1228647</v>
      </c>
      <c r="R102">
        <f t="shared" si="2"/>
        <v>3.6316370772076926E-3</v>
      </c>
      <c r="S102">
        <f t="shared" si="3"/>
        <v>35367</v>
      </c>
    </row>
    <row r="103" spans="1:19" x14ac:dyDescent="0.3">
      <c r="A103" s="4" t="s">
        <v>251</v>
      </c>
      <c r="B103" s="4" t="s">
        <v>14</v>
      </c>
      <c r="C103" s="5">
        <v>45553</v>
      </c>
      <c r="D103" s="4" t="s">
        <v>16</v>
      </c>
      <c r="E103" s="4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s="4" t="s">
        <v>37</v>
      </c>
      <c r="M103" s="4" t="s">
        <v>25</v>
      </c>
      <c r="N103">
        <v>53484</v>
      </c>
      <c r="O103">
        <v>12307</v>
      </c>
      <c r="P103">
        <v>5.6557999999999993</v>
      </c>
      <c r="Q103">
        <v>1060357</v>
      </c>
      <c r="R103">
        <f t="shared" si="2"/>
        <v>1.153385133497492E-3</v>
      </c>
      <c r="S103">
        <f t="shared" si="3"/>
        <v>41177</v>
      </c>
    </row>
    <row r="104" spans="1:19" x14ac:dyDescent="0.3">
      <c r="A104" s="4" t="s">
        <v>253</v>
      </c>
      <c r="B104" s="4" t="s">
        <v>43</v>
      </c>
      <c r="C104" s="5">
        <v>45454</v>
      </c>
      <c r="D104" s="4" t="s">
        <v>52</v>
      </c>
      <c r="E104" s="4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s="4" t="s">
        <v>37</v>
      </c>
      <c r="M104" s="4" t="s">
        <v>25</v>
      </c>
      <c r="N104">
        <v>50862</v>
      </c>
      <c r="O104">
        <v>15305</v>
      </c>
      <c r="P104">
        <v>5.6486000000000001</v>
      </c>
      <c r="Q104">
        <v>1379539</v>
      </c>
      <c r="R104">
        <f t="shared" si="2"/>
        <v>2.8277562287111853E-3</v>
      </c>
      <c r="S104">
        <f t="shared" si="3"/>
        <v>35557</v>
      </c>
    </row>
    <row r="105" spans="1:19" x14ac:dyDescent="0.3">
      <c r="A105" s="4" t="s">
        <v>255</v>
      </c>
      <c r="B105" s="4" t="s">
        <v>27</v>
      </c>
      <c r="C105" s="5">
        <v>45739</v>
      </c>
      <c r="D105" s="4" t="s">
        <v>35</v>
      </c>
      <c r="E105" s="4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s="4" t="s">
        <v>30</v>
      </c>
      <c r="M105" s="4" t="s">
        <v>31</v>
      </c>
      <c r="N105">
        <v>47471</v>
      </c>
      <c r="O105">
        <v>12104</v>
      </c>
      <c r="P105">
        <v>5.5587999999999997</v>
      </c>
      <c r="Q105">
        <v>1228647</v>
      </c>
      <c r="R105">
        <f t="shared" si="2"/>
        <v>3.1367837955083924E-3</v>
      </c>
      <c r="S105">
        <f t="shared" si="3"/>
        <v>35367</v>
      </c>
    </row>
    <row r="106" spans="1:19" x14ac:dyDescent="0.3">
      <c r="A106" s="4" t="s">
        <v>257</v>
      </c>
      <c r="B106" s="4" t="s">
        <v>33</v>
      </c>
      <c r="C106" s="5">
        <v>45457</v>
      </c>
      <c r="D106" s="4" t="s">
        <v>45</v>
      </c>
      <c r="E106" s="4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s="4" t="s">
        <v>62</v>
      </c>
      <c r="M106" s="4" t="s">
        <v>19</v>
      </c>
      <c r="N106">
        <v>58311</v>
      </c>
      <c r="O106">
        <v>10307</v>
      </c>
      <c r="P106">
        <v>5.7155999999999993</v>
      </c>
      <c r="Q106">
        <v>1164373</v>
      </c>
      <c r="R106">
        <f t="shared" si="2"/>
        <v>4.5518059934402462E-4</v>
      </c>
      <c r="S106">
        <f t="shared" si="3"/>
        <v>48004</v>
      </c>
    </row>
    <row r="107" spans="1:19" x14ac:dyDescent="0.3">
      <c r="A107" s="4" t="s">
        <v>259</v>
      </c>
      <c r="B107" s="4" t="s">
        <v>33</v>
      </c>
      <c r="C107" s="5">
        <v>45692</v>
      </c>
      <c r="D107" s="4" t="s">
        <v>52</v>
      </c>
      <c r="E107" s="4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s="4" t="s">
        <v>30</v>
      </c>
      <c r="M107" s="4" t="s">
        <v>38</v>
      </c>
      <c r="N107">
        <v>58311</v>
      </c>
      <c r="O107">
        <v>10307</v>
      </c>
      <c r="P107">
        <v>5.7155999999999993</v>
      </c>
      <c r="Q107">
        <v>1164373</v>
      </c>
      <c r="R107">
        <f t="shared" si="2"/>
        <v>4.2228735980652252E-3</v>
      </c>
      <c r="S107">
        <f t="shared" si="3"/>
        <v>48004</v>
      </c>
    </row>
    <row r="108" spans="1:19" x14ac:dyDescent="0.3">
      <c r="A108" s="4" t="s">
        <v>261</v>
      </c>
      <c r="B108" s="4" t="s">
        <v>27</v>
      </c>
      <c r="C108" s="5">
        <v>45464</v>
      </c>
      <c r="D108" s="4" t="s">
        <v>52</v>
      </c>
      <c r="E108" s="4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s="4" t="s">
        <v>30</v>
      </c>
      <c r="M108" s="4"/>
      <c r="N108">
        <v>47471</v>
      </c>
      <c r="O108">
        <v>12104</v>
      </c>
      <c r="P108">
        <v>5.5587999999999997</v>
      </c>
      <c r="Q108">
        <v>1228647</v>
      </c>
      <c r="R108">
        <f t="shared" si="2"/>
        <v>4.0809117671715307E-3</v>
      </c>
      <c r="S108">
        <f t="shared" si="3"/>
        <v>35367</v>
      </c>
    </row>
    <row r="109" spans="1:19" x14ac:dyDescent="0.3">
      <c r="A109" s="4" t="s">
        <v>263</v>
      </c>
      <c r="B109" s="4" t="s">
        <v>14</v>
      </c>
      <c r="C109" s="5">
        <v>45741</v>
      </c>
      <c r="D109" s="4" t="s">
        <v>74</v>
      </c>
      <c r="E109" s="4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s="4" t="s">
        <v>30</v>
      </c>
      <c r="M109" s="4" t="s">
        <v>25</v>
      </c>
      <c r="N109">
        <v>53484</v>
      </c>
      <c r="O109">
        <v>12307</v>
      </c>
      <c r="P109">
        <v>5.6557999999999993</v>
      </c>
      <c r="Q109">
        <v>1060357</v>
      </c>
      <c r="R109">
        <f t="shared" si="2"/>
        <v>4.0165717772410615E-3</v>
      </c>
      <c r="S109">
        <f t="shared" si="3"/>
        <v>41177</v>
      </c>
    </row>
    <row r="110" spans="1:19" x14ac:dyDescent="0.3">
      <c r="A110" s="4" t="s">
        <v>265</v>
      </c>
      <c r="B110" s="4" t="s">
        <v>14</v>
      </c>
      <c r="C110" s="5">
        <v>45512</v>
      </c>
      <c r="D110" s="4" t="s">
        <v>35</v>
      </c>
      <c r="E110" s="4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s="4" t="s">
        <v>62</v>
      </c>
      <c r="M110" s="4" t="s">
        <v>31</v>
      </c>
      <c r="N110">
        <v>53484</v>
      </c>
      <c r="O110">
        <v>12307</v>
      </c>
      <c r="P110">
        <v>5.6557999999999993</v>
      </c>
      <c r="Q110">
        <v>1060357</v>
      </c>
      <c r="R110">
        <f t="shared" si="2"/>
        <v>3.5987879553772929E-3</v>
      </c>
      <c r="S110">
        <f t="shared" si="3"/>
        <v>41177</v>
      </c>
    </row>
    <row r="111" spans="1:19" x14ac:dyDescent="0.3">
      <c r="A111" s="4" t="s">
        <v>267</v>
      </c>
      <c r="B111" s="4" t="s">
        <v>33</v>
      </c>
      <c r="C111" s="5">
        <v>45502</v>
      </c>
      <c r="D111" s="4" t="s">
        <v>16</v>
      </c>
      <c r="E111" s="4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s="4" t="s">
        <v>37</v>
      </c>
      <c r="M111" s="4" t="s">
        <v>25</v>
      </c>
      <c r="N111">
        <v>58311</v>
      </c>
      <c r="O111">
        <v>10307</v>
      </c>
      <c r="P111">
        <v>5.7155999999999993</v>
      </c>
      <c r="Q111">
        <v>1164373</v>
      </c>
      <c r="R111">
        <f t="shared" si="2"/>
        <v>3.2575471949280858E-3</v>
      </c>
      <c r="S111">
        <f t="shared" si="3"/>
        <v>48004</v>
      </c>
    </row>
    <row r="112" spans="1:19" x14ac:dyDescent="0.3">
      <c r="A112" s="4" t="s">
        <v>269</v>
      </c>
      <c r="B112" s="4" t="s">
        <v>27</v>
      </c>
      <c r="C112" s="5">
        <v>45619</v>
      </c>
      <c r="D112" s="4" t="s">
        <v>52</v>
      </c>
      <c r="E112" s="4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s="4" t="s">
        <v>30</v>
      </c>
      <c r="M112" s="4" t="s">
        <v>25</v>
      </c>
      <c r="N112">
        <v>47471</v>
      </c>
      <c r="O112">
        <v>12104</v>
      </c>
      <c r="P112">
        <v>5.5587999999999997</v>
      </c>
      <c r="Q112">
        <v>1228647</v>
      </c>
      <c r="R112">
        <f t="shared" si="2"/>
        <v>2.2455595463953437E-3</v>
      </c>
      <c r="S112">
        <f t="shared" si="3"/>
        <v>35367</v>
      </c>
    </row>
    <row r="113" spans="1:19" x14ac:dyDescent="0.3">
      <c r="A113" s="4" t="s">
        <v>271</v>
      </c>
      <c r="B113" s="4" t="s">
        <v>14</v>
      </c>
      <c r="C113" s="5">
        <v>45570</v>
      </c>
      <c r="D113" s="4" t="s">
        <v>35</v>
      </c>
      <c r="E113" s="4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s="4" t="s">
        <v>62</v>
      </c>
      <c r="M113" s="4" t="s">
        <v>31</v>
      </c>
      <c r="N113">
        <v>53484</v>
      </c>
      <c r="O113">
        <v>12307</v>
      </c>
      <c r="P113">
        <v>5.6557999999999993</v>
      </c>
      <c r="Q113">
        <v>1060357</v>
      </c>
      <c r="R113">
        <f t="shared" si="2"/>
        <v>2.1256991749005289E-3</v>
      </c>
      <c r="S113">
        <f t="shared" si="3"/>
        <v>41177</v>
      </c>
    </row>
    <row r="114" spans="1:19" x14ac:dyDescent="0.3">
      <c r="A114" s="4" t="s">
        <v>273</v>
      </c>
      <c r="B114" s="4" t="s">
        <v>14</v>
      </c>
      <c r="C114" s="5">
        <v>45567</v>
      </c>
      <c r="D114" s="4" t="s">
        <v>45</v>
      </c>
      <c r="E114" s="4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s="4" t="s">
        <v>37</v>
      </c>
      <c r="M114" s="4" t="s">
        <v>19</v>
      </c>
      <c r="N114">
        <v>53484</v>
      </c>
      <c r="O114">
        <v>12307</v>
      </c>
      <c r="P114">
        <v>5.6557999999999993</v>
      </c>
      <c r="Q114">
        <v>1060357</v>
      </c>
      <c r="R114">
        <f t="shared" si="2"/>
        <v>4.1768951400330268E-3</v>
      </c>
      <c r="S114">
        <f t="shared" si="3"/>
        <v>41177</v>
      </c>
    </row>
    <row r="115" spans="1:19" x14ac:dyDescent="0.3">
      <c r="A115" s="4" t="s">
        <v>275</v>
      </c>
      <c r="B115" s="4" t="s">
        <v>14</v>
      </c>
      <c r="C115" s="5">
        <v>45610</v>
      </c>
      <c r="D115" s="4" t="s">
        <v>35</v>
      </c>
      <c r="E115" s="4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s="4" t="s">
        <v>62</v>
      </c>
      <c r="M115" s="4" t="s">
        <v>19</v>
      </c>
      <c r="N115">
        <v>53484</v>
      </c>
      <c r="O115">
        <v>12307</v>
      </c>
      <c r="P115">
        <v>5.6557999999999993</v>
      </c>
      <c r="Q115">
        <v>1060357</v>
      </c>
      <c r="R115">
        <f t="shared" si="2"/>
        <v>3.8138098772394582E-3</v>
      </c>
      <c r="S115">
        <f t="shared" si="3"/>
        <v>41177</v>
      </c>
    </row>
    <row r="116" spans="1:19" x14ac:dyDescent="0.3">
      <c r="A116" s="4" t="s">
        <v>277</v>
      </c>
      <c r="B116" s="4" t="s">
        <v>14</v>
      </c>
      <c r="C116" s="5">
        <v>45788</v>
      </c>
      <c r="D116" s="4" t="s">
        <v>52</v>
      </c>
      <c r="E116" s="4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s="4" t="s">
        <v>30</v>
      </c>
      <c r="M116" s="4" t="s">
        <v>38</v>
      </c>
      <c r="N116">
        <v>53484</v>
      </c>
      <c r="O116">
        <v>12307</v>
      </c>
      <c r="P116">
        <v>5.6557999999999993</v>
      </c>
      <c r="Q116">
        <v>1060357</v>
      </c>
      <c r="R116">
        <f t="shared" si="2"/>
        <v>2.579319983741325E-3</v>
      </c>
      <c r="S116">
        <f t="shared" si="3"/>
        <v>41177</v>
      </c>
    </row>
    <row r="117" spans="1:19" x14ac:dyDescent="0.3">
      <c r="A117" s="4" t="s">
        <v>279</v>
      </c>
      <c r="B117" s="4" t="s">
        <v>27</v>
      </c>
      <c r="C117" s="5">
        <v>45734</v>
      </c>
      <c r="D117" s="4" t="s">
        <v>16</v>
      </c>
      <c r="E117" s="4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s="4" t="s">
        <v>30</v>
      </c>
      <c r="M117" s="4"/>
      <c r="N117">
        <v>47471</v>
      </c>
      <c r="O117">
        <v>12104</v>
      </c>
      <c r="P117">
        <v>5.5587999999999997</v>
      </c>
      <c r="Q117">
        <v>1228647</v>
      </c>
      <c r="R117">
        <f t="shared" si="2"/>
        <v>3.1213196304552895E-3</v>
      </c>
      <c r="S117">
        <f t="shared" si="3"/>
        <v>35367</v>
      </c>
    </row>
    <row r="118" spans="1:19" x14ac:dyDescent="0.3">
      <c r="A118" s="4" t="s">
        <v>281</v>
      </c>
      <c r="B118" s="4" t="s">
        <v>14</v>
      </c>
      <c r="C118" s="5">
        <v>45600</v>
      </c>
      <c r="D118" s="4" t="s">
        <v>52</v>
      </c>
      <c r="E118" s="4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s="4" t="s">
        <v>37</v>
      </c>
      <c r="M118" s="4" t="s">
        <v>38</v>
      </c>
      <c r="N118">
        <v>53484</v>
      </c>
      <c r="O118">
        <v>12307</v>
      </c>
      <c r="P118">
        <v>5.6557999999999993</v>
      </c>
      <c r="Q118">
        <v>1060357</v>
      </c>
      <c r="R118">
        <f t="shared" si="2"/>
        <v>1.721118453501981E-3</v>
      </c>
      <c r="S118">
        <f t="shared" si="3"/>
        <v>41177</v>
      </c>
    </row>
    <row r="119" spans="1:19" x14ac:dyDescent="0.3">
      <c r="A119" s="4" t="s">
        <v>283</v>
      </c>
      <c r="B119" s="4" t="s">
        <v>43</v>
      </c>
      <c r="C119" s="5">
        <v>45600</v>
      </c>
      <c r="D119" s="4" t="s">
        <v>52</v>
      </c>
      <c r="E119" s="4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s="4" t="s">
        <v>62</v>
      </c>
      <c r="M119" s="4" t="s">
        <v>31</v>
      </c>
      <c r="N119">
        <v>50862</v>
      </c>
      <c r="O119">
        <v>15305</v>
      </c>
      <c r="P119">
        <v>5.6486000000000001</v>
      </c>
      <c r="Q119">
        <v>1379539</v>
      </c>
      <c r="R119">
        <f t="shared" si="2"/>
        <v>3.3402462706744788E-3</v>
      </c>
      <c r="S119">
        <f t="shared" si="3"/>
        <v>35557</v>
      </c>
    </row>
    <row r="120" spans="1:19" x14ac:dyDescent="0.3">
      <c r="A120" s="4" t="s">
        <v>284</v>
      </c>
      <c r="B120" s="4" t="s">
        <v>33</v>
      </c>
      <c r="C120" s="5">
        <v>45695</v>
      </c>
      <c r="D120" s="4" t="s">
        <v>16</v>
      </c>
      <c r="E120" s="4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s="4" t="s">
        <v>62</v>
      </c>
      <c r="M120" s="4"/>
      <c r="N120">
        <v>58311</v>
      </c>
      <c r="O120">
        <v>10307</v>
      </c>
      <c r="P120">
        <v>5.7155999999999993</v>
      </c>
      <c r="Q120">
        <v>1164373</v>
      </c>
      <c r="R120">
        <f t="shared" si="2"/>
        <v>1.7923809638320366E-3</v>
      </c>
      <c r="S120">
        <f t="shared" si="3"/>
        <v>48004</v>
      </c>
    </row>
    <row r="121" spans="1:19" x14ac:dyDescent="0.3">
      <c r="A121" s="4" t="s">
        <v>286</v>
      </c>
      <c r="B121" s="4" t="s">
        <v>43</v>
      </c>
      <c r="C121" s="5">
        <v>45586</v>
      </c>
      <c r="D121" s="4" t="s">
        <v>35</v>
      </c>
      <c r="E121" s="4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s="4" t="s">
        <v>37</v>
      </c>
      <c r="M121" s="4" t="s">
        <v>31</v>
      </c>
      <c r="N121">
        <v>50862</v>
      </c>
      <c r="O121">
        <v>15305</v>
      </c>
      <c r="P121">
        <v>5.6486000000000001</v>
      </c>
      <c r="Q121">
        <v>1379539</v>
      </c>
      <c r="R121">
        <f t="shared" si="2"/>
        <v>6.3137033458278457E-4</v>
      </c>
      <c r="S121">
        <f t="shared" si="3"/>
        <v>35557</v>
      </c>
    </row>
    <row r="122" spans="1:19" x14ac:dyDescent="0.3">
      <c r="A122" s="4" t="s">
        <v>287</v>
      </c>
      <c r="B122" s="4" t="s">
        <v>33</v>
      </c>
      <c r="C122" s="5">
        <v>45502</v>
      </c>
      <c r="D122" s="4" t="s">
        <v>35</v>
      </c>
      <c r="E122" s="4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s="4" t="s">
        <v>62</v>
      </c>
      <c r="M122" s="4"/>
      <c r="N122">
        <v>58311</v>
      </c>
      <c r="O122">
        <v>10307</v>
      </c>
      <c r="P122">
        <v>5.7155999999999993</v>
      </c>
      <c r="Q122">
        <v>1164373</v>
      </c>
      <c r="R122">
        <f t="shared" si="2"/>
        <v>5.8658179123012989E-4</v>
      </c>
      <c r="S122">
        <f t="shared" si="3"/>
        <v>48004</v>
      </c>
    </row>
    <row r="123" spans="1:19" x14ac:dyDescent="0.3">
      <c r="A123" s="4" t="s">
        <v>288</v>
      </c>
      <c r="B123" s="4" t="s">
        <v>33</v>
      </c>
      <c r="C123" s="5">
        <v>45567</v>
      </c>
      <c r="D123" s="4" t="s">
        <v>22</v>
      </c>
      <c r="E123" s="4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s="4" t="s">
        <v>37</v>
      </c>
      <c r="M123" s="4" t="s">
        <v>25</v>
      </c>
      <c r="N123">
        <v>58311</v>
      </c>
      <c r="O123">
        <v>10307</v>
      </c>
      <c r="P123">
        <v>5.7155999999999993</v>
      </c>
      <c r="Q123">
        <v>1164373</v>
      </c>
      <c r="R123">
        <f t="shared" si="2"/>
        <v>3.174240556934934E-3</v>
      </c>
      <c r="S123">
        <f t="shared" si="3"/>
        <v>48004</v>
      </c>
    </row>
    <row r="124" spans="1:19" x14ac:dyDescent="0.3">
      <c r="A124" s="4" t="s">
        <v>289</v>
      </c>
      <c r="B124" s="4" t="s">
        <v>33</v>
      </c>
      <c r="C124" s="5">
        <v>45457</v>
      </c>
      <c r="D124" s="4" t="s">
        <v>35</v>
      </c>
      <c r="E124" s="4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s="4" t="s">
        <v>37</v>
      </c>
      <c r="M124" s="4" t="s">
        <v>19</v>
      </c>
      <c r="N124">
        <v>58311</v>
      </c>
      <c r="O124">
        <v>10307</v>
      </c>
      <c r="P124">
        <v>5.7155999999999993</v>
      </c>
      <c r="Q124">
        <v>1164373</v>
      </c>
      <c r="R124">
        <f t="shared" si="2"/>
        <v>3.8819175642169647E-3</v>
      </c>
      <c r="S124">
        <f t="shared" si="3"/>
        <v>48004</v>
      </c>
    </row>
    <row r="125" spans="1:19" x14ac:dyDescent="0.3">
      <c r="A125" s="4" t="s">
        <v>290</v>
      </c>
      <c r="B125" s="4" t="s">
        <v>27</v>
      </c>
      <c r="C125" s="5">
        <v>45753</v>
      </c>
      <c r="D125" s="4" t="s">
        <v>45</v>
      </c>
      <c r="E125" s="4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s="4" t="s">
        <v>37</v>
      </c>
      <c r="M125" s="4" t="s">
        <v>19</v>
      </c>
      <c r="N125">
        <v>47471</v>
      </c>
      <c r="O125">
        <v>12104</v>
      </c>
      <c r="P125">
        <v>5.5587999999999997</v>
      </c>
      <c r="Q125">
        <v>1228647</v>
      </c>
      <c r="R125">
        <f t="shared" si="2"/>
        <v>6.1449708500488744E-4</v>
      </c>
      <c r="S125">
        <f t="shared" si="3"/>
        <v>35367</v>
      </c>
    </row>
    <row r="126" spans="1:19" x14ac:dyDescent="0.3">
      <c r="A126" s="4" t="s">
        <v>292</v>
      </c>
      <c r="B126" s="4" t="s">
        <v>14</v>
      </c>
      <c r="C126" s="5">
        <v>45543</v>
      </c>
      <c r="D126" s="4" t="s">
        <v>45</v>
      </c>
      <c r="E126" s="4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s="4" t="s">
        <v>30</v>
      </c>
      <c r="M126" s="4" t="s">
        <v>38</v>
      </c>
      <c r="N126">
        <v>53484</v>
      </c>
      <c r="O126">
        <v>12307</v>
      </c>
      <c r="P126">
        <v>5.6557999999999993</v>
      </c>
      <c r="Q126">
        <v>1060357</v>
      </c>
      <c r="R126">
        <f t="shared" si="2"/>
        <v>3.8138098772394582E-3</v>
      </c>
      <c r="S126">
        <f t="shared" si="3"/>
        <v>41177</v>
      </c>
    </row>
    <row r="127" spans="1:19" x14ac:dyDescent="0.3">
      <c r="A127" s="4" t="s">
        <v>294</v>
      </c>
      <c r="B127" s="4" t="s">
        <v>33</v>
      </c>
      <c r="C127" s="5">
        <v>45744</v>
      </c>
      <c r="D127" s="4" t="s">
        <v>45</v>
      </c>
      <c r="E127" s="4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s="4" t="s">
        <v>62</v>
      </c>
      <c r="M127" s="4"/>
      <c r="N127">
        <v>58311</v>
      </c>
      <c r="O127">
        <v>10307</v>
      </c>
      <c r="P127">
        <v>5.7155999999999993</v>
      </c>
      <c r="Q127">
        <v>1164373</v>
      </c>
      <c r="R127">
        <f t="shared" si="2"/>
        <v>3.6929746739232188E-3</v>
      </c>
      <c r="S127">
        <f t="shared" si="3"/>
        <v>48004</v>
      </c>
    </row>
    <row r="128" spans="1:19" x14ac:dyDescent="0.3">
      <c r="A128" s="4" t="s">
        <v>295</v>
      </c>
      <c r="B128" s="4" t="s">
        <v>43</v>
      </c>
      <c r="C128" s="5">
        <v>45684</v>
      </c>
      <c r="D128" s="4" t="s">
        <v>16</v>
      </c>
      <c r="E128" s="4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s="4" t="s">
        <v>62</v>
      </c>
      <c r="M128" s="4" t="s">
        <v>31</v>
      </c>
      <c r="N128">
        <v>50862</v>
      </c>
      <c r="O128">
        <v>15305</v>
      </c>
      <c r="P128">
        <v>5.6486000000000001</v>
      </c>
      <c r="Q128">
        <v>1379539</v>
      </c>
      <c r="R128">
        <f t="shared" si="2"/>
        <v>2.6168161972948936E-3</v>
      </c>
      <c r="S128">
        <f t="shared" si="3"/>
        <v>35557</v>
      </c>
    </row>
    <row r="129" spans="1:19" x14ac:dyDescent="0.3">
      <c r="A129" s="4" t="s">
        <v>296</v>
      </c>
      <c r="B129" s="4" t="s">
        <v>14</v>
      </c>
      <c r="C129" s="5">
        <v>45667</v>
      </c>
      <c r="D129" s="4" t="s">
        <v>52</v>
      </c>
      <c r="E129" s="4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s="4" t="s">
        <v>62</v>
      </c>
      <c r="M129" s="4"/>
      <c r="N129">
        <v>53484</v>
      </c>
      <c r="O129">
        <v>12307</v>
      </c>
      <c r="P129">
        <v>5.6557999999999993</v>
      </c>
      <c r="Q129">
        <v>1060357</v>
      </c>
      <c r="R129">
        <f t="shared" si="2"/>
        <v>3.0121930632796313E-3</v>
      </c>
      <c r="S129">
        <f t="shared" si="3"/>
        <v>41177</v>
      </c>
    </row>
    <row r="130" spans="1:19" x14ac:dyDescent="0.3">
      <c r="A130" s="4" t="s">
        <v>297</v>
      </c>
      <c r="B130" s="4" t="s">
        <v>14</v>
      </c>
      <c r="C130" s="5">
        <v>45494</v>
      </c>
      <c r="D130" s="4" t="s">
        <v>22</v>
      </c>
      <c r="E130" s="4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s="4" t="s">
        <v>30</v>
      </c>
      <c r="M130" s="4"/>
      <c r="N130">
        <v>53484</v>
      </c>
      <c r="O130">
        <v>12307</v>
      </c>
      <c r="P130">
        <v>5.6557999999999993</v>
      </c>
      <c r="Q130">
        <v>1060357</v>
      </c>
      <c r="R130">
        <f t="shared" si="2"/>
        <v>2.1851131269940219E-3</v>
      </c>
      <c r="S130">
        <f t="shared" si="3"/>
        <v>41177</v>
      </c>
    </row>
    <row r="131" spans="1:19" x14ac:dyDescent="0.3">
      <c r="A131" s="4" t="s">
        <v>298</v>
      </c>
      <c r="B131" s="4" t="s">
        <v>27</v>
      </c>
      <c r="C131" s="5">
        <v>45564</v>
      </c>
      <c r="D131" s="4" t="s">
        <v>16</v>
      </c>
      <c r="E131" s="4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s="4" t="s">
        <v>37</v>
      </c>
      <c r="M131" s="4" t="s">
        <v>38</v>
      </c>
      <c r="N131">
        <v>47471</v>
      </c>
      <c r="O131">
        <v>12104</v>
      </c>
      <c r="P131">
        <v>5.5587999999999997</v>
      </c>
      <c r="Q131">
        <v>1228647</v>
      </c>
      <c r="R131">
        <f t="shared" ref="R131:R194" si="4">(F131+K131)/Q131</f>
        <v>2.4075263277410029E-3</v>
      </c>
      <c r="S131">
        <f t="shared" ref="S131:S194" si="5">N131-O131</f>
        <v>35367</v>
      </c>
    </row>
    <row r="132" spans="1:19" x14ac:dyDescent="0.3">
      <c r="A132" s="4" t="s">
        <v>300</v>
      </c>
      <c r="B132" s="4" t="s">
        <v>33</v>
      </c>
      <c r="C132" s="5">
        <v>45586</v>
      </c>
      <c r="D132" s="4" t="s">
        <v>16</v>
      </c>
      <c r="E132" s="4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s="4" t="s">
        <v>62</v>
      </c>
      <c r="M132" s="4" t="s">
        <v>31</v>
      </c>
      <c r="N132">
        <v>58311</v>
      </c>
      <c r="O132">
        <v>10307</v>
      </c>
      <c r="P132">
        <v>5.7155999999999993</v>
      </c>
      <c r="Q132">
        <v>1164373</v>
      </c>
      <c r="R132">
        <f t="shared" si="4"/>
        <v>4.2056969716748839E-3</v>
      </c>
      <c r="S132">
        <f t="shared" si="5"/>
        <v>48004</v>
      </c>
    </row>
    <row r="133" spans="1:19" x14ac:dyDescent="0.3">
      <c r="A133" s="4" t="s">
        <v>301</v>
      </c>
      <c r="B133" s="4" t="s">
        <v>33</v>
      </c>
      <c r="C133" s="5">
        <v>45720</v>
      </c>
      <c r="D133" s="4" t="s">
        <v>35</v>
      </c>
      <c r="E133" s="4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s="4" t="s">
        <v>62</v>
      </c>
      <c r="M133" s="4" t="s">
        <v>25</v>
      </c>
      <c r="N133">
        <v>58311</v>
      </c>
      <c r="O133">
        <v>10307</v>
      </c>
      <c r="P133">
        <v>5.7155999999999993</v>
      </c>
      <c r="Q133">
        <v>1164373</v>
      </c>
      <c r="R133">
        <f t="shared" si="4"/>
        <v>1.8318872045298199E-3</v>
      </c>
      <c r="S133">
        <f t="shared" si="5"/>
        <v>48004</v>
      </c>
    </row>
    <row r="134" spans="1:19" x14ac:dyDescent="0.3">
      <c r="A134" s="4" t="s">
        <v>302</v>
      </c>
      <c r="B134" s="4" t="s">
        <v>43</v>
      </c>
      <c r="C134" s="5">
        <v>45694</v>
      </c>
      <c r="D134" s="4" t="s">
        <v>52</v>
      </c>
      <c r="E134" s="4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s="4" t="s">
        <v>30</v>
      </c>
      <c r="M134" s="4" t="s">
        <v>38</v>
      </c>
      <c r="N134">
        <v>50862</v>
      </c>
      <c r="O134">
        <v>15305</v>
      </c>
      <c r="P134">
        <v>5.6486000000000001</v>
      </c>
      <c r="Q134">
        <v>1379539</v>
      </c>
      <c r="R134">
        <f t="shared" si="4"/>
        <v>1.5200730098967844E-3</v>
      </c>
      <c r="S134">
        <f t="shared" si="5"/>
        <v>35557</v>
      </c>
    </row>
    <row r="135" spans="1:19" x14ac:dyDescent="0.3">
      <c r="A135" s="4" t="s">
        <v>304</v>
      </c>
      <c r="B135" s="4" t="s">
        <v>14</v>
      </c>
      <c r="C135" s="5">
        <v>45771</v>
      </c>
      <c r="D135" s="4" t="s">
        <v>16</v>
      </c>
      <c r="E135" s="4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s="4" t="s">
        <v>30</v>
      </c>
      <c r="M135" s="4" t="s">
        <v>19</v>
      </c>
      <c r="N135">
        <v>53484</v>
      </c>
      <c r="O135">
        <v>12307</v>
      </c>
      <c r="P135">
        <v>5.6557999999999993</v>
      </c>
      <c r="Q135">
        <v>1060357</v>
      </c>
      <c r="R135">
        <f t="shared" si="4"/>
        <v>3.6157633702611478E-3</v>
      </c>
      <c r="S135">
        <f t="shared" si="5"/>
        <v>41177</v>
      </c>
    </row>
    <row r="136" spans="1:19" x14ac:dyDescent="0.3">
      <c r="A136" s="4" t="s">
        <v>306</v>
      </c>
      <c r="B136" s="4" t="s">
        <v>43</v>
      </c>
      <c r="C136" s="5">
        <v>45624</v>
      </c>
      <c r="D136" s="4" t="s">
        <v>22</v>
      </c>
      <c r="E136" s="4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s="4" t="s">
        <v>62</v>
      </c>
      <c r="M136" s="4" t="s">
        <v>38</v>
      </c>
      <c r="N136">
        <v>50862</v>
      </c>
      <c r="O136">
        <v>15305</v>
      </c>
      <c r="P136">
        <v>5.6486000000000001</v>
      </c>
      <c r="Q136">
        <v>1379539</v>
      </c>
      <c r="R136">
        <f t="shared" si="4"/>
        <v>3.2510860512098608E-3</v>
      </c>
      <c r="S136">
        <f t="shared" si="5"/>
        <v>35557</v>
      </c>
    </row>
    <row r="137" spans="1:19" x14ac:dyDescent="0.3">
      <c r="A137" s="4" t="s">
        <v>308</v>
      </c>
      <c r="B137" s="4" t="s">
        <v>33</v>
      </c>
      <c r="C137" s="5">
        <v>45484</v>
      </c>
      <c r="D137" s="4" t="s">
        <v>22</v>
      </c>
      <c r="E137" s="4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s="4" t="s">
        <v>37</v>
      </c>
      <c r="M137" s="4" t="s">
        <v>38</v>
      </c>
      <c r="N137">
        <v>58311</v>
      </c>
      <c r="O137">
        <v>10307</v>
      </c>
      <c r="P137">
        <v>5.7155999999999993</v>
      </c>
      <c r="Q137">
        <v>1164373</v>
      </c>
      <c r="R137">
        <f t="shared" si="4"/>
        <v>2.8032254269035784E-3</v>
      </c>
      <c r="S137">
        <f t="shared" si="5"/>
        <v>48004</v>
      </c>
    </row>
    <row r="138" spans="1:19" x14ac:dyDescent="0.3">
      <c r="A138" s="4" t="s">
        <v>310</v>
      </c>
      <c r="B138" s="4" t="s">
        <v>43</v>
      </c>
      <c r="C138" s="5">
        <v>45504</v>
      </c>
      <c r="D138" s="4" t="s">
        <v>74</v>
      </c>
      <c r="E138" s="4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s="4" t="s">
        <v>62</v>
      </c>
      <c r="M138" s="4"/>
      <c r="N138">
        <v>50862</v>
      </c>
      <c r="O138">
        <v>15305</v>
      </c>
      <c r="P138">
        <v>5.6486000000000001</v>
      </c>
      <c r="Q138">
        <v>1379539</v>
      </c>
      <c r="R138">
        <f t="shared" si="4"/>
        <v>2.3812302515550483E-3</v>
      </c>
      <c r="S138">
        <f t="shared" si="5"/>
        <v>35557</v>
      </c>
    </row>
    <row r="139" spans="1:19" x14ac:dyDescent="0.3">
      <c r="A139" s="4" t="s">
        <v>311</v>
      </c>
      <c r="B139" s="4" t="s">
        <v>14</v>
      </c>
      <c r="C139" s="5">
        <v>45745</v>
      </c>
      <c r="D139" s="4" t="s">
        <v>52</v>
      </c>
      <c r="E139" s="4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s="4" t="s">
        <v>62</v>
      </c>
      <c r="M139" s="4" t="s">
        <v>31</v>
      </c>
      <c r="N139">
        <v>53484</v>
      </c>
      <c r="O139">
        <v>12307</v>
      </c>
      <c r="P139">
        <v>5.6557999999999993</v>
      </c>
      <c r="Q139">
        <v>1060357</v>
      </c>
      <c r="R139">
        <f t="shared" si="4"/>
        <v>5.0831936791099596E-4</v>
      </c>
      <c r="S139">
        <f t="shared" si="5"/>
        <v>41177</v>
      </c>
    </row>
    <row r="140" spans="1:19" x14ac:dyDescent="0.3">
      <c r="A140" s="4" t="s">
        <v>312</v>
      </c>
      <c r="B140" s="4" t="s">
        <v>27</v>
      </c>
      <c r="C140" s="5">
        <v>45594</v>
      </c>
      <c r="D140" s="4" t="s">
        <v>22</v>
      </c>
      <c r="E140" s="4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s="4" t="s">
        <v>37</v>
      </c>
      <c r="M140" s="4" t="s">
        <v>19</v>
      </c>
      <c r="N140">
        <v>47471</v>
      </c>
      <c r="O140">
        <v>12104</v>
      </c>
      <c r="P140">
        <v>5.5587999999999997</v>
      </c>
      <c r="Q140">
        <v>1228647</v>
      </c>
      <c r="R140">
        <f t="shared" si="4"/>
        <v>2.3546226051909132E-3</v>
      </c>
      <c r="S140">
        <f t="shared" si="5"/>
        <v>35367</v>
      </c>
    </row>
    <row r="141" spans="1:19" x14ac:dyDescent="0.3">
      <c r="A141" s="4" t="s">
        <v>314</v>
      </c>
      <c r="B141" s="4" t="s">
        <v>43</v>
      </c>
      <c r="C141" s="5">
        <v>45488</v>
      </c>
      <c r="D141" s="4" t="s">
        <v>52</v>
      </c>
      <c r="E141" s="4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s="4" t="s">
        <v>37</v>
      </c>
      <c r="M141" s="4" t="s">
        <v>25</v>
      </c>
      <c r="N141">
        <v>50862</v>
      </c>
      <c r="O141">
        <v>15305</v>
      </c>
      <c r="P141">
        <v>5.6486000000000001</v>
      </c>
      <c r="Q141">
        <v>1379539</v>
      </c>
      <c r="R141">
        <f t="shared" si="4"/>
        <v>1.6679484958381024E-3</v>
      </c>
      <c r="S141">
        <f t="shared" si="5"/>
        <v>35557</v>
      </c>
    </row>
    <row r="142" spans="1:19" x14ac:dyDescent="0.3">
      <c r="A142" s="4" t="s">
        <v>317</v>
      </c>
      <c r="B142" s="4" t="s">
        <v>14</v>
      </c>
      <c r="C142" s="5">
        <v>45535</v>
      </c>
      <c r="D142" s="4" t="s">
        <v>52</v>
      </c>
      <c r="E142" s="4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s="4" t="s">
        <v>62</v>
      </c>
      <c r="M142" s="4"/>
      <c r="N142">
        <v>53484</v>
      </c>
      <c r="O142">
        <v>12307</v>
      </c>
      <c r="P142">
        <v>5.6557999999999993</v>
      </c>
      <c r="Q142">
        <v>1060357</v>
      </c>
      <c r="R142">
        <f t="shared" si="4"/>
        <v>3.2158980418858932E-3</v>
      </c>
      <c r="S142">
        <f t="shared" si="5"/>
        <v>41177</v>
      </c>
    </row>
    <row r="143" spans="1:19" x14ac:dyDescent="0.3">
      <c r="A143" s="4" t="s">
        <v>319</v>
      </c>
      <c r="B143" s="4" t="s">
        <v>27</v>
      </c>
      <c r="C143" s="5">
        <v>45741</v>
      </c>
      <c r="D143" s="4" t="s">
        <v>35</v>
      </c>
      <c r="E143" s="4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s="4" t="s">
        <v>62</v>
      </c>
      <c r="M143" s="4" t="s">
        <v>38</v>
      </c>
      <c r="N143">
        <v>47471</v>
      </c>
      <c r="O143">
        <v>12104</v>
      </c>
      <c r="P143">
        <v>5.5587999999999997</v>
      </c>
      <c r="Q143">
        <v>1228647</v>
      </c>
      <c r="R143">
        <f t="shared" si="4"/>
        <v>1.7775650776830122E-3</v>
      </c>
      <c r="S143">
        <f t="shared" si="5"/>
        <v>35367</v>
      </c>
    </row>
    <row r="144" spans="1:19" x14ac:dyDescent="0.3">
      <c r="A144" s="4" t="s">
        <v>320</v>
      </c>
      <c r="B144" s="4" t="s">
        <v>27</v>
      </c>
      <c r="C144" s="5">
        <v>45567</v>
      </c>
      <c r="D144" s="4" t="s">
        <v>45</v>
      </c>
      <c r="E144" s="4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s="4" t="s">
        <v>30</v>
      </c>
      <c r="M144" s="4" t="s">
        <v>31</v>
      </c>
      <c r="N144">
        <v>47471</v>
      </c>
      <c r="O144">
        <v>12104</v>
      </c>
      <c r="P144">
        <v>5.5587999999999997</v>
      </c>
      <c r="Q144">
        <v>1228647</v>
      </c>
      <c r="R144">
        <f t="shared" si="4"/>
        <v>1.6033897449796401E-4</v>
      </c>
      <c r="S144">
        <f t="shared" si="5"/>
        <v>35367</v>
      </c>
    </row>
    <row r="145" spans="1:19" x14ac:dyDescent="0.3">
      <c r="A145" s="4" t="s">
        <v>321</v>
      </c>
      <c r="B145" s="4" t="s">
        <v>27</v>
      </c>
      <c r="C145" s="5">
        <v>45593</v>
      </c>
      <c r="D145" s="4" t="s">
        <v>35</v>
      </c>
      <c r="E145" s="4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s="4" t="s">
        <v>37</v>
      </c>
      <c r="M145" s="4" t="s">
        <v>38</v>
      </c>
      <c r="N145">
        <v>47471</v>
      </c>
      <c r="O145">
        <v>12104</v>
      </c>
      <c r="P145">
        <v>5.5587999999999997</v>
      </c>
      <c r="Q145">
        <v>1228647</v>
      </c>
      <c r="R145">
        <f t="shared" si="4"/>
        <v>4.0654476021184278E-3</v>
      </c>
      <c r="S145">
        <f t="shared" si="5"/>
        <v>35367</v>
      </c>
    </row>
    <row r="146" spans="1:19" x14ac:dyDescent="0.3">
      <c r="A146" s="4" t="s">
        <v>322</v>
      </c>
      <c r="B146" s="4" t="s">
        <v>33</v>
      </c>
      <c r="C146" s="5">
        <v>45516</v>
      </c>
      <c r="D146" s="4" t="s">
        <v>45</v>
      </c>
      <c r="E146" s="4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s="4" t="s">
        <v>30</v>
      </c>
      <c r="M146" s="4" t="s">
        <v>38</v>
      </c>
      <c r="N146">
        <v>58311</v>
      </c>
      <c r="O146">
        <v>10307</v>
      </c>
      <c r="P146">
        <v>5.7155999999999993</v>
      </c>
      <c r="Q146">
        <v>1164373</v>
      </c>
      <c r="R146">
        <f t="shared" si="4"/>
        <v>1.7348392654243957E-3</v>
      </c>
      <c r="S146">
        <f t="shared" si="5"/>
        <v>48004</v>
      </c>
    </row>
    <row r="147" spans="1:19" x14ac:dyDescent="0.3">
      <c r="A147" s="4" t="s">
        <v>323</v>
      </c>
      <c r="B147" s="4" t="s">
        <v>27</v>
      </c>
      <c r="C147" s="5">
        <v>45448</v>
      </c>
      <c r="D147" s="4" t="s">
        <v>16</v>
      </c>
      <c r="E147" s="4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s="4" t="s">
        <v>37</v>
      </c>
      <c r="M147" s="4"/>
      <c r="N147">
        <v>47471</v>
      </c>
      <c r="O147">
        <v>12104</v>
      </c>
      <c r="P147">
        <v>5.5587999999999997</v>
      </c>
      <c r="Q147">
        <v>1228647</v>
      </c>
      <c r="R147">
        <f t="shared" si="4"/>
        <v>2.6573946788621956E-3</v>
      </c>
      <c r="S147">
        <f t="shared" si="5"/>
        <v>35367</v>
      </c>
    </row>
    <row r="148" spans="1:19" x14ac:dyDescent="0.3">
      <c r="A148" s="4" t="s">
        <v>326</v>
      </c>
      <c r="B148" s="4" t="s">
        <v>33</v>
      </c>
      <c r="C148" s="5">
        <v>45586</v>
      </c>
      <c r="D148" s="4" t="s">
        <v>16</v>
      </c>
      <c r="E148" s="4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s="4" t="s">
        <v>30</v>
      </c>
      <c r="M148" s="4" t="s">
        <v>25</v>
      </c>
      <c r="N148">
        <v>58311</v>
      </c>
      <c r="O148">
        <v>10307</v>
      </c>
      <c r="P148">
        <v>5.7155999999999993</v>
      </c>
      <c r="Q148">
        <v>1164373</v>
      </c>
      <c r="R148">
        <f t="shared" si="4"/>
        <v>2.9191676550383767E-3</v>
      </c>
      <c r="S148">
        <f t="shared" si="5"/>
        <v>48004</v>
      </c>
    </row>
    <row r="149" spans="1:19" x14ac:dyDescent="0.3">
      <c r="A149" s="4" t="s">
        <v>327</v>
      </c>
      <c r="B149" s="4" t="s">
        <v>33</v>
      </c>
      <c r="C149" s="5">
        <v>45762</v>
      </c>
      <c r="D149" s="4" t="s">
        <v>74</v>
      </c>
      <c r="E149" s="4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s="4" t="s">
        <v>37</v>
      </c>
      <c r="M149" s="4" t="s">
        <v>38</v>
      </c>
      <c r="N149">
        <v>58311</v>
      </c>
      <c r="O149">
        <v>10307</v>
      </c>
      <c r="P149">
        <v>5.7155999999999993</v>
      </c>
      <c r="Q149">
        <v>1164373</v>
      </c>
      <c r="R149">
        <f t="shared" si="4"/>
        <v>3.700704155798872E-3</v>
      </c>
      <c r="S149">
        <f t="shared" si="5"/>
        <v>48004</v>
      </c>
    </row>
    <row r="150" spans="1:19" x14ac:dyDescent="0.3">
      <c r="A150" s="4" t="s">
        <v>328</v>
      </c>
      <c r="B150" s="4" t="s">
        <v>14</v>
      </c>
      <c r="C150" s="5">
        <v>45459</v>
      </c>
      <c r="D150" s="4" t="s">
        <v>74</v>
      </c>
      <c r="E150" s="4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s="4" t="s">
        <v>37</v>
      </c>
      <c r="M150" s="4" t="s">
        <v>19</v>
      </c>
      <c r="N150">
        <v>53484</v>
      </c>
      <c r="O150">
        <v>12307</v>
      </c>
      <c r="P150">
        <v>5.6557999999999993</v>
      </c>
      <c r="Q150">
        <v>1060357</v>
      </c>
      <c r="R150">
        <f t="shared" si="4"/>
        <v>1.6767937590830258E-3</v>
      </c>
      <c r="S150">
        <f t="shared" si="5"/>
        <v>41177</v>
      </c>
    </row>
    <row r="151" spans="1:19" x14ac:dyDescent="0.3">
      <c r="A151" s="4" t="s">
        <v>330</v>
      </c>
      <c r="B151" s="4" t="s">
        <v>27</v>
      </c>
      <c r="C151" s="5">
        <v>45526</v>
      </c>
      <c r="D151" s="4" t="s">
        <v>45</v>
      </c>
      <c r="E151" s="4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s="4" t="s">
        <v>30</v>
      </c>
      <c r="M151" s="4" t="s">
        <v>38</v>
      </c>
      <c r="N151">
        <v>47471</v>
      </c>
      <c r="O151">
        <v>12104</v>
      </c>
      <c r="P151">
        <v>5.5587999999999997</v>
      </c>
      <c r="Q151">
        <v>1228647</v>
      </c>
      <c r="R151">
        <f t="shared" si="4"/>
        <v>3.7317471983409393E-3</v>
      </c>
      <c r="S151">
        <f t="shared" si="5"/>
        <v>35367</v>
      </c>
    </row>
    <row r="152" spans="1:19" x14ac:dyDescent="0.3">
      <c r="A152" s="4" t="s">
        <v>332</v>
      </c>
      <c r="B152" s="4" t="s">
        <v>33</v>
      </c>
      <c r="C152" s="5">
        <v>45499</v>
      </c>
      <c r="D152" s="4" t="s">
        <v>52</v>
      </c>
      <c r="E152" s="4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s="4" t="s">
        <v>37</v>
      </c>
      <c r="M152" s="4" t="s">
        <v>19</v>
      </c>
      <c r="N152">
        <v>58311</v>
      </c>
      <c r="O152">
        <v>10307</v>
      </c>
      <c r="P152">
        <v>5.7155999999999993</v>
      </c>
      <c r="Q152">
        <v>1164373</v>
      </c>
      <c r="R152">
        <f t="shared" si="4"/>
        <v>3.1613580871421789E-3</v>
      </c>
      <c r="S152">
        <f t="shared" si="5"/>
        <v>48004</v>
      </c>
    </row>
    <row r="153" spans="1:19" x14ac:dyDescent="0.3">
      <c r="A153" s="4" t="s">
        <v>333</v>
      </c>
      <c r="B153" s="4" t="s">
        <v>43</v>
      </c>
      <c r="C153" s="5">
        <v>45769</v>
      </c>
      <c r="D153" s="4" t="s">
        <v>52</v>
      </c>
      <c r="E153" s="4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s="4" t="s">
        <v>37</v>
      </c>
      <c r="M153" s="4" t="s">
        <v>38</v>
      </c>
      <c r="N153">
        <v>50862</v>
      </c>
      <c r="O153">
        <v>15305</v>
      </c>
      <c r="P153">
        <v>5.6486000000000001</v>
      </c>
      <c r="Q153">
        <v>1379539</v>
      </c>
      <c r="R153">
        <f t="shared" si="4"/>
        <v>3.5163920701045785E-3</v>
      </c>
      <c r="S153">
        <f t="shared" si="5"/>
        <v>35557</v>
      </c>
    </row>
    <row r="154" spans="1:19" x14ac:dyDescent="0.3">
      <c r="A154" s="4" t="s">
        <v>335</v>
      </c>
      <c r="B154" s="4" t="s">
        <v>14</v>
      </c>
      <c r="C154" s="5">
        <v>45658</v>
      </c>
      <c r="D154" s="4" t="s">
        <v>74</v>
      </c>
      <c r="E154" s="4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s="4" t="s">
        <v>30</v>
      </c>
      <c r="M154" s="4" t="s">
        <v>31</v>
      </c>
      <c r="N154">
        <v>53484</v>
      </c>
      <c r="O154">
        <v>12307</v>
      </c>
      <c r="P154">
        <v>5.6557999999999993</v>
      </c>
      <c r="Q154">
        <v>1060357</v>
      </c>
      <c r="R154">
        <f t="shared" si="4"/>
        <v>9.1101393210022666E-4</v>
      </c>
      <c r="S154">
        <f t="shared" si="5"/>
        <v>41177</v>
      </c>
    </row>
    <row r="155" spans="1:19" x14ac:dyDescent="0.3">
      <c r="A155" s="4" t="s">
        <v>337</v>
      </c>
      <c r="B155" s="4" t="s">
        <v>33</v>
      </c>
      <c r="C155" s="5">
        <v>45574</v>
      </c>
      <c r="D155" s="4" t="s">
        <v>45</v>
      </c>
      <c r="E155" s="4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s="4" t="s">
        <v>62</v>
      </c>
      <c r="M155" s="4" t="s">
        <v>38</v>
      </c>
      <c r="N155">
        <v>58311</v>
      </c>
      <c r="O155">
        <v>10307</v>
      </c>
      <c r="P155">
        <v>5.7155999999999993</v>
      </c>
      <c r="Q155">
        <v>1164373</v>
      </c>
      <c r="R155">
        <f t="shared" si="4"/>
        <v>9.0091405417336192E-4</v>
      </c>
      <c r="S155">
        <f t="shared" si="5"/>
        <v>48004</v>
      </c>
    </row>
    <row r="156" spans="1:19" x14ac:dyDescent="0.3">
      <c r="A156" s="4" t="s">
        <v>338</v>
      </c>
      <c r="B156" s="4" t="s">
        <v>27</v>
      </c>
      <c r="C156" s="5">
        <v>45647</v>
      </c>
      <c r="D156" s="4" t="s">
        <v>52</v>
      </c>
      <c r="E156" s="4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s="4" t="s">
        <v>62</v>
      </c>
      <c r="M156" s="4" t="s">
        <v>25</v>
      </c>
      <c r="N156">
        <v>47471</v>
      </c>
      <c r="O156">
        <v>12104</v>
      </c>
      <c r="P156">
        <v>5.5587999999999997</v>
      </c>
      <c r="Q156">
        <v>1228647</v>
      </c>
      <c r="R156">
        <f t="shared" si="4"/>
        <v>1.9745297062541151E-3</v>
      </c>
      <c r="S156">
        <f t="shared" si="5"/>
        <v>35367</v>
      </c>
    </row>
    <row r="157" spans="1:19" x14ac:dyDescent="0.3">
      <c r="A157" s="4" t="s">
        <v>340</v>
      </c>
      <c r="B157" s="4" t="s">
        <v>43</v>
      </c>
      <c r="C157" s="5">
        <v>45587</v>
      </c>
      <c r="D157" s="4" t="s">
        <v>45</v>
      </c>
      <c r="E157" s="4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s="4" t="s">
        <v>62</v>
      </c>
      <c r="M157" s="4" t="s">
        <v>25</v>
      </c>
      <c r="N157">
        <v>50862</v>
      </c>
      <c r="O157">
        <v>15305</v>
      </c>
      <c r="P157">
        <v>5.6486000000000001</v>
      </c>
      <c r="Q157">
        <v>1379539</v>
      </c>
      <c r="R157">
        <f t="shared" si="4"/>
        <v>2.6037683603000713E-3</v>
      </c>
      <c r="S157">
        <f t="shared" si="5"/>
        <v>35557</v>
      </c>
    </row>
    <row r="158" spans="1:19" x14ac:dyDescent="0.3">
      <c r="A158" s="4" t="s">
        <v>342</v>
      </c>
      <c r="B158" s="4" t="s">
        <v>27</v>
      </c>
      <c r="C158" s="5">
        <v>45496</v>
      </c>
      <c r="D158" s="4" t="s">
        <v>35</v>
      </c>
      <c r="E158" s="4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s="4" t="s">
        <v>62</v>
      </c>
      <c r="M158" s="4" t="s">
        <v>25</v>
      </c>
      <c r="N158">
        <v>47471</v>
      </c>
      <c r="O158">
        <v>12104</v>
      </c>
      <c r="P158">
        <v>5.5587999999999997</v>
      </c>
      <c r="Q158">
        <v>1228647</v>
      </c>
      <c r="R158">
        <f t="shared" si="4"/>
        <v>4.038588789131459E-3</v>
      </c>
      <c r="S158">
        <f t="shared" si="5"/>
        <v>35367</v>
      </c>
    </row>
    <row r="159" spans="1:19" x14ac:dyDescent="0.3">
      <c r="A159" s="4" t="s">
        <v>344</v>
      </c>
      <c r="B159" s="4" t="s">
        <v>33</v>
      </c>
      <c r="C159" s="5">
        <v>45515</v>
      </c>
      <c r="D159" s="4" t="s">
        <v>35</v>
      </c>
      <c r="E159" s="4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s="4" t="s">
        <v>30</v>
      </c>
      <c r="M159" s="4" t="s">
        <v>19</v>
      </c>
      <c r="N159">
        <v>58311</v>
      </c>
      <c r="O159">
        <v>10307</v>
      </c>
      <c r="P159">
        <v>5.7155999999999993</v>
      </c>
      <c r="Q159">
        <v>1164373</v>
      </c>
      <c r="R159">
        <f t="shared" si="4"/>
        <v>1.5347315679769284E-3</v>
      </c>
      <c r="S159">
        <f t="shared" si="5"/>
        <v>48004</v>
      </c>
    </row>
    <row r="160" spans="1:19" x14ac:dyDescent="0.3">
      <c r="A160" s="4" t="s">
        <v>346</v>
      </c>
      <c r="B160" s="4" t="s">
        <v>43</v>
      </c>
      <c r="C160" s="5">
        <v>45621</v>
      </c>
      <c r="D160" s="4" t="s">
        <v>35</v>
      </c>
      <c r="E160" s="4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s="4" t="s">
        <v>62</v>
      </c>
      <c r="M160" s="4" t="s">
        <v>25</v>
      </c>
      <c r="N160">
        <v>50862</v>
      </c>
      <c r="O160">
        <v>15305</v>
      </c>
      <c r="P160">
        <v>5.6486000000000001</v>
      </c>
      <c r="Q160">
        <v>1379539</v>
      </c>
      <c r="R160">
        <f t="shared" si="4"/>
        <v>1.5490682032186114E-3</v>
      </c>
      <c r="S160">
        <f t="shared" si="5"/>
        <v>35557</v>
      </c>
    </row>
    <row r="161" spans="1:19" x14ac:dyDescent="0.3">
      <c r="A161" s="4" t="s">
        <v>347</v>
      </c>
      <c r="B161" s="4" t="s">
        <v>14</v>
      </c>
      <c r="C161" s="5">
        <v>45528</v>
      </c>
      <c r="D161" s="4" t="s">
        <v>74</v>
      </c>
      <c r="E161" s="4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s="4" t="s">
        <v>30</v>
      </c>
      <c r="M161" s="4"/>
      <c r="N161">
        <v>53484</v>
      </c>
      <c r="O161">
        <v>12307</v>
      </c>
      <c r="P161">
        <v>5.6557999999999993</v>
      </c>
      <c r="Q161">
        <v>1060357</v>
      </c>
      <c r="R161">
        <f t="shared" si="4"/>
        <v>1.0392726223337988E-3</v>
      </c>
      <c r="S161">
        <f t="shared" si="5"/>
        <v>41177</v>
      </c>
    </row>
    <row r="162" spans="1:19" x14ac:dyDescent="0.3">
      <c r="A162" s="4" t="s">
        <v>349</v>
      </c>
      <c r="B162" s="4" t="s">
        <v>14</v>
      </c>
      <c r="C162" s="5">
        <v>45707</v>
      </c>
      <c r="D162" s="4" t="s">
        <v>22</v>
      </c>
      <c r="E162" s="4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s="4" t="s">
        <v>30</v>
      </c>
      <c r="M162" s="4" t="s">
        <v>38</v>
      </c>
      <c r="N162">
        <v>53484</v>
      </c>
      <c r="O162">
        <v>12307</v>
      </c>
      <c r="P162">
        <v>5.6557999999999993</v>
      </c>
      <c r="Q162">
        <v>1060357</v>
      </c>
      <c r="R162">
        <f t="shared" si="4"/>
        <v>4.6361744205017747E-3</v>
      </c>
      <c r="S162">
        <f t="shared" si="5"/>
        <v>41177</v>
      </c>
    </row>
    <row r="163" spans="1:19" x14ac:dyDescent="0.3">
      <c r="A163" s="4" t="s">
        <v>351</v>
      </c>
      <c r="B163" s="4" t="s">
        <v>43</v>
      </c>
      <c r="C163" s="5">
        <v>45748</v>
      </c>
      <c r="D163" s="4" t="s">
        <v>35</v>
      </c>
      <c r="E163" s="4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s="4" t="s">
        <v>62</v>
      </c>
      <c r="M163" s="4"/>
      <c r="N163">
        <v>50862</v>
      </c>
      <c r="O163">
        <v>15305</v>
      </c>
      <c r="P163">
        <v>5.6486000000000001</v>
      </c>
      <c r="Q163">
        <v>1379539</v>
      </c>
      <c r="R163">
        <f t="shared" si="4"/>
        <v>2.5733234073121529E-3</v>
      </c>
      <c r="S163">
        <f t="shared" si="5"/>
        <v>35557</v>
      </c>
    </row>
    <row r="164" spans="1:19" x14ac:dyDescent="0.3">
      <c r="A164" s="4" t="s">
        <v>353</v>
      </c>
      <c r="B164" s="4" t="s">
        <v>33</v>
      </c>
      <c r="C164" s="5">
        <v>45755</v>
      </c>
      <c r="D164" s="4" t="s">
        <v>52</v>
      </c>
      <c r="E164" s="4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s="4" t="s">
        <v>30</v>
      </c>
      <c r="M164" s="4" t="s">
        <v>25</v>
      </c>
      <c r="N164">
        <v>58311</v>
      </c>
      <c r="O164">
        <v>10307</v>
      </c>
      <c r="P164">
        <v>5.7155999999999993</v>
      </c>
      <c r="Q164">
        <v>1164373</v>
      </c>
      <c r="R164">
        <f t="shared" si="4"/>
        <v>3.9789655033223891E-3</v>
      </c>
      <c r="S164">
        <f t="shared" si="5"/>
        <v>48004</v>
      </c>
    </row>
    <row r="165" spans="1:19" x14ac:dyDescent="0.3">
      <c r="A165" s="4" t="s">
        <v>355</v>
      </c>
      <c r="B165" s="4" t="s">
        <v>27</v>
      </c>
      <c r="C165" s="5">
        <v>45715</v>
      </c>
      <c r="D165" s="4" t="s">
        <v>22</v>
      </c>
      <c r="E165" s="4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s="4" t="s">
        <v>30</v>
      </c>
      <c r="M165" s="4" t="s">
        <v>38</v>
      </c>
      <c r="N165">
        <v>47471</v>
      </c>
      <c r="O165">
        <v>12104</v>
      </c>
      <c r="P165">
        <v>5.5587999999999997</v>
      </c>
      <c r="Q165">
        <v>1228647</v>
      </c>
      <c r="R165">
        <f t="shared" si="4"/>
        <v>4.1533491718939615E-3</v>
      </c>
      <c r="S165">
        <f t="shared" si="5"/>
        <v>35367</v>
      </c>
    </row>
    <row r="166" spans="1:19" x14ac:dyDescent="0.3">
      <c r="A166" s="4" t="s">
        <v>356</v>
      </c>
      <c r="B166" s="4" t="s">
        <v>14</v>
      </c>
      <c r="C166" s="5">
        <v>45637</v>
      </c>
      <c r="D166" s="4" t="s">
        <v>22</v>
      </c>
      <c r="E166" s="4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s="4" t="s">
        <v>30</v>
      </c>
      <c r="M166" s="4" t="s">
        <v>25</v>
      </c>
      <c r="N166">
        <v>53484</v>
      </c>
      <c r="O166">
        <v>12307</v>
      </c>
      <c r="P166">
        <v>5.6557999999999993</v>
      </c>
      <c r="Q166">
        <v>1060357</v>
      </c>
      <c r="R166">
        <f t="shared" si="4"/>
        <v>3.2715396795607518E-3</v>
      </c>
      <c r="S166">
        <f t="shared" si="5"/>
        <v>41177</v>
      </c>
    </row>
    <row r="167" spans="1:19" x14ac:dyDescent="0.3">
      <c r="A167" s="4" t="s">
        <v>357</v>
      </c>
      <c r="B167" s="4" t="s">
        <v>14</v>
      </c>
      <c r="C167" s="5">
        <v>45704</v>
      </c>
      <c r="D167" s="4" t="s">
        <v>16</v>
      </c>
      <c r="E167" s="4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s="4" t="s">
        <v>62</v>
      </c>
      <c r="M167" s="4" t="s">
        <v>19</v>
      </c>
      <c r="N167">
        <v>53484</v>
      </c>
      <c r="O167">
        <v>12307</v>
      </c>
      <c r="P167">
        <v>5.6557999999999993</v>
      </c>
      <c r="Q167">
        <v>1060357</v>
      </c>
      <c r="R167">
        <f t="shared" si="4"/>
        <v>1.1128327534971711E-3</v>
      </c>
      <c r="S167">
        <f t="shared" si="5"/>
        <v>41177</v>
      </c>
    </row>
    <row r="168" spans="1:19" x14ac:dyDescent="0.3">
      <c r="A168" s="4" t="s">
        <v>358</v>
      </c>
      <c r="B168" s="4" t="s">
        <v>33</v>
      </c>
      <c r="C168" s="5">
        <v>45624</v>
      </c>
      <c r="D168" s="4" t="s">
        <v>22</v>
      </c>
      <c r="E168" s="4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s="4" t="s">
        <v>62</v>
      </c>
      <c r="M168" s="4"/>
      <c r="N168">
        <v>58311</v>
      </c>
      <c r="O168">
        <v>10307</v>
      </c>
      <c r="P168">
        <v>5.7155999999999993</v>
      </c>
      <c r="Q168">
        <v>1164373</v>
      </c>
      <c r="R168">
        <f t="shared" si="4"/>
        <v>4.2263089233432931E-3</v>
      </c>
      <c r="S168">
        <f t="shared" si="5"/>
        <v>48004</v>
      </c>
    </row>
    <row r="169" spans="1:19" x14ac:dyDescent="0.3">
      <c r="A169" s="4" t="s">
        <v>359</v>
      </c>
      <c r="B169" s="4" t="s">
        <v>43</v>
      </c>
      <c r="C169" s="5">
        <v>45608</v>
      </c>
      <c r="D169" s="4" t="s">
        <v>22</v>
      </c>
      <c r="E169" s="4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s="4" t="s">
        <v>37</v>
      </c>
      <c r="M169" s="4" t="s">
        <v>19</v>
      </c>
      <c r="N169">
        <v>50862</v>
      </c>
      <c r="O169">
        <v>15305</v>
      </c>
      <c r="P169">
        <v>5.6486000000000001</v>
      </c>
      <c r="Q169">
        <v>1379539</v>
      </c>
      <c r="R169">
        <f t="shared" si="4"/>
        <v>1.8846875659187599E-3</v>
      </c>
      <c r="S169">
        <f t="shared" si="5"/>
        <v>35557</v>
      </c>
    </row>
    <row r="170" spans="1:19" x14ac:dyDescent="0.3">
      <c r="A170" s="4" t="s">
        <v>361</v>
      </c>
      <c r="B170" s="4" t="s">
        <v>27</v>
      </c>
      <c r="C170" s="5">
        <v>45629</v>
      </c>
      <c r="D170" s="4" t="s">
        <v>74</v>
      </c>
      <c r="E170" s="4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s="4" t="s">
        <v>37</v>
      </c>
      <c r="M170" s="4" t="s">
        <v>19</v>
      </c>
      <c r="N170">
        <v>47471</v>
      </c>
      <c r="O170">
        <v>12104</v>
      </c>
      <c r="P170">
        <v>5.5587999999999997</v>
      </c>
      <c r="Q170">
        <v>1228647</v>
      </c>
      <c r="R170">
        <f t="shared" si="4"/>
        <v>3.1677121256145986E-3</v>
      </c>
      <c r="S170">
        <f t="shared" si="5"/>
        <v>35367</v>
      </c>
    </row>
    <row r="171" spans="1:19" x14ac:dyDescent="0.3">
      <c r="A171" s="4" t="s">
        <v>363</v>
      </c>
      <c r="B171" s="4" t="s">
        <v>14</v>
      </c>
      <c r="C171" s="5">
        <v>45775</v>
      </c>
      <c r="D171" s="4" t="s">
        <v>22</v>
      </c>
      <c r="E171" s="4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s="4" t="s">
        <v>30</v>
      </c>
      <c r="M171" s="4" t="s">
        <v>31</v>
      </c>
      <c r="N171">
        <v>53484</v>
      </c>
      <c r="O171">
        <v>12307</v>
      </c>
      <c r="P171">
        <v>5.6557999999999993</v>
      </c>
      <c r="Q171">
        <v>1060357</v>
      </c>
      <c r="R171">
        <f t="shared" si="4"/>
        <v>3.4233753349107894E-3</v>
      </c>
      <c r="S171">
        <f t="shared" si="5"/>
        <v>41177</v>
      </c>
    </row>
    <row r="172" spans="1:19" x14ac:dyDescent="0.3">
      <c r="A172" s="4" t="s">
        <v>365</v>
      </c>
      <c r="B172" s="4" t="s">
        <v>27</v>
      </c>
      <c r="C172" s="5">
        <v>45657</v>
      </c>
      <c r="D172" s="4" t="s">
        <v>74</v>
      </c>
      <c r="E172" s="4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s="4" t="s">
        <v>62</v>
      </c>
      <c r="M172" s="4" t="s">
        <v>25</v>
      </c>
      <c r="N172">
        <v>47471</v>
      </c>
      <c r="O172">
        <v>12104</v>
      </c>
      <c r="P172">
        <v>5.5587999999999997</v>
      </c>
      <c r="Q172">
        <v>1228647</v>
      </c>
      <c r="R172">
        <f t="shared" si="4"/>
        <v>8.5948201558299492E-4</v>
      </c>
      <c r="S172">
        <f t="shared" si="5"/>
        <v>35367</v>
      </c>
    </row>
    <row r="173" spans="1:19" x14ac:dyDescent="0.3">
      <c r="A173" s="4" t="s">
        <v>367</v>
      </c>
      <c r="B173" s="4" t="s">
        <v>43</v>
      </c>
      <c r="C173" s="5">
        <v>45518</v>
      </c>
      <c r="D173" s="4" t="s">
        <v>45</v>
      </c>
      <c r="E173" s="4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s="4" t="s">
        <v>37</v>
      </c>
      <c r="M173" s="4" t="s">
        <v>31</v>
      </c>
      <c r="N173">
        <v>50862</v>
      </c>
      <c r="O173">
        <v>15305</v>
      </c>
      <c r="P173">
        <v>5.6486000000000001</v>
      </c>
      <c r="Q173">
        <v>1379539</v>
      </c>
      <c r="R173">
        <f t="shared" si="4"/>
        <v>2.4058761658786016E-3</v>
      </c>
      <c r="S173">
        <f t="shared" si="5"/>
        <v>35557</v>
      </c>
    </row>
    <row r="174" spans="1:19" x14ac:dyDescent="0.3">
      <c r="A174" s="4" t="s">
        <v>369</v>
      </c>
      <c r="B174" s="4" t="s">
        <v>14</v>
      </c>
      <c r="C174" s="5">
        <v>45631</v>
      </c>
      <c r="D174" s="4" t="s">
        <v>74</v>
      </c>
      <c r="E174" s="4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s="4" t="s">
        <v>62</v>
      </c>
      <c r="M174" s="4" t="s">
        <v>31</v>
      </c>
      <c r="N174">
        <v>53484</v>
      </c>
      <c r="O174">
        <v>12307</v>
      </c>
      <c r="P174">
        <v>5.6557999999999993</v>
      </c>
      <c r="Q174">
        <v>1060357</v>
      </c>
      <c r="R174">
        <f t="shared" si="4"/>
        <v>1.4702595446627882E-3</v>
      </c>
      <c r="S174">
        <f t="shared" si="5"/>
        <v>41177</v>
      </c>
    </row>
    <row r="175" spans="1:19" x14ac:dyDescent="0.3">
      <c r="A175" s="4" t="s">
        <v>371</v>
      </c>
      <c r="B175" s="4" t="s">
        <v>43</v>
      </c>
      <c r="C175" s="5">
        <v>45465</v>
      </c>
      <c r="D175" s="4" t="s">
        <v>22</v>
      </c>
      <c r="E175" s="4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s="4" t="s">
        <v>37</v>
      </c>
      <c r="M175" s="4"/>
      <c r="N175">
        <v>50862</v>
      </c>
      <c r="O175">
        <v>15305</v>
      </c>
      <c r="P175">
        <v>5.6486000000000001</v>
      </c>
      <c r="Q175">
        <v>1379539</v>
      </c>
      <c r="R175">
        <f t="shared" si="4"/>
        <v>2.9451867616645849E-3</v>
      </c>
      <c r="S175">
        <f t="shared" si="5"/>
        <v>35557</v>
      </c>
    </row>
    <row r="176" spans="1:19" x14ac:dyDescent="0.3">
      <c r="A176" s="4" t="s">
        <v>372</v>
      </c>
      <c r="B176" s="4" t="s">
        <v>33</v>
      </c>
      <c r="C176" s="5">
        <v>45674</v>
      </c>
      <c r="D176" s="4" t="s">
        <v>16</v>
      </c>
      <c r="E176" s="4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s="4" t="s">
        <v>62</v>
      </c>
      <c r="M176" s="4" t="s">
        <v>38</v>
      </c>
      <c r="N176">
        <v>58311</v>
      </c>
      <c r="O176">
        <v>10307</v>
      </c>
      <c r="P176">
        <v>5.7155999999999993</v>
      </c>
      <c r="Q176">
        <v>1164373</v>
      </c>
      <c r="R176">
        <f t="shared" si="4"/>
        <v>2.542140705770402E-4</v>
      </c>
      <c r="S176">
        <f t="shared" si="5"/>
        <v>48004</v>
      </c>
    </row>
    <row r="177" spans="1:19" x14ac:dyDescent="0.3">
      <c r="A177" s="4" t="s">
        <v>374</v>
      </c>
      <c r="B177" s="4" t="s">
        <v>43</v>
      </c>
      <c r="C177" s="5">
        <v>45463</v>
      </c>
      <c r="D177" s="4" t="s">
        <v>74</v>
      </c>
      <c r="E177" s="4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s="4" t="s">
        <v>30</v>
      </c>
      <c r="M177" s="4" t="s">
        <v>19</v>
      </c>
      <c r="N177">
        <v>50862</v>
      </c>
      <c r="O177">
        <v>15305</v>
      </c>
      <c r="P177">
        <v>5.6486000000000001</v>
      </c>
      <c r="Q177">
        <v>1379539</v>
      </c>
      <c r="R177">
        <f t="shared" si="4"/>
        <v>2.9459116414976309E-3</v>
      </c>
      <c r="S177">
        <f t="shared" si="5"/>
        <v>35557</v>
      </c>
    </row>
    <row r="178" spans="1:19" x14ac:dyDescent="0.3">
      <c r="A178" s="4" t="s">
        <v>376</v>
      </c>
      <c r="B178" s="4" t="s">
        <v>33</v>
      </c>
      <c r="C178" s="5">
        <v>45483</v>
      </c>
      <c r="D178" s="4" t="s">
        <v>45</v>
      </c>
      <c r="E178" s="4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s="4" t="s">
        <v>30</v>
      </c>
      <c r="M178" s="4" t="s">
        <v>31</v>
      </c>
      <c r="N178">
        <v>58311</v>
      </c>
      <c r="O178">
        <v>10307</v>
      </c>
      <c r="P178">
        <v>5.7155999999999993</v>
      </c>
      <c r="Q178">
        <v>1164373</v>
      </c>
      <c r="R178">
        <f t="shared" si="4"/>
        <v>2.706177487798154E-3</v>
      </c>
      <c r="S178">
        <f t="shared" si="5"/>
        <v>48004</v>
      </c>
    </row>
    <row r="179" spans="1:19" x14ac:dyDescent="0.3">
      <c r="A179" s="4" t="s">
        <v>378</v>
      </c>
      <c r="B179" s="4" t="s">
        <v>33</v>
      </c>
      <c r="C179" s="5">
        <v>45603</v>
      </c>
      <c r="D179" s="4" t="s">
        <v>74</v>
      </c>
      <c r="E179" s="4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s="4" t="s">
        <v>30</v>
      </c>
      <c r="M179" s="4" t="s">
        <v>38</v>
      </c>
      <c r="N179">
        <v>58311</v>
      </c>
      <c r="O179">
        <v>10307</v>
      </c>
      <c r="P179">
        <v>5.7155999999999993</v>
      </c>
      <c r="Q179">
        <v>1164373</v>
      </c>
      <c r="R179">
        <f t="shared" si="4"/>
        <v>3.1519109426274912E-4</v>
      </c>
      <c r="S179">
        <f t="shared" si="5"/>
        <v>48004</v>
      </c>
    </row>
    <row r="180" spans="1:19" x14ac:dyDescent="0.3">
      <c r="A180" s="4" t="s">
        <v>379</v>
      </c>
      <c r="B180" s="4" t="s">
        <v>43</v>
      </c>
      <c r="C180" s="5">
        <v>45488</v>
      </c>
      <c r="D180" s="4" t="s">
        <v>45</v>
      </c>
      <c r="E180" s="4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s="4" t="s">
        <v>30</v>
      </c>
      <c r="M180" s="4"/>
      <c r="N180">
        <v>50862</v>
      </c>
      <c r="O180">
        <v>15305</v>
      </c>
      <c r="P180">
        <v>5.6486000000000001</v>
      </c>
      <c r="Q180">
        <v>1379539</v>
      </c>
      <c r="R180">
        <f t="shared" si="4"/>
        <v>2.9633087574907268E-3</v>
      </c>
      <c r="S180">
        <f t="shared" si="5"/>
        <v>35557</v>
      </c>
    </row>
    <row r="181" spans="1:19" x14ac:dyDescent="0.3">
      <c r="A181" s="4" t="s">
        <v>380</v>
      </c>
      <c r="B181" s="4" t="s">
        <v>27</v>
      </c>
      <c r="C181" s="5">
        <v>45629</v>
      </c>
      <c r="D181" s="4" t="s">
        <v>22</v>
      </c>
      <c r="E181" s="4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s="4" t="s">
        <v>30</v>
      </c>
      <c r="M181" s="4" t="s">
        <v>19</v>
      </c>
      <c r="N181">
        <v>47471</v>
      </c>
      <c r="O181">
        <v>12104</v>
      </c>
      <c r="P181">
        <v>5.5587999999999997</v>
      </c>
      <c r="Q181">
        <v>1228647</v>
      </c>
      <c r="R181">
        <f t="shared" si="4"/>
        <v>3.0293485435605181E-3</v>
      </c>
      <c r="S181">
        <f t="shared" si="5"/>
        <v>35367</v>
      </c>
    </row>
    <row r="182" spans="1:19" x14ac:dyDescent="0.3">
      <c r="A182" s="4" t="s">
        <v>381</v>
      </c>
      <c r="B182" s="4" t="s">
        <v>27</v>
      </c>
      <c r="C182" s="5">
        <v>45737</v>
      </c>
      <c r="D182" s="4" t="s">
        <v>52</v>
      </c>
      <c r="E182" s="4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s="4" t="s">
        <v>37</v>
      </c>
      <c r="M182" s="4" t="s">
        <v>31</v>
      </c>
      <c r="N182">
        <v>47471</v>
      </c>
      <c r="O182">
        <v>12104</v>
      </c>
      <c r="P182">
        <v>5.5587999999999997</v>
      </c>
      <c r="Q182">
        <v>1228647</v>
      </c>
      <c r="R182">
        <f t="shared" si="4"/>
        <v>6.8774839315116545E-4</v>
      </c>
      <c r="S182">
        <f t="shared" si="5"/>
        <v>35367</v>
      </c>
    </row>
    <row r="183" spans="1:19" x14ac:dyDescent="0.3">
      <c r="A183" s="4" t="s">
        <v>383</v>
      </c>
      <c r="B183" s="4" t="s">
        <v>43</v>
      </c>
      <c r="C183" s="5">
        <v>45504</v>
      </c>
      <c r="D183" s="4" t="s">
        <v>52</v>
      </c>
      <c r="E183" s="4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s="4" t="s">
        <v>30</v>
      </c>
      <c r="M183" s="4" t="s">
        <v>38</v>
      </c>
      <c r="N183">
        <v>50862</v>
      </c>
      <c r="O183">
        <v>15305</v>
      </c>
      <c r="P183">
        <v>5.6486000000000001</v>
      </c>
      <c r="Q183">
        <v>1379539</v>
      </c>
      <c r="R183">
        <f t="shared" si="4"/>
        <v>3.524365748268081E-3</v>
      </c>
      <c r="S183">
        <f t="shared" si="5"/>
        <v>35557</v>
      </c>
    </row>
    <row r="184" spans="1:19" x14ac:dyDescent="0.3">
      <c r="A184" s="4" t="s">
        <v>384</v>
      </c>
      <c r="B184" s="4" t="s">
        <v>33</v>
      </c>
      <c r="C184" s="5">
        <v>45643</v>
      </c>
      <c r="D184" s="4" t="s">
        <v>35</v>
      </c>
      <c r="E184" s="4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s="4" t="s">
        <v>62</v>
      </c>
      <c r="M184" s="4" t="s">
        <v>25</v>
      </c>
      <c r="N184">
        <v>58311</v>
      </c>
      <c r="O184">
        <v>10307</v>
      </c>
      <c r="P184">
        <v>5.7155999999999993</v>
      </c>
      <c r="Q184">
        <v>1164373</v>
      </c>
      <c r="R184">
        <f t="shared" si="4"/>
        <v>4.8781618948567169E-4</v>
      </c>
      <c r="S184">
        <f t="shared" si="5"/>
        <v>48004</v>
      </c>
    </row>
    <row r="185" spans="1:19" x14ac:dyDescent="0.3">
      <c r="A185" s="4" t="s">
        <v>386</v>
      </c>
      <c r="B185" s="4" t="s">
        <v>14</v>
      </c>
      <c r="C185" s="5">
        <v>45501</v>
      </c>
      <c r="D185" s="4" t="s">
        <v>52</v>
      </c>
      <c r="E185" s="4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s="4" t="s">
        <v>37</v>
      </c>
      <c r="M185" s="4" t="s">
        <v>19</v>
      </c>
      <c r="N185">
        <v>53484</v>
      </c>
      <c r="O185">
        <v>12307</v>
      </c>
      <c r="P185">
        <v>5.6557999999999993</v>
      </c>
      <c r="Q185">
        <v>1060357</v>
      </c>
      <c r="R185">
        <f t="shared" si="4"/>
        <v>3.2687104437467761E-3</v>
      </c>
      <c r="S185">
        <f t="shared" si="5"/>
        <v>41177</v>
      </c>
    </row>
    <row r="186" spans="1:19" x14ac:dyDescent="0.3">
      <c r="A186" s="4" t="s">
        <v>388</v>
      </c>
      <c r="B186" s="4" t="s">
        <v>33</v>
      </c>
      <c r="C186" s="5">
        <v>45668</v>
      </c>
      <c r="D186" s="4" t="s">
        <v>45</v>
      </c>
      <c r="E186" s="4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s="4" t="s">
        <v>37</v>
      </c>
      <c r="M186" s="4"/>
      <c r="N186">
        <v>58311</v>
      </c>
      <c r="O186">
        <v>10307</v>
      </c>
      <c r="P186">
        <v>5.7155999999999993</v>
      </c>
      <c r="Q186">
        <v>1164373</v>
      </c>
      <c r="R186">
        <f t="shared" si="4"/>
        <v>3.9454710818612251E-3</v>
      </c>
      <c r="S186">
        <f t="shared" si="5"/>
        <v>48004</v>
      </c>
    </row>
    <row r="187" spans="1:19" x14ac:dyDescent="0.3">
      <c r="A187" s="4" t="s">
        <v>390</v>
      </c>
      <c r="B187" s="4" t="s">
        <v>43</v>
      </c>
      <c r="C187" s="5">
        <v>45528</v>
      </c>
      <c r="D187" s="4" t="s">
        <v>45</v>
      </c>
      <c r="E187" s="4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s="4" t="s">
        <v>37</v>
      </c>
      <c r="M187" s="4" t="s">
        <v>31</v>
      </c>
      <c r="N187">
        <v>50862</v>
      </c>
      <c r="O187">
        <v>15305</v>
      </c>
      <c r="P187">
        <v>5.6486000000000001</v>
      </c>
      <c r="Q187">
        <v>1379539</v>
      </c>
      <c r="R187">
        <f t="shared" si="4"/>
        <v>3.3025525193561035E-3</v>
      </c>
      <c r="S187">
        <f t="shared" si="5"/>
        <v>35557</v>
      </c>
    </row>
    <row r="188" spans="1:19" x14ac:dyDescent="0.3">
      <c r="A188" s="4" t="s">
        <v>391</v>
      </c>
      <c r="B188" s="4" t="s">
        <v>14</v>
      </c>
      <c r="C188" s="5">
        <v>45648</v>
      </c>
      <c r="D188" s="4" t="s">
        <v>16</v>
      </c>
      <c r="E188" s="4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s="4" t="s">
        <v>37</v>
      </c>
      <c r="M188" s="4" t="s">
        <v>31</v>
      </c>
      <c r="N188">
        <v>53484</v>
      </c>
      <c r="O188">
        <v>12307</v>
      </c>
      <c r="P188">
        <v>5.6557999999999993</v>
      </c>
      <c r="Q188">
        <v>1060357</v>
      </c>
      <c r="R188">
        <f t="shared" si="4"/>
        <v>1.8333448074563568E-3</v>
      </c>
      <c r="S188">
        <f t="shared" si="5"/>
        <v>41177</v>
      </c>
    </row>
    <row r="189" spans="1:19" x14ac:dyDescent="0.3">
      <c r="A189" s="4" t="s">
        <v>393</v>
      </c>
      <c r="B189" s="4" t="s">
        <v>27</v>
      </c>
      <c r="C189" s="5">
        <v>45449</v>
      </c>
      <c r="D189" s="4" t="s">
        <v>16</v>
      </c>
      <c r="E189" s="4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s="4" t="s">
        <v>62</v>
      </c>
      <c r="M189" s="4" t="s">
        <v>25</v>
      </c>
      <c r="N189">
        <v>47471</v>
      </c>
      <c r="O189">
        <v>12104</v>
      </c>
      <c r="P189">
        <v>5.5587999999999997</v>
      </c>
      <c r="Q189">
        <v>1228647</v>
      </c>
      <c r="R189">
        <f t="shared" si="4"/>
        <v>2.3318333093231823E-3</v>
      </c>
      <c r="S189">
        <f t="shared" si="5"/>
        <v>35367</v>
      </c>
    </row>
    <row r="190" spans="1:19" x14ac:dyDescent="0.3">
      <c r="A190" s="4" t="s">
        <v>394</v>
      </c>
      <c r="B190" s="4" t="s">
        <v>43</v>
      </c>
      <c r="C190" s="5">
        <v>45740</v>
      </c>
      <c r="D190" s="4" t="s">
        <v>16</v>
      </c>
      <c r="E190" s="4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s="4" t="s">
        <v>30</v>
      </c>
      <c r="M190" s="4" t="s">
        <v>19</v>
      </c>
      <c r="N190">
        <v>50862</v>
      </c>
      <c r="O190">
        <v>15305</v>
      </c>
      <c r="P190">
        <v>5.6486000000000001</v>
      </c>
      <c r="Q190">
        <v>1379539</v>
      </c>
      <c r="R190">
        <f t="shared" si="4"/>
        <v>2.574773166978244E-3</v>
      </c>
      <c r="S190">
        <f t="shared" si="5"/>
        <v>35557</v>
      </c>
    </row>
    <row r="191" spans="1:19" x14ac:dyDescent="0.3">
      <c r="A191" s="4" t="s">
        <v>395</v>
      </c>
      <c r="B191" s="4" t="s">
        <v>27</v>
      </c>
      <c r="C191" s="5">
        <v>45569</v>
      </c>
      <c r="D191" s="4" t="s">
        <v>22</v>
      </c>
      <c r="E191" s="4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s="4" t="s">
        <v>62</v>
      </c>
      <c r="M191" s="4"/>
      <c r="N191">
        <v>47471</v>
      </c>
      <c r="O191">
        <v>12104</v>
      </c>
      <c r="P191">
        <v>5.5587999999999997</v>
      </c>
      <c r="Q191">
        <v>1228647</v>
      </c>
      <c r="R191">
        <f t="shared" si="4"/>
        <v>1.7157084174705998E-3</v>
      </c>
      <c r="S191">
        <f t="shared" si="5"/>
        <v>35367</v>
      </c>
    </row>
    <row r="192" spans="1:19" x14ac:dyDescent="0.3">
      <c r="A192" s="4" t="s">
        <v>397</v>
      </c>
      <c r="B192" s="4" t="s">
        <v>27</v>
      </c>
      <c r="C192" s="5">
        <v>45629</v>
      </c>
      <c r="D192" s="4" t="s">
        <v>35</v>
      </c>
      <c r="E192" s="4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s="4" t="s">
        <v>62</v>
      </c>
      <c r="M192" s="4" t="s">
        <v>31</v>
      </c>
      <c r="N192">
        <v>47471</v>
      </c>
      <c r="O192">
        <v>12104</v>
      </c>
      <c r="P192">
        <v>5.5587999999999997</v>
      </c>
      <c r="Q192">
        <v>1228647</v>
      </c>
      <c r="R192">
        <f t="shared" si="4"/>
        <v>3.5290852458029036E-3</v>
      </c>
      <c r="S192">
        <f t="shared" si="5"/>
        <v>35367</v>
      </c>
    </row>
    <row r="193" spans="1:19" x14ac:dyDescent="0.3">
      <c r="A193" s="4" t="s">
        <v>398</v>
      </c>
      <c r="B193" s="4" t="s">
        <v>33</v>
      </c>
      <c r="C193" s="5">
        <v>45625</v>
      </c>
      <c r="D193" s="4" t="s">
        <v>74</v>
      </c>
      <c r="E193" s="4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s="4" t="s">
        <v>37</v>
      </c>
      <c r="M193" s="4"/>
      <c r="N193">
        <v>58311</v>
      </c>
      <c r="O193">
        <v>10307</v>
      </c>
      <c r="P193">
        <v>5.7155999999999993</v>
      </c>
      <c r="Q193">
        <v>1164373</v>
      </c>
      <c r="R193">
        <f t="shared" si="4"/>
        <v>1.243587750660656E-3</v>
      </c>
      <c r="S193">
        <f t="shared" si="5"/>
        <v>48004</v>
      </c>
    </row>
    <row r="194" spans="1:19" x14ac:dyDescent="0.3">
      <c r="A194" s="4" t="s">
        <v>400</v>
      </c>
      <c r="B194" s="4" t="s">
        <v>14</v>
      </c>
      <c r="C194" s="5">
        <v>45546</v>
      </c>
      <c r="D194" s="4" t="s">
        <v>52</v>
      </c>
      <c r="E194" s="4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s="4" t="s">
        <v>37</v>
      </c>
      <c r="M194" s="4" t="s">
        <v>31</v>
      </c>
      <c r="N194">
        <v>53484</v>
      </c>
      <c r="O194">
        <v>12307</v>
      </c>
      <c r="P194">
        <v>5.6557999999999993</v>
      </c>
      <c r="Q194">
        <v>1060357</v>
      </c>
      <c r="R194">
        <f t="shared" si="4"/>
        <v>4.7917823902704467E-3</v>
      </c>
      <c r="S194">
        <f t="shared" si="5"/>
        <v>41177</v>
      </c>
    </row>
    <row r="195" spans="1:19" x14ac:dyDescent="0.3">
      <c r="A195" s="4" t="s">
        <v>402</v>
      </c>
      <c r="B195" s="4" t="s">
        <v>27</v>
      </c>
      <c r="C195" s="5">
        <v>45567</v>
      </c>
      <c r="D195" s="4" t="s">
        <v>35</v>
      </c>
      <c r="E195" s="4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s="4" t="s">
        <v>37</v>
      </c>
      <c r="M195" s="4" t="s">
        <v>19</v>
      </c>
      <c r="N195">
        <v>47471</v>
      </c>
      <c r="O195">
        <v>12104</v>
      </c>
      <c r="P195">
        <v>5.5587999999999997</v>
      </c>
      <c r="Q195">
        <v>1228647</v>
      </c>
      <c r="R195">
        <f t="shared" ref="R195:R258" si="6">(F195+K195)/Q195</f>
        <v>3.6991910613870379E-3</v>
      </c>
      <c r="S195">
        <f t="shared" ref="S195:S258" si="7">N195-O195</f>
        <v>35367</v>
      </c>
    </row>
    <row r="196" spans="1:19" x14ac:dyDescent="0.3">
      <c r="A196" s="4" t="s">
        <v>403</v>
      </c>
      <c r="B196" s="4" t="s">
        <v>33</v>
      </c>
      <c r="C196" s="5">
        <v>45519</v>
      </c>
      <c r="D196" s="4" t="s">
        <v>45</v>
      </c>
      <c r="E196" s="4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s="4" t="s">
        <v>62</v>
      </c>
      <c r="M196" s="4" t="s">
        <v>38</v>
      </c>
      <c r="N196">
        <v>58311</v>
      </c>
      <c r="O196">
        <v>10307</v>
      </c>
      <c r="P196">
        <v>5.7155999999999993</v>
      </c>
      <c r="Q196">
        <v>1164373</v>
      </c>
      <c r="R196">
        <f t="shared" si="6"/>
        <v>1.027162258142365E-3</v>
      </c>
      <c r="S196">
        <f t="shared" si="7"/>
        <v>48004</v>
      </c>
    </row>
    <row r="197" spans="1:19" x14ac:dyDescent="0.3">
      <c r="A197" s="4" t="s">
        <v>405</v>
      </c>
      <c r="B197" s="4" t="s">
        <v>33</v>
      </c>
      <c r="C197" s="5">
        <v>45645</v>
      </c>
      <c r="D197" s="4" t="s">
        <v>22</v>
      </c>
      <c r="E197" s="4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s="4" t="s">
        <v>37</v>
      </c>
      <c r="M197" s="4" t="s">
        <v>31</v>
      </c>
      <c r="N197">
        <v>58311</v>
      </c>
      <c r="O197">
        <v>10307</v>
      </c>
      <c r="P197">
        <v>5.7155999999999993</v>
      </c>
      <c r="Q197">
        <v>1164373</v>
      </c>
      <c r="R197">
        <f t="shared" si="6"/>
        <v>1.6300618444433184E-3</v>
      </c>
      <c r="S197">
        <f t="shared" si="7"/>
        <v>48004</v>
      </c>
    </row>
    <row r="198" spans="1:19" x14ac:dyDescent="0.3">
      <c r="A198" s="4" t="s">
        <v>407</v>
      </c>
      <c r="B198" s="4" t="s">
        <v>14</v>
      </c>
      <c r="C198" s="5">
        <v>45587</v>
      </c>
      <c r="D198" s="4" t="s">
        <v>16</v>
      </c>
      <c r="E198" s="4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s="4" t="s">
        <v>37</v>
      </c>
      <c r="M198" s="4" t="s">
        <v>19</v>
      </c>
      <c r="N198">
        <v>53484</v>
      </c>
      <c r="O198">
        <v>12307</v>
      </c>
      <c r="P198">
        <v>5.6557999999999993</v>
      </c>
      <c r="Q198">
        <v>1060357</v>
      </c>
      <c r="R198">
        <f t="shared" si="6"/>
        <v>4.5277203809660329E-3</v>
      </c>
      <c r="S198">
        <f t="shared" si="7"/>
        <v>41177</v>
      </c>
    </row>
    <row r="199" spans="1:19" x14ac:dyDescent="0.3">
      <c r="A199" s="4" t="s">
        <v>408</v>
      </c>
      <c r="B199" s="4" t="s">
        <v>14</v>
      </c>
      <c r="C199" s="5">
        <v>45549</v>
      </c>
      <c r="D199" s="4" t="s">
        <v>52</v>
      </c>
      <c r="E199" s="4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s="4" t="s">
        <v>30</v>
      </c>
      <c r="M199" s="4" t="s">
        <v>31</v>
      </c>
      <c r="N199">
        <v>53484</v>
      </c>
      <c r="O199">
        <v>12307</v>
      </c>
      <c r="P199">
        <v>5.6557999999999993</v>
      </c>
      <c r="Q199">
        <v>1060357</v>
      </c>
      <c r="R199">
        <f t="shared" si="6"/>
        <v>1.1373527972182954E-3</v>
      </c>
      <c r="S199">
        <f t="shared" si="7"/>
        <v>41177</v>
      </c>
    </row>
    <row r="200" spans="1:19" x14ac:dyDescent="0.3">
      <c r="A200" s="4" t="s">
        <v>410</v>
      </c>
      <c r="B200" s="4" t="s">
        <v>27</v>
      </c>
      <c r="C200" s="5">
        <v>45626</v>
      </c>
      <c r="D200" s="4" t="s">
        <v>45</v>
      </c>
      <c r="E200" s="4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s="4" t="s">
        <v>30</v>
      </c>
      <c r="M200" s="4" t="s">
        <v>25</v>
      </c>
      <c r="N200">
        <v>47471</v>
      </c>
      <c r="O200">
        <v>12104</v>
      </c>
      <c r="P200">
        <v>5.5587999999999997</v>
      </c>
      <c r="Q200">
        <v>1228647</v>
      </c>
      <c r="R200">
        <f t="shared" si="6"/>
        <v>2.2675349388392271E-3</v>
      </c>
      <c r="S200">
        <f t="shared" si="7"/>
        <v>35367</v>
      </c>
    </row>
    <row r="201" spans="1:19" x14ac:dyDescent="0.3">
      <c r="A201" s="4" t="s">
        <v>411</v>
      </c>
      <c r="B201" s="4" t="s">
        <v>43</v>
      </c>
      <c r="C201" s="5">
        <v>45754</v>
      </c>
      <c r="D201" s="4" t="s">
        <v>16</v>
      </c>
      <c r="E201" s="4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s="4" t="s">
        <v>30</v>
      </c>
      <c r="M201" s="4" t="s">
        <v>25</v>
      </c>
      <c r="N201">
        <v>50862</v>
      </c>
      <c r="O201">
        <v>15305</v>
      </c>
      <c r="P201">
        <v>5.6486000000000001</v>
      </c>
      <c r="Q201">
        <v>1379539</v>
      </c>
      <c r="R201">
        <f t="shared" si="6"/>
        <v>2.8640002203634695E-3</v>
      </c>
      <c r="S201">
        <f t="shared" si="7"/>
        <v>35557</v>
      </c>
    </row>
    <row r="202" spans="1:19" x14ac:dyDescent="0.3">
      <c r="A202" s="4" t="s">
        <v>413</v>
      </c>
      <c r="B202" s="4" t="s">
        <v>14</v>
      </c>
      <c r="C202" s="5">
        <v>45672</v>
      </c>
      <c r="D202" s="4" t="s">
        <v>16</v>
      </c>
      <c r="E202" s="4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s="4" t="s">
        <v>37</v>
      </c>
      <c r="M202" s="4" t="s">
        <v>19</v>
      </c>
      <c r="N202">
        <v>53484</v>
      </c>
      <c r="O202">
        <v>12307</v>
      </c>
      <c r="P202">
        <v>5.6557999999999993</v>
      </c>
      <c r="Q202">
        <v>1060357</v>
      </c>
      <c r="R202">
        <f t="shared" si="6"/>
        <v>8.0255989256448532E-4</v>
      </c>
      <c r="S202">
        <f t="shared" si="7"/>
        <v>41177</v>
      </c>
    </row>
    <row r="203" spans="1:19" x14ac:dyDescent="0.3">
      <c r="A203" s="4" t="s">
        <v>415</v>
      </c>
      <c r="B203" s="4" t="s">
        <v>43</v>
      </c>
      <c r="C203" s="5">
        <v>45445</v>
      </c>
      <c r="D203" s="4" t="s">
        <v>52</v>
      </c>
      <c r="E203" s="4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s="4" t="s">
        <v>37</v>
      </c>
      <c r="M203" s="4" t="s">
        <v>31</v>
      </c>
      <c r="N203">
        <v>50862</v>
      </c>
      <c r="O203">
        <v>15305</v>
      </c>
      <c r="P203">
        <v>5.6486000000000001</v>
      </c>
      <c r="Q203">
        <v>1379539</v>
      </c>
      <c r="R203">
        <f t="shared" si="6"/>
        <v>1.5650155595456163E-3</v>
      </c>
      <c r="S203">
        <f t="shared" si="7"/>
        <v>35557</v>
      </c>
    </row>
    <row r="204" spans="1:19" x14ac:dyDescent="0.3">
      <c r="A204" s="4" t="s">
        <v>417</v>
      </c>
      <c r="B204" s="4" t="s">
        <v>33</v>
      </c>
      <c r="C204" s="5">
        <v>45617</v>
      </c>
      <c r="D204" s="4" t="s">
        <v>45</v>
      </c>
      <c r="E204" s="4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s="4" t="s">
        <v>62</v>
      </c>
      <c r="M204" s="4" t="s">
        <v>19</v>
      </c>
      <c r="N204">
        <v>58311</v>
      </c>
      <c r="O204">
        <v>10307</v>
      </c>
      <c r="P204">
        <v>5.7155999999999993</v>
      </c>
      <c r="Q204">
        <v>1164373</v>
      </c>
      <c r="R204">
        <f t="shared" si="6"/>
        <v>3.485996325919615E-3</v>
      </c>
      <c r="S204">
        <f t="shared" si="7"/>
        <v>48004</v>
      </c>
    </row>
    <row r="205" spans="1:19" x14ac:dyDescent="0.3">
      <c r="A205" s="4" t="s">
        <v>419</v>
      </c>
      <c r="B205" s="4" t="s">
        <v>33</v>
      </c>
      <c r="C205" s="5">
        <v>45658</v>
      </c>
      <c r="D205" s="4" t="s">
        <v>45</v>
      </c>
      <c r="E205" s="4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s="4" t="s">
        <v>62</v>
      </c>
      <c r="M205" s="4" t="s">
        <v>31</v>
      </c>
      <c r="N205">
        <v>58311</v>
      </c>
      <c r="O205">
        <v>10307</v>
      </c>
      <c r="P205">
        <v>5.7155999999999993</v>
      </c>
      <c r="Q205">
        <v>1164373</v>
      </c>
      <c r="R205">
        <f t="shared" si="6"/>
        <v>2.0886777690654113E-3</v>
      </c>
      <c r="S205">
        <f t="shared" si="7"/>
        <v>48004</v>
      </c>
    </row>
    <row r="206" spans="1:19" x14ac:dyDescent="0.3">
      <c r="A206" s="4" t="s">
        <v>420</v>
      </c>
      <c r="B206" s="4" t="s">
        <v>14</v>
      </c>
      <c r="C206" s="5">
        <v>45771</v>
      </c>
      <c r="D206" s="4" t="s">
        <v>74</v>
      </c>
      <c r="E206" s="4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s="4" t="s">
        <v>30</v>
      </c>
      <c r="M206" s="4" t="s">
        <v>38</v>
      </c>
      <c r="N206">
        <v>53484</v>
      </c>
      <c r="O206">
        <v>12307</v>
      </c>
      <c r="P206">
        <v>5.6557999999999993</v>
      </c>
      <c r="Q206">
        <v>1060357</v>
      </c>
      <c r="R206">
        <f t="shared" si="6"/>
        <v>3.7638267111925511E-3</v>
      </c>
      <c r="S206">
        <f t="shared" si="7"/>
        <v>41177</v>
      </c>
    </row>
    <row r="207" spans="1:19" x14ac:dyDescent="0.3">
      <c r="A207" s="4" t="s">
        <v>422</v>
      </c>
      <c r="B207" s="4" t="s">
        <v>14</v>
      </c>
      <c r="C207" s="5">
        <v>45467</v>
      </c>
      <c r="D207" s="4" t="s">
        <v>22</v>
      </c>
      <c r="E207" s="4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s="4" t="s">
        <v>37</v>
      </c>
      <c r="M207" s="4" t="s">
        <v>19</v>
      </c>
      <c r="N207">
        <v>53484</v>
      </c>
      <c r="O207">
        <v>12307</v>
      </c>
      <c r="P207">
        <v>5.6557999999999993</v>
      </c>
      <c r="Q207">
        <v>1060357</v>
      </c>
      <c r="R207">
        <f t="shared" si="6"/>
        <v>9.6948480558906101E-4</v>
      </c>
      <c r="S207">
        <f t="shared" si="7"/>
        <v>41177</v>
      </c>
    </row>
    <row r="208" spans="1:19" x14ac:dyDescent="0.3">
      <c r="A208" s="4" t="s">
        <v>423</v>
      </c>
      <c r="B208" s="4" t="s">
        <v>14</v>
      </c>
      <c r="C208" s="5">
        <v>45655</v>
      </c>
      <c r="D208" s="4" t="s">
        <v>45</v>
      </c>
      <c r="E208" s="4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s="4" t="s">
        <v>30</v>
      </c>
      <c r="M208" s="4" t="s">
        <v>31</v>
      </c>
      <c r="N208">
        <v>53484</v>
      </c>
      <c r="O208">
        <v>12307</v>
      </c>
      <c r="P208">
        <v>5.6557999999999993</v>
      </c>
      <c r="Q208">
        <v>1060357</v>
      </c>
      <c r="R208">
        <f t="shared" si="6"/>
        <v>4.1523750963119027E-3</v>
      </c>
      <c r="S208">
        <f t="shared" si="7"/>
        <v>41177</v>
      </c>
    </row>
    <row r="209" spans="1:19" x14ac:dyDescent="0.3">
      <c r="A209" s="4" t="s">
        <v>425</v>
      </c>
      <c r="B209" s="4" t="s">
        <v>27</v>
      </c>
      <c r="C209" s="5">
        <v>45467</v>
      </c>
      <c r="D209" s="4" t="s">
        <v>74</v>
      </c>
      <c r="E209" s="4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s="4" t="s">
        <v>30</v>
      </c>
      <c r="M209" s="4" t="s">
        <v>25</v>
      </c>
      <c r="N209">
        <v>47471</v>
      </c>
      <c r="O209">
        <v>12104</v>
      </c>
      <c r="P209">
        <v>5.5587999999999997</v>
      </c>
      <c r="Q209">
        <v>1228647</v>
      </c>
      <c r="R209">
        <f t="shared" si="6"/>
        <v>2.5100781591457923E-3</v>
      </c>
      <c r="S209">
        <f t="shared" si="7"/>
        <v>35367</v>
      </c>
    </row>
    <row r="210" spans="1:19" x14ac:dyDescent="0.3">
      <c r="A210" s="4" t="s">
        <v>426</v>
      </c>
      <c r="B210" s="4" t="s">
        <v>14</v>
      </c>
      <c r="C210" s="5">
        <v>45735</v>
      </c>
      <c r="D210" s="4" t="s">
        <v>74</v>
      </c>
      <c r="E210" s="4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s="4" t="s">
        <v>62</v>
      </c>
      <c r="M210" s="4" t="s">
        <v>38</v>
      </c>
      <c r="N210">
        <v>53484</v>
      </c>
      <c r="O210">
        <v>12307</v>
      </c>
      <c r="P210">
        <v>5.6557999999999993</v>
      </c>
      <c r="Q210">
        <v>1060357</v>
      </c>
      <c r="R210">
        <f t="shared" si="6"/>
        <v>3.0263392423495105E-3</v>
      </c>
      <c r="S210">
        <f t="shared" si="7"/>
        <v>41177</v>
      </c>
    </row>
    <row r="211" spans="1:19" x14ac:dyDescent="0.3">
      <c r="A211" s="4" t="s">
        <v>428</v>
      </c>
      <c r="B211" s="4" t="s">
        <v>27</v>
      </c>
      <c r="C211" s="5">
        <v>45707</v>
      </c>
      <c r="D211" s="4" t="s">
        <v>52</v>
      </c>
      <c r="E211" s="4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s="4" t="s">
        <v>62</v>
      </c>
      <c r="M211" s="4" t="s">
        <v>19</v>
      </c>
      <c r="N211">
        <v>47471</v>
      </c>
      <c r="O211">
        <v>12104</v>
      </c>
      <c r="P211">
        <v>5.5587999999999997</v>
      </c>
      <c r="Q211">
        <v>1228647</v>
      </c>
      <c r="R211">
        <f t="shared" si="6"/>
        <v>4.4276346257305803E-4</v>
      </c>
      <c r="S211">
        <f t="shared" si="7"/>
        <v>35367</v>
      </c>
    </row>
    <row r="212" spans="1:19" x14ac:dyDescent="0.3">
      <c r="A212" s="4" t="s">
        <v>429</v>
      </c>
      <c r="B212" s="4" t="s">
        <v>14</v>
      </c>
      <c r="C212" s="5">
        <v>45491</v>
      </c>
      <c r="D212" s="4" t="s">
        <v>45</v>
      </c>
      <c r="E212" s="4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s="4" t="s">
        <v>62</v>
      </c>
      <c r="M212" s="4" t="s">
        <v>38</v>
      </c>
      <c r="N212">
        <v>53484</v>
      </c>
      <c r="O212">
        <v>12307</v>
      </c>
      <c r="P212">
        <v>5.6557999999999993</v>
      </c>
      <c r="Q212">
        <v>1060357</v>
      </c>
      <c r="R212">
        <f t="shared" si="6"/>
        <v>2.0191312925741047E-3</v>
      </c>
      <c r="S212">
        <f t="shared" si="7"/>
        <v>41177</v>
      </c>
    </row>
    <row r="213" spans="1:19" x14ac:dyDescent="0.3">
      <c r="A213" s="4" t="s">
        <v>431</v>
      </c>
      <c r="B213" s="4" t="s">
        <v>27</v>
      </c>
      <c r="C213" s="5">
        <v>45719</v>
      </c>
      <c r="D213" s="4" t="s">
        <v>74</v>
      </c>
      <c r="E213" s="4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s="4" t="s">
        <v>30</v>
      </c>
      <c r="M213" s="4" t="s">
        <v>25</v>
      </c>
      <c r="N213">
        <v>47471</v>
      </c>
      <c r="O213">
        <v>12104</v>
      </c>
      <c r="P213">
        <v>5.5587999999999997</v>
      </c>
      <c r="Q213">
        <v>1228647</v>
      </c>
      <c r="R213">
        <f t="shared" si="6"/>
        <v>3.3313067138079529E-3</v>
      </c>
      <c r="S213">
        <f t="shared" si="7"/>
        <v>35367</v>
      </c>
    </row>
    <row r="214" spans="1:19" x14ac:dyDescent="0.3">
      <c r="A214" s="4" t="s">
        <v>432</v>
      </c>
      <c r="B214" s="4" t="s">
        <v>43</v>
      </c>
      <c r="C214" s="5">
        <v>45778</v>
      </c>
      <c r="D214" s="4" t="s">
        <v>45</v>
      </c>
      <c r="E214" s="4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s="4" t="s">
        <v>37</v>
      </c>
      <c r="M214" s="4" t="s">
        <v>38</v>
      </c>
      <c r="N214">
        <v>50862</v>
      </c>
      <c r="O214">
        <v>15305</v>
      </c>
      <c r="P214">
        <v>5.6486000000000001</v>
      </c>
      <c r="Q214">
        <v>1379539</v>
      </c>
      <c r="R214">
        <f t="shared" si="6"/>
        <v>2.1340462284864725E-3</v>
      </c>
      <c r="S214">
        <f t="shared" si="7"/>
        <v>35557</v>
      </c>
    </row>
    <row r="215" spans="1:19" x14ac:dyDescent="0.3">
      <c r="A215" s="4" t="s">
        <v>434</v>
      </c>
      <c r="B215" s="4" t="s">
        <v>33</v>
      </c>
      <c r="C215" s="5">
        <v>45649</v>
      </c>
      <c r="D215" s="4" t="s">
        <v>52</v>
      </c>
      <c r="E215" s="4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s="4" t="s">
        <v>62</v>
      </c>
      <c r="M215" s="4" t="s">
        <v>25</v>
      </c>
      <c r="N215">
        <v>58311</v>
      </c>
      <c r="O215">
        <v>10307</v>
      </c>
      <c r="P215">
        <v>5.7155999999999993</v>
      </c>
      <c r="Q215">
        <v>1164373</v>
      </c>
      <c r="R215">
        <f t="shared" si="6"/>
        <v>6.896415495721732E-4</v>
      </c>
      <c r="S215">
        <f t="shared" si="7"/>
        <v>48004</v>
      </c>
    </row>
    <row r="216" spans="1:19" x14ac:dyDescent="0.3">
      <c r="A216" s="4" t="s">
        <v>435</v>
      </c>
      <c r="B216" s="4" t="s">
        <v>43</v>
      </c>
      <c r="C216" s="5">
        <v>45783</v>
      </c>
      <c r="D216" s="4" t="s">
        <v>52</v>
      </c>
      <c r="E216" s="4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s="4" t="s">
        <v>37</v>
      </c>
      <c r="M216" s="4" t="s">
        <v>25</v>
      </c>
      <c r="N216">
        <v>50862</v>
      </c>
      <c r="O216">
        <v>15305</v>
      </c>
      <c r="P216">
        <v>5.6486000000000001</v>
      </c>
      <c r="Q216">
        <v>1379539</v>
      </c>
      <c r="R216">
        <f t="shared" si="6"/>
        <v>3.596128851739603E-3</v>
      </c>
      <c r="S216">
        <f t="shared" si="7"/>
        <v>35557</v>
      </c>
    </row>
    <row r="217" spans="1:19" x14ac:dyDescent="0.3">
      <c r="A217" s="4" t="s">
        <v>437</v>
      </c>
      <c r="B217" s="4" t="s">
        <v>27</v>
      </c>
      <c r="C217" s="5">
        <v>45502</v>
      </c>
      <c r="D217" s="4" t="s">
        <v>35</v>
      </c>
      <c r="E217" s="4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s="4" t="s">
        <v>37</v>
      </c>
      <c r="M217" s="4" t="s">
        <v>25</v>
      </c>
      <c r="N217">
        <v>47471</v>
      </c>
      <c r="O217">
        <v>12104</v>
      </c>
      <c r="P217">
        <v>5.5587999999999997</v>
      </c>
      <c r="Q217">
        <v>1228647</v>
      </c>
      <c r="R217">
        <f t="shared" si="6"/>
        <v>1.325034774023784E-3</v>
      </c>
      <c r="S217">
        <f t="shared" si="7"/>
        <v>35367</v>
      </c>
    </row>
    <row r="218" spans="1:19" x14ac:dyDescent="0.3">
      <c r="A218" s="4" t="s">
        <v>438</v>
      </c>
      <c r="B218" s="4" t="s">
        <v>43</v>
      </c>
      <c r="C218" s="5">
        <v>45629</v>
      </c>
      <c r="D218" s="4" t="s">
        <v>52</v>
      </c>
      <c r="E218" s="4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s="4" t="s">
        <v>30</v>
      </c>
      <c r="M218" s="4"/>
      <c r="N218">
        <v>50862</v>
      </c>
      <c r="O218">
        <v>15305</v>
      </c>
      <c r="P218">
        <v>5.6486000000000001</v>
      </c>
      <c r="Q218">
        <v>1379539</v>
      </c>
      <c r="R218">
        <f t="shared" si="6"/>
        <v>3.3793897816589455E-3</v>
      </c>
      <c r="S218">
        <f t="shared" si="7"/>
        <v>35557</v>
      </c>
    </row>
    <row r="219" spans="1:19" x14ac:dyDescent="0.3">
      <c r="A219" s="4" t="s">
        <v>439</v>
      </c>
      <c r="B219" s="4" t="s">
        <v>43</v>
      </c>
      <c r="C219" s="5">
        <v>45454</v>
      </c>
      <c r="D219" s="4" t="s">
        <v>45</v>
      </c>
      <c r="E219" s="4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s="4" t="s">
        <v>30</v>
      </c>
      <c r="M219" s="4" t="s">
        <v>38</v>
      </c>
      <c r="N219">
        <v>50862</v>
      </c>
      <c r="O219">
        <v>15305</v>
      </c>
      <c r="P219">
        <v>5.6486000000000001</v>
      </c>
      <c r="Q219">
        <v>1379539</v>
      </c>
      <c r="R219">
        <f t="shared" si="6"/>
        <v>1.5541423620499312E-3</v>
      </c>
      <c r="S219">
        <f t="shared" si="7"/>
        <v>35557</v>
      </c>
    </row>
    <row r="220" spans="1:19" x14ac:dyDescent="0.3">
      <c r="A220" s="4" t="s">
        <v>440</v>
      </c>
      <c r="B220" s="4" t="s">
        <v>14</v>
      </c>
      <c r="C220" s="5">
        <v>45685</v>
      </c>
      <c r="D220" s="4" t="s">
        <v>16</v>
      </c>
      <c r="E220" s="4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s="4" t="s">
        <v>30</v>
      </c>
      <c r="M220" s="4" t="s">
        <v>38</v>
      </c>
      <c r="N220">
        <v>53484</v>
      </c>
      <c r="O220">
        <v>12307</v>
      </c>
      <c r="P220">
        <v>5.6557999999999993</v>
      </c>
      <c r="Q220">
        <v>1060357</v>
      </c>
      <c r="R220">
        <f t="shared" si="6"/>
        <v>1.3750086055922676E-3</v>
      </c>
      <c r="S220">
        <f t="shared" si="7"/>
        <v>41177</v>
      </c>
    </row>
    <row r="221" spans="1:19" x14ac:dyDescent="0.3">
      <c r="A221" s="4" t="s">
        <v>441</v>
      </c>
      <c r="B221" s="4" t="s">
        <v>33</v>
      </c>
      <c r="C221" s="5">
        <v>45445</v>
      </c>
      <c r="D221" s="4" t="s">
        <v>35</v>
      </c>
      <c r="E221" s="4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s="4" t="s">
        <v>37</v>
      </c>
      <c r="M221" s="4"/>
      <c r="N221">
        <v>58311</v>
      </c>
      <c r="O221">
        <v>10307</v>
      </c>
      <c r="P221">
        <v>5.7155999999999993</v>
      </c>
      <c r="Q221">
        <v>1164373</v>
      </c>
      <c r="R221">
        <f t="shared" si="6"/>
        <v>8.2447806673634647E-5</v>
      </c>
      <c r="S221">
        <f t="shared" si="7"/>
        <v>48004</v>
      </c>
    </row>
    <row r="222" spans="1:19" x14ac:dyDescent="0.3">
      <c r="A222" s="4" t="s">
        <v>442</v>
      </c>
      <c r="B222" s="4" t="s">
        <v>43</v>
      </c>
      <c r="C222" s="5">
        <v>45739</v>
      </c>
      <c r="D222" s="4" t="s">
        <v>74</v>
      </c>
      <c r="E222" s="4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s="4" t="s">
        <v>30</v>
      </c>
      <c r="M222" s="4"/>
      <c r="N222">
        <v>50862</v>
      </c>
      <c r="O222">
        <v>15305</v>
      </c>
      <c r="P222">
        <v>5.6486000000000001</v>
      </c>
      <c r="Q222">
        <v>1379539</v>
      </c>
      <c r="R222">
        <f t="shared" si="6"/>
        <v>3.2445621327124494E-3</v>
      </c>
      <c r="S222">
        <f t="shared" si="7"/>
        <v>35557</v>
      </c>
    </row>
    <row r="223" spans="1:19" x14ac:dyDescent="0.3">
      <c r="A223" s="4" t="s">
        <v>443</v>
      </c>
      <c r="B223" s="4" t="s">
        <v>43</v>
      </c>
      <c r="C223" s="5">
        <v>45573</v>
      </c>
      <c r="D223" s="4" t="s">
        <v>16</v>
      </c>
      <c r="E223" s="4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s="4" t="s">
        <v>62</v>
      </c>
      <c r="M223" s="4" t="s">
        <v>19</v>
      </c>
      <c r="N223">
        <v>50862</v>
      </c>
      <c r="O223">
        <v>15305</v>
      </c>
      <c r="P223">
        <v>5.6486000000000001</v>
      </c>
      <c r="Q223">
        <v>1379539</v>
      </c>
      <c r="R223">
        <f t="shared" si="6"/>
        <v>1.3432023306336391E-3</v>
      </c>
      <c r="S223">
        <f t="shared" si="7"/>
        <v>35557</v>
      </c>
    </row>
    <row r="224" spans="1:19" x14ac:dyDescent="0.3">
      <c r="A224" s="4" t="s">
        <v>446</v>
      </c>
      <c r="B224" s="4" t="s">
        <v>14</v>
      </c>
      <c r="C224" s="5">
        <v>45608</v>
      </c>
      <c r="D224" s="4" t="s">
        <v>52</v>
      </c>
      <c r="E224" s="4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s="4" t="s">
        <v>30</v>
      </c>
      <c r="M224" s="4"/>
      <c r="N224">
        <v>53484</v>
      </c>
      <c r="O224">
        <v>12307</v>
      </c>
      <c r="P224">
        <v>5.6557999999999993</v>
      </c>
      <c r="Q224">
        <v>1060357</v>
      </c>
      <c r="R224">
        <f t="shared" si="6"/>
        <v>3.3856521907244448E-3</v>
      </c>
      <c r="S224">
        <f t="shared" si="7"/>
        <v>41177</v>
      </c>
    </row>
    <row r="225" spans="1:19" x14ac:dyDescent="0.3">
      <c r="A225" s="4" t="s">
        <v>447</v>
      </c>
      <c r="B225" s="4" t="s">
        <v>43</v>
      </c>
      <c r="C225" s="5">
        <v>45790</v>
      </c>
      <c r="D225" s="4" t="s">
        <v>52</v>
      </c>
      <c r="E225" s="4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s="4" t="s">
        <v>30</v>
      </c>
      <c r="M225" s="4" t="s">
        <v>31</v>
      </c>
      <c r="N225">
        <v>50862</v>
      </c>
      <c r="O225">
        <v>15305</v>
      </c>
      <c r="P225">
        <v>5.6486000000000001</v>
      </c>
      <c r="Q225">
        <v>1379539</v>
      </c>
      <c r="R225">
        <f t="shared" si="6"/>
        <v>5.5525795211298847E-4</v>
      </c>
      <c r="S225">
        <f t="shared" si="7"/>
        <v>35557</v>
      </c>
    </row>
    <row r="226" spans="1:19" x14ac:dyDescent="0.3">
      <c r="A226" s="4" t="s">
        <v>449</v>
      </c>
      <c r="B226" s="4" t="s">
        <v>14</v>
      </c>
      <c r="C226" s="5">
        <v>45463</v>
      </c>
      <c r="D226" s="4" t="s">
        <v>45</v>
      </c>
      <c r="E226" s="4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s="4" t="s">
        <v>37</v>
      </c>
      <c r="M226" s="4"/>
      <c r="N226">
        <v>53484</v>
      </c>
      <c r="O226">
        <v>12307</v>
      </c>
      <c r="P226">
        <v>5.6557999999999993</v>
      </c>
      <c r="Q226">
        <v>1060357</v>
      </c>
      <c r="R226">
        <f t="shared" si="6"/>
        <v>4.517346516314788E-3</v>
      </c>
      <c r="S226">
        <f t="shared" si="7"/>
        <v>41177</v>
      </c>
    </row>
    <row r="227" spans="1:19" x14ac:dyDescent="0.3">
      <c r="A227" s="4" t="s">
        <v>450</v>
      </c>
      <c r="B227" s="4" t="s">
        <v>33</v>
      </c>
      <c r="C227" s="5">
        <v>45511</v>
      </c>
      <c r="D227" s="4" t="s">
        <v>45</v>
      </c>
      <c r="E227" s="4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s="4" t="s">
        <v>30</v>
      </c>
      <c r="M227" s="4"/>
      <c r="N227">
        <v>58311</v>
      </c>
      <c r="O227">
        <v>10307</v>
      </c>
      <c r="P227">
        <v>5.7155999999999993</v>
      </c>
      <c r="Q227">
        <v>1164373</v>
      </c>
      <c r="R227">
        <f t="shared" si="6"/>
        <v>1.5991439169407054E-3</v>
      </c>
      <c r="S227">
        <f t="shared" si="7"/>
        <v>48004</v>
      </c>
    </row>
    <row r="228" spans="1:19" x14ac:dyDescent="0.3">
      <c r="A228" s="4" t="s">
        <v>452</v>
      </c>
      <c r="B228" s="4" t="s">
        <v>33</v>
      </c>
      <c r="C228" s="5">
        <v>45455</v>
      </c>
      <c r="D228" s="4" t="s">
        <v>22</v>
      </c>
      <c r="E228" s="4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s="4" t="s">
        <v>62</v>
      </c>
      <c r="M228" s="4" t="s">
        <v>31</v>
      </c>
      <c r="N228">
        <v>58311</v>
      </c>
      <c r="O228">
        <v>10307</v>
      </c>
      <c r="P228">
        <v>5.7155999999999993</v>
      </c>
      <c r="Q228">
        <v>1164373</v>
      </c>
      <c r="R228">
        <f t="shared" si="6"/>
        <v>3.9763890093638378E-4</v>
      </c>
      <c r="S228">
        <f t="shared" si="7"/>
        <v>48004</v>
      </c>
    </row>
    <row r="229" spans="1:19" x14ac:dyDescent="0.3">
      <c r="A229" s="4" t="s">
        <v>454</v>
      </c>
      <c r="B229" s="4" t="s">
        <v>33</v>
      </c>
      <c r="C229" s="5">
        <v>45474</v>
      </c>
      <c r="D229" s="4" t="s">
        <v>35</v>
      </c>
      <c r="E229" s="4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s="4" t="s">
        <v>37</v>
      </c>
      <c r="M229" s="4" t="s">
        <v>19</v>
      </c>
      <c r="N229">
        <v>58311</v>
      </c>
      <c r="O229">
        <v>10307</v>
      </c>
      <c r="P229">
        <v>5.7155999999999993</v>
      </c>
      <c r="Q229">
        <v>1164373</v>
      </c>
      <c r="R229">
        <f t="shared" si="6"/>
        <v>4.2967330915436889E-3</v>
      </c>
      <c r="S229">
        <f t="shared" si="7"/>
        <v>48004</v>
      </c>
    </row>
    <row r="230" spans="1:19" x14ac:dyDescent="0.3">
      <c r="A230" s="4" t="s">
        <v>456</v>
      </c>
      <c r="B230" s="4" t="s">
        <v>33</v>
      </c>
      <c r="C230" s="5">
        <v>45476</v>
      </c>
      <c r="D230" s="4" t="s">
        <v>45</v>
      </c>
      <c r="E230" s="4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s="4" t="s">
        <v>30</v>
      </c>
      <c r="M230" s="4"/>
      <c r="N230">
        <v>58311</v>
      </c>
      <c r="O230">
        <v>10307</v>
      </c>
      <c r="P230">
        <v>5.7155999999999993</v>
      </c>
      <c r="Q230">
        <v>1164373</v>
      </c>
      <c r="R230">
        <f t="shared" si="6"/>
        <v>4.2228735980652252E-3</v>
      </c>
      <c r="S230">
        <f t="shared" si="7"/>
        <v>48004</v>
      </c>
    </row>
    <row r="231" spans="1:19" x14ac:dyDescent="0.3">
      <c r="A231" s="4" t="s">
        <v>457</v>
      </c>
      <c r="B231" s="4" t="s">
        <v>43</v>
      </c>
      <c r="C231" s="5">
        <v>45488</v>
      </c>
      <c r="D231" s="4" t="s">
        <v>16</v>
      </c>
      <c r="E231" s="4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s="4" t="s">
        <v>37</v>
      </c>
      <c r="M231" s="4" t="s">
        <v>31</v>
      </c>
      <c r="N231">
        <v>50862</v>
      </c>
      <c r="O231">
        <v>15305</v>
      </c>
      <c r="P231">
        <v>5.6486000000000001</v>
      </c>
      <c r="Q231">
        <v>1379539</v>
      </c>
      <c r="R231">
        <f t="shared" si="6"/>
        <v>2.716124734422151E-3</v>
      </c>
      <c r="S231">
        <f t="shared" si="7"/>
        <v>35557</v>
      </c>
    </row>
    <row r="232" spans="1:19" x14ac:dyDescent="0.3">
      <c r="A232" s="4" t="s">
        <v>458</v>
      </c>
      <c r="B232" s="4" t="s">
        <v>33</v>
      </c>
      <c r="C232" s="5">
        <v>45778</v>
      </c>
      <c r="D232" s="4" t="s">
        <v>22</v>
      </c>
      <c r="E232" s="4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s="4" t="s">
        <v>62</v>
      </c>
      <c r="M232" s="4" t="s">
        <v>19</v>
      </c>
      <c r="N232">
        <v>58311</v>
      </c>
      <c r="O232">
        <v>10307</v>
      </c>
      <c r="P232">
        <v>5.7155999999999993</v>
      </c>
      <c r="Q232">
        <v>1164373</v>
      </c>
      <c r="R232">
        <f t="shared" si="6"/>
        <v>1.4436954481081234E-3</v>
      </c>
      <c r="S232">
        <f t="shared" si="7"/>
        <v>48004</v>
      </c>
    </row>
    <row r="233" spans="1:19" x14ac:dyDescent="0.3">
      <c r="A233" s="4" t="s">
        <v>459</v>
      </c>
      <c r="B233" s="4" t="s">
        <v>14</v>
      </c>
      <c r="C233" s="5">
        <v>45776</v>
      </c>
      <c r="D233" s="4" t="s">
        <v>35</v>
      </c>
      <c r="E233" s="4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s="4" t="s">
        <v>37</v>
      </c>
      <c r="M233" s="4" t="s">
        <v>38</v>
      </c>
      <c r="N233">
        <v>53484</v>
      </c>
      <c r="O233">
        <v>12307</v>
      </c>
      <c r="P233">
        <v>5.6557999999999993</v>
      </c>
      <c r="Q233">
        <v>1060357</v>
      </c>
      <c r="R233">
        <f t="shared" si="6"/>
        <v>4.2438537209637888E-4</v>
      </c>
      <c r="S233">
        <f t="shared" si="7"/>
        <v>41177</v>
      </c>
    </row>
    <row r="234" spans="1:19" x14ac:dyDescent="0.3">
      <c r="A234" s="4" t="s">
        <v>461</v>
      </c>
      <c r="B234" s="4" t="s">
        <v>43</v>
      </c>
      <c r="C234" s="5">
        <v>45724</v>
      </c>
      <c r="D234" s="4" t="s">
        <v>52</v>
      </c>
      <c r="E234" s="4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s="4" t="s">
        <v>62</v>
      </c>
      <c r="M234" s="4" t="s">
        <v>38</v>
      </c>
      <c r="N234">
        <v>50862</v>
      </c>
      <c r="O234">
        <v>15305</v>
      </c>
      <c r="P234">
        <v>5.6486000000000001</v>
      </c>
      <c r="Q234">
        <v>1379539</v>
      </c>
      <c r="R234">
        <f t="shared" si="6"/>
        <v>1.9071588407431758E-3</v>
      </c>
      <c r="S234">
        <f t="shared" si="7"/>
        <v>35557</v>
      </c>
    </row>
    <row r="235" spans="1:19" x14ac:dyDescent="0.3">
      <c r="A235" s="4" t="s">
        <v>462</v>
      </c>
      <c r="B235" s="4" t="s">
        <v>43</v>
      </c>
      <c r="C235" s="5">
        <v>45444</v>
      </c>
      <c r="D235" s="4" t="s">
        <v>22</v>
      </c>
      <c r="E235" s="4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s="4" t="s">
        <v>30</v>
      </c>
      <c r="M235" s="4"/>
      <c r="N235">
        <v>50862</v>
      </c>
      <c r="O235">
        <v>15305</v>
      </c>
      <c r="P235">
        <v>5.6486000000000001</v>
      </c>
      <c r="Q235">
        <v>1379539</v>
      </c>
      <c r="R235">
        <f t="shared" si="6"/>
        <v>9.5249210062201938E-4</v>
      </c>
      <c r="S235">
        <f t="shared" si="7"/>
        <v>35557</v>
      </c>
    </row>
    <row r="236" spans="1:19" x14ac:dyDescent="0.3">
      <c r="A236" s="4" t="s">
        <v>464</v>
      </c>
      <c r="B236" s="4" t="s">
        <v>43</v>
      </c>
      <c r="C236" s="5">
        <v>45648</v>
      </c>
      <c r="D236" s="4" t="s">
        <v>52</v>
      </c>
      <c r="E236" s="4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s="4" t="s">
        <v>30</v>
      </c>
      <c r="M236" s="4" t="s">
        <v>31</v>
      </c>
      <c r="N236">
        <v>50862</v>
      </c>
      <c r="O236">
        <v>15305</v>
      </c>
      <c r="P236">
        <v>5.6486000000000001</v>
      </c>
      <c r="Q236">
        <v>1379539</v>
      </c>
      <c r="R236">
        <f t="shared" si="6"/>
        <v>2.4914119861779915E-3</v>
      </c>
      <c r="S236">
        <f t="shared" si="7"/>
        <v>35557</v>
      </c>
    </row>
    <row r="237" spans="1:19" x14ac:dyDescent="0.3">
      <c r="A237" s="4" t="s">
        <v>465</v>
      </c>
      <c r="B237" s="4" t="s">
        <v>43</v>
      </c>
      <c r="C237" s="5">
        <v>45523</v>
      </c>
      <c r="D237" s="4" t="s">
        <v>22</v>
      </c>
      <c r="E237" s="4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s="4" t="s">
        <v>62</v>
      </c>
      <c r="M237" s="4" t="s">
        <v>25</v>
      </c>
      <c r="N237">
        <v>50862</v>
      </c>
      <c r="O237">
        <v>15305</v>
      </c>
      <c r="P237">
        <v>5.6486000000000001</v>
      </c>
      <c r="Q237">
        <v>1379539</v>
      </c>
      <c r="R237">
        <f t="shared" si="6"/>
        <v>1.0518006377492771E-3</v>
      </c>
      <c r="S237">
        <f t="shared" si="7"/>
        <v>35557</v>
      </c>
    </row>
    <row r="238" spans="1:19" x14ac:dyDescent="0.3">
      <c r="A238" s="4" t="s">
        <v>467</v>
      </c>
      <c r="B238" s="4" t="s">
        <v>33</v>
      </c>
      <c r="C238" s="5">
        <v>45587</v>
      </c>
      <c r="D238" s="4" t="s">
        <v>35</v>
      </c>
      <c r="E238" s="4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s="4" t="s">
        <v>62</v>
      </c>
      <c r="M238" s="4" t="s">
        <v>19</v>
      </c>
      <c r="N238">
        <v>58311</v>
      </c>
      <c r="O238">
        <v>10307</v>
      </c>
      <c r="P238">
        <v>5.7155999999999993</v>
      </c>
      <c r="Q238">
        <v>1164373</v>
      </c>
      <c r="R238">
        <f t="shared" si="6"/>
        <v>3.3030652548624883E-3</v>
      </c>
      <c r="S238">
        <f t="shared" si="7"/>
        <v>48004</v>
      </c>
    </row>
    <row r="239" spans="1:19" x14ac:dyDescent="0.3">
      <c r="A239" s="4" t="s">
        <v>468</v>
      </c>
      <c r="B239" s="4" t="s">
        <v>14</v>
      </c>
      <c r="C239" s="5">
        <v>45489</v>
      </c>
      <c r="D239" s="4" t="s">
        <v>22</v>
      </c>
      <c r="E239" s="4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s="4" t="s">
        <v>62</v>
      </c>
      <c r="M239" s="4" t="s">
        <v>38</v>
      </c>
      <c r="N239">
        <v>53484</v>
      </c>
      <c r="O239">
        <v>12307</v>
      </c>
      <c r="P239">
        <v>5.6557999999999993</v>
      </c>
      <c r="Q239">
        <v>1060357</v>
      </c>
      <c r="R239">
        <f t="shared" si="6"/>
        <v>4.4965987870122983E-3</v>
      </c>
      <c r="S239">
        <f t="shared" si="7"/>
        <v>41177</v>
      </c>
    </row>
    <row r="240" spans="1:19" x14ac:dyDescent="0.3">
      <c r="A240" s="4" t="s">
        <v>470</v>
      </c>
      <c r="B240" s="4" t="s">
        <v>27</v>
      </c>
      <c r="C240" s="5">
        <v>45712</v>
      </c>
      <c r="D240" s="4" t="s">
        <v>22</v>
      </c>
      <c r="E240" s="4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s="4" t="s">
        <v>62</v>
      </c>
      <c r="M240" s="4"/>
      <c r="N240">
        <v>47471</v>
      </c>
      <c r="O240">
        <v>12104</v>
      </c>
      <c r="P240">
        <v>5.5587999999999997</v>
      </c>
      <c r="Q240">
        <v>1228647</v>
      </c>
      <c r="R240">
        <f t="shared" si="6"/>
        <v>3.4916456883059169E-3</v>
      </c>
      <c r="S240">
        <f t="shared" si="7"/>
        <v>35367</v>
      </c>
    </row>
    <row r="241" spans="1:19" x14ac:dyDescent="0.3">
      <c r="A241" s="4" t="s">
        <v>471</v>
      </c>
      <c r="B241" s="4" t="s">
        <v>14</v>
      </c>
      <c r="C241" s="5">
        <v>45530</v>
      </c>
      <c r="D241" s="4" t="s">
        <v>45</v>
      </c>
      <c r="E241" s="4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s="4" t="s">
        <v>37</v>
      </c>
      <c r="M241" s="4" t="s">
        <v>31</v>
      </c>
      <c r="N241">
        <v>53484</v>
      </c>
      <c r="O241">
        <v>12307</v>
      </c>
      <c r="P241">
        <v>5.6557999999999993</v>
      </c>
      <c r="Q241">
        <v>1060357</v>
      </c>
      <c r="R241">
        <f t="shared" si="6"/>
        <v>1.0128664214033576E-3</v>
      </c>
      <c r="S241">
        <f t="shared" si="7"/>
        <v>41177</v>
      </c>
    </row>
    <row r="242" spans="1:19" x14ac:dyDescent="0.3">
      <c r="A242" s="4" t="s">
        <v>472</v>
      </c>
      <c r="B242" s="4" t="s">
        <v>43</v>
      </c>
      <c r="C242" s="5">
        <v>45675</v>
      </c>
      <c r="D242" s="4" t="s">
        <v>35</v>
      </c>
      <c r="E242" s="4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s="4" t="s">
        <v>30</v>
      </c>
      <c r="M242" s="4" t="s">
        <v>38</v>
      </c>
      <c r="N242">
        <v>50862</v>
      </c>
      <c r="O242">
        <v>15305</v>
      </c>
      <c r="P242">
        <v>5.6486000000000001</v>
      </c>
      <c r="Q242">
        <v>1379539</v>
      </c>
      <c r="R242">
        <f t="shared" si="6"/>
        <v>3.2206410982219421E-3</v>
      </c>
      <c r="S242">
        <f t="shared" si="7"/>
        <v>35557</v>
      </c>
    </row>
    <row r="243" spans="1:19" x14ac:dyDescent="0.3">
      <c r="A243" s="4" t="s">
        <v>474</v>
      </c>
      <c r="B243" s="4" t="s">
        <v>43</v>
      </c>
      <c r="C243" s="5">
        <v>45480</v>
      </c>
      <c r="D243" s="4" t="s">
        <v>16</v>
      </c>
      <c r="E243" s="4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s="4" t="s">
        <v>37</v>
      </c>
      <c r="M243" s="4" t="s">
        <v>31</v>
      </c>
      <c r="N243">
        <v>50862</v>
      </c>
      <c r="O243">
        <v>15305</v>
      </c>
      <c r="P243">
        <v>5.6486000000000001</v>
      </c>
      <c r="Q243">
        <v>1379539</v>
      </c>
      <c r="R243">
        <f t="shared" si="6"/>
        <v>3.6077269290683339E-3</v>
      </c>
      <c r="S243">
        <f t="shared" si="7"/>
        <v>35557</v>
      </c>
    </row>
    <row r="244" spans="1:19" x14ac:dyDescent="0.3">
      <c r="A244" s="4" t="s">
        <v>475</v>
      </c>
      <c r="B244" s="4" t="s">
        <v>14</v>
      </c>
      <c r="C244" s="5">
        <v>45722</v>
      </c>
      <c r="D244" s="4" t="s">
        <v>52</v>
      </c>
      <c r="E244" s="4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s="4" t="s">
        <v>62</v>
      </c>
      <c r="M244" s="4" t="s">
        <v>38</v>
      </c>
      <c r="N244">
        <v>53484</v>
      </c>
      <c r="O244">
        <v>12307</v>
      </c>
      <c r="P244">
        <v>5.6557999999999993</v>
      </c>
      <c r="Q244">
        <v>1060357</v>
      </c>
      <c r="R244">
        <f t="shared" si="6"/>
        <v>3.4177168632828379E-3</v>
      </c>
      <c r="S244">
        <f t="shared" si="7"/>
        <v>41177</v>
      </c>
    </row>
    <row r="245" spans="1:19" x14ac:dyDescent="0.3">
      <c r="A245" s="4" t="s">
        <v>477</v>
      </c>
      <c r="B245" s="4" t="s">
        <v>27</v>
      </c>
      <c r="C245" s="5">
        <v>45590</v>
      </c>
      <c r="D245" s="4" t="s">
        <v>74</v>
      </c>
      <c r="E245" s="4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s="4" t="s">
        <v>62</v>
      </c>
      <c r="M245" s="4" t="s">
        <v>31</v>
      </c>
      <c r="N245">
        <v>47471</v>
      </c>
      <c r="O245">
        <v>12104</v>
      </c>
      <c r="P245">
        <v>5.5587999999999997</v>
      </c>
      <c r="Q245">
        <v>1228647</v>
      </c>
      <c r="R245">
        <f t="shared" si="6"/>
        <v>3.8448797742557462E-3</v>
      </c>
      <c r="S245">
        <f t="shared" si="7"/>
        <v>35367</v>
      </c>
    </row>
    <row r="246" spans="1:19" x14ac:dyDescent="0.3">
      <c r="A246" s="4" t="s">
        <v>479</v>
      </c>
      <c r="B246" s="4" t="s">
        <v>43</v>
      </c>
      <c r="C246" s="5">
        <v>45669</v>
      </c>
      <c r="D246" s="4" t="s">
        <v>16</v>
      </c>
      <c r="E246" s="4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s="4" t="s">
        <v>37</v>
      </c>
      <c r="M246" s="4" t="s">
        <v>19</v>
      </c>
      <c r="N246">
        <v>50862</v>
      </c>
      <c r="O246">
        <v>15305</v>
      </c>
      <c r="P246">
        <v>5.6486000000000001</v>
      </c>
      <c r="Q246">
        <v>1379539</v>
      </c>
      <c r="R246">
        <f t="shared" si="6"/>
        <v>3.1249569602599127E-3</v>
      </c>
      <c r="S246">
        <f t="shared" si="7"/>
        <v>35557</v>
      </c>
    </row>
    <row r="247" spans="1:19" x14ac:dyDescent="0.3">
      <c r="A247" s="4" t="s">
        <v>481</v>
      </c>
      <c r="B247" s="4" t="s">
        <v>43</v>
      </c>
      <c r="C247" s="5">
        <v>45576</v>
      </c>
      <c r="D247" s="4" t="s">
        <v>52</v>
      </c>
      <c r="E247" s="4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s="4" t="s">
        <v>62</v>
      </c>
      <c r="M247" s="4" t="s">
        <v>25</v>
      </c>
      <c r="N247">
        <v>50862</v>
      </c>
      <c r="O247">
        <v>15305</v>
      </c>
      <c r="P247">
        <v>5.6486000000000001</v>
      </c>
      <c r="Q247">
        <v>1379539</v>
      </c>
      <c r="R247">
        <f t="shared" si="6"/>
        <v>4.0593270650557905E-4</v>
      </c>
      <c r="S247">
        <f t="shared" si="7"/>
        <v>35557</v>
      </c>
    </row>
    <row r="248" spans="1:19" x14ac:dyDescent="0.3">
      <c r="A248" s="4" t="s">
        <v>483</v>
      </c>
      <c r="B248" s="4" t="s">
        <v>43</v>
      </c>
      <c r="C248" s="5">
        <v>45531</v>
      </c>
      <c r="D248" s="4" t="s">
        <v>16</v>
      </c>
      <c r="E248" s="4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s="4" t="s">
        <v>62</v>
      </c>
      <c r="M248" s="4"/>
      <c r="N248">
        <v>50862</v>
      </c>
      <c r="O248">
        <v>15305</v>
      </c>
      <c r="P248">
        <v>5.6486000000000001</v>
      </c>
      <c r="Q248">
        <v>1379539</v>
      </c>
      <c r="R248">
        <f t="shared" si="6"/>
        <v>3.0212991441343809E-3</v>
      </c>
      <c r="S248">
        <f t="shared" si="7"/>
        <v>35557</v>
      </c>
    </row>
    <row r="249" spans="1:19" x14ac:dyDescent="0.3">
      <c r="A249" s="4" t="s">
        <v>486</v>
      </c>
      <c r="B249" s="4" t="s">
        <v>43</v>
      </c>
      <c r="C249" s="5">
        <v>45690</v>
      </c>
      <c r="D249" s="4" t="s">
        <v>35</v>
      </c>
      <c r="E249" s="4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s="4" t="s">
        <v>37</v>
      </c>
      <c r="M249" s="4"/>
      <c r="N249">
        <v>50862</v>
      </c>
      <c r="O249">
        <v>15305</v>
      </c>
      <c r="P249">
        <v>5.6486000000000001</v>
      </c>
      <c r="Q249">
        <v>1379539</v>
      </c>
      <c r="R249">
        <f t="shared" si="6"/>
        <v>7.959180566841532E-4</v>
      </c>
      <c r="S249">
        <f t="shared" si="7"/>
        <v>35557</v>
      </c>
    </row>
    <row r="250" spans="1:19" x14ac:dyDescent="0.3">
      <c r="A250" s="4" t="s">
        <v>487</v>
      </c>
      <c r="B250" s="4" t="s">
        <v>14</v>
      </c>
      <c r="C250" s="5">
        <v>45491</v>
      </c>
      <c r="D250" s="4" t="s">
        <v>52</v>
      </c>
      <c r="E250" s="4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s="4" t="s">
        <v>37</v>
      </c>
      <c r="M250" s="4" t="s">
        <v>25</v>
      </c>
      <c r="N250">
        <v>53484</v>
      </c>
      <c r="O250">
        <v>12307</v>
      </c>
      <c r="P250">
        <v>5.6557999999999993</v>
      </c>
      <c r="Q250">
        <v>1060357</v>
      </c>
      <c r="R250">
        <f t="shared" si="6"/>
        <v>1.0194679716359679E-3</v>
      </c>
      <c r="S250">
        <f t="shared" si="7"/>
        <v>41177</v>
      </c>
    </row>
    <row r="251" spans="1:19" x14ac:dyDescent="0.3">
      <c r="A251" s="4" t="s">
        <v>488</v>
      </c>
      <c r="B251" s="4" t="s">
        <v>43</v>
      </c>
      <c r="C251" s="5">
        <v>45465</v>
      </c>
      <c r="D251" s="4" t="s">
        <v>16</v>
      </c>
      <c r="E251" s="4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s="4" t="s">
        <v>62</v>
      </c>
      <c r="M251" s="4"/>
      <c r="N251">
        <v>50862</v>
      </c>
      <c r="O251">
        <v>15305</v>
      </c>
      <c r="P251">
        <v>5.6486000000000001</v>
      </c>
      <c r="Q251">
        <v>1379539</v>
      </c>
      <c r="R251">
        <f t="shared" si="6"/>
        <v>2.9459116414976309E-3</v>
      </c>
      <c r="S251">
        <f t="shared" si="7"/>
        <v>35557</v>
      </c>
    </row>
    <row r="252" spans="1:19" x14ac:dyDescent="0.3">
      <c r="A252" s="4" t="s">
        <v>489</v>
      </c>
      <c r="B252" s="4" t="s">
        <v>33</v>
      </c>
      <c r="C252" s="5">
        <v>45743</v>
      </c>
      <c r="D252" s="4" t="s">
        <v>45</v>
      </c>
      <c r="E252" s="4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s="4" t="s">
        <v>62</v>
      </c>
      <c r="M252" s="4"/>
      <c r="N252">
        <v>58311</v>
      </c>
      <c r="O252">
        <v>10307</v>
      </c>
      <c r="P252">
        <v>5.7155999999999993</v>
      </c>
      <c r="Q252">
        <v>1164373</v>
      </c>
      <c r="R252">
        <f t="shared" si="6"/>
        <v>1.3449298463636653E-3</v>
      </c>
      <c r="S252">
        <f t="shared" si="7"/>
        <v>48004</v>
      </c>
    </row>
    <row r="253" spans="1:19" x14ac:dyDescent="0.3">
      <c r="A253" s="4" t="s">
        <v>491</v>
      </c>
      <c r="B253" s="4" t="s">
        <v>43</v>
      </c>
      <c r="C253" s="5">
        <v>45775</v>
      </c>
      <c r="D253" s="4" t="s">
        <v>45</v>
      </c>
      <c r="E253" s="4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s="4" t="s">
        <v>62</v>
      </c>
      <c r="M253" s="4" t="s">
        <v>31</v>
      </c>
      <c r="N253">
        <v>50862</v>
      </c>
      <c r="O253">
        <v>15305</v>
      </c>
      <c r="P253">
        <v>5.6486000000000001</v>
      </c>
      <c r="Q253">
        <v>1379539</v>
      </c>
      <c r="R253">
        <f t="shared" si="6"/>
        <v>1.5606662805473424E-3</v>
      </c>
      <c r="S253">
        <f t="shared" si="7"/>
        <v>35557</v>
      </c>
    </row>
    <row r="254" spans="1:19" x14ac:dyDescent="0.3">
      <c r="A254" s="4" t="s">
        <v>492</v>
      </c>
      <c r="B254" s="4" t="s">
        <v>14</v>
      </c>
      <c r="C254" s="5">
        <v>45507</v>
      </c>
      <c r="D254" s="4" t="s">
        <v>16</v>
      </c>
      <c r="E254" s="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s="4" t="s">
        <v>37</v>
      </c>
      <c r="M254" s="4"/>
      <c r="N254">
        <v>53484</v>
      </c>
      <c r="O254">
        <v>12307</v>
      </c>
      <c r="P254">
        <v>5.6557999999999993</v>
      </c>
      <c r="Q254">
        <v>1060357</v>
      </c>
      <c r="R254">
        <f t="shared" si="6"/>
        <v>3.7685421042158444E-3</v>
      </c>
      <c r="S254">
        <f t="shared" si="7"/>
        <v>41177</v>
      </c>
    </row>
    <row r="255" spans="1:19" x14ac:dyDescent="0.3">
      <c r="A255" s="4" t="s">
        <v>494</v>
      </c>
      <c r="B255" s="4" t="s">
        <v>14</v>
      </c>
      <c r="C255" s="5">
        <v>45671</v>
      </c>
      <c r="D255" s="4" t="s">
        <v>52</v>
      </c>
      <c r="E255" s="4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s="4" t="s">
        <v>62</v>
      </c>
      <c r="M255" s="4" t="s">
        <v>25</v>
      </c>
      <c r="N255">
        <v>53484</v>
      </c>
      <c r="O255">
        <v>12307</v>
      </c>
      <c r="P255">
        <v>5.6557999999999993</v>
      </c>
      <c r="Q255">
        <v>1060357</v>
      </c>
      <c r="R255">
        <f t="shared" si="6"/>
        <v>2.7500172111845351E-3</v>
      </c>
      <c r="S255">
        <f t="shared" si="7"/>
        <v>41177</v>
      </c>
    </row>
    <row r="256" spans="1:19" x14ac:dyDescent="0.3">
      <c r="A256" s="4" t="s">
        <v>496</v>
      </c>
      <c r="B256" s="4" t="s">
        <v>43</v>
      </c>
      <c r="C256" s="5">
        <v>45750</v>
      </c>
      <c r="D256" s="4" t="s">
        <v>35</v>
      </c>
      <c r="E256" s="4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s="4" t="s">
        <v>62</v>
      </c>
      <c r="M256" s="4" t="s">
        <v>38</v>
      </c>
      <c r="N256">
        <v>50862</v>
      </c>
      <c r="O256">
        <v>15305</v>
      </c>
      <c r="P256">
        <v>5.6486000000000001</v>
      </c>
      <c r="Q256">
        <v>1379539</v>
      </c>
      <c r="R256">
        <f t="shared" si="6"/>
        <v>2.8944451733513878E-3</v>
      </c>
      <c r="S256">
        <f t="shared" si="7"/>
        <v>35557</v>
      </c>
    </row>
    <row r="257" spans="1:19" x14ac:dyDescent="0.3">
      <c r="A257" s="4" t="s">
        <v>497</v>
      </c>
      <c r="B257" s="4" t="s">
        <v>27</v>
      </c>
      <c r="C257" s="5">
        <v>45553</v>
      </c>
      <c r="D257" s="4" t="s">
        <v>45</v>
      </c>
      <c r="E257" s="4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s="4" t="s">
        <v>37</v>
      </c>
      <c r="M257" s="4" t="s">
        <v>25</v>
      </c>
      <c r="N257">
        <v>47471</v>
      </c>
      <c r="O257">
        <v>12104</v>
      </c>
      <c r="P257">
        <v>5.5587999999999997</v>
      </c>
      <c r="Q257">
        <v>1228647</v>
      </c>
      <c r="R257">
        <f t="shared" si="6"/>
        <v>1.9460430864194516E-3</v>
      </c>
      <c r="S257">
        <f t="shared" si="7"/>
        <v>35367</v>
      </c>
    </row>
    <row r="258" spans="1:19" x14ac:dyDescent="0.3">
      <c r="A258" s="4" t="s">
        <v>498</v>
      </c>
      <c r="B258" s="4" t="s">
        <v>43</v>
      </c>
      <c r="C258" s="5">
        <v>45753</v>
      </c>
      <c r="D258" s="4" t="s">
        <v>52</v>
      </c>
      <c r="E258" s="4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s="4" t="s">
        <v>37</v>
      </c>
      <c r="M258" s="4" t="s">
        <v>25</v>
      </c>
      <c r="N258">
        <v>50862</v>
      </c>
      <c r="O258">
        <v>15305</v>
      </c>
      <c r="P258">
        <v>5.6486000000000001</v>
      </c>
      <c r="Q258">
        <v>1379539</v>
      </c>
      <c r="R258">
        <f t="shared" si="6"/>
        <v>2.2580006799372836E-3</v>
      </c>
      <c r="S258">
        <f t="shared" si="7"/>
        <v>35557</v>
      </c>
    </row>
    <row r="259" spans="1:19" x14ac:dyDescent="0.3">
      <c r="A259" s="4" t="s">
        <v>500</v>
      </c>
      <c r="B259" s="4" t="s">
        <v>33</v>
      </c>
      <c r="C259" s="5">
        <v>45509</v>
      </c>
      <c r="D259" s="4" t="s">
        <v>35</v>
      </c>
      <c r="E259" s="4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s="4" t="s">
        <v>37</v>
      </c>
      <c r="M259" s="4" t="s">
        <v>25</v>
      </c>
      <c r="N259">
        <v>58311</v>
      </c>
      <c r="O259">
        <v>10307</v>
      </c>
      <c r="P259">
        <v>5.7155999999999993</v>
      </c>
      <c r="Q259">
        <v>1164373</v>
      </c>
      <c r="R259">
        <f t="shared" ref="R259:R302" si="8">(F259+K259)/Q259</f>
        <v>3.2403705685377453E-3</v>
      </c>
      <c r="S259">
        <f t="shared" ref="S259:S302" si="9">N259-O259</f>
        <v>48004</v>
      </c>
    </row>
    <row r="260" spans="1:19" x14ac:dyDescent="0.3">
      <c r="A260" s="4" t="s">
        <v>502</v>
      </c>
      <c r="B260" s="4" t="s">
        <v>43</v>
      </c>
      <c r="C260" s="5">
        <v>45698</v>
      </c>
      <c r="D260" s="4" t="s">
        <v>22</v>
      </c>
      <c r="E260" s="4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s="4" t="s">
        <v>30</v>
      </c>
      <c r="M260" s="4" t="s">
        <v>19</v>
      </c>
      <c r="N260">
        <v>50862</v>
      </c>
      <c r="O260">
        <v>15305</v>
      </c>
      <c r="P260">
        <v>5.6486000000000001</v>
      </c>
      <c r="Q260">
        <v>1379539</v>
      </c>
      <c r="R260">
        <f t="shared" si="8"/>
        <v>4.7479629064491833E-4</v>
      </c>
      <c r="S260">
        <f t="shared" si="9"/>
        <v>35557</v>
      </c>
    </row>
    <row r="261" spans="1:19" x14ac:dyDescent="0.3">
      <c r="A261" s="4" t="s">
        <v>503</v>
      </c>
      <c r="B261" s="4" t="s">
        <v>33</v>
      </c>
      <c r="C261" s="5">
        <v>45700</v>
      </c>
      <c r="D261" s="4" t="s">
        <v>35</v>
      </c>
      <c r="E261" s="4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s="4" t="s">
        <v>30</v>
      </c>
      <c r="M261" s="4" t="s">
        <v>31</v>
      </c>
      <c r="N261">
        <v>58311</v>
      </c>
      <c r="O261">
        <v>10307</v>
      </c>
      <c r="P261">
        <v>5.7155999999999993</v>
      </c>
      <c r="Q261">
        <v>1164373</v>
      </c>
      <c r="R261">
        <f t="shared" si="8"/>
        <v>3.7290455893429341E-3</v>
      </c>
      <c r="S261">
        <f t="shared" si="9"/>
        <v>48004</v>
      </c>
    </row>
    <row r="262" spans="1:19" x14ac:dyDescent="0.3">
      <c r="A262" s="4" t="s">
        <v>506</v>
      </c>
      <c r="B262" s="4" t="s">
        <v>33</v>
      </c>
      <c r="C262" s="5">
        <v>45592</v>
      </c>
      <c r="D262" s="4" t="s">
        <v>52</v>
      </c>
      <c r="E262" s="4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s="4" t="s">
        <v>37</v>
      </c>
      <c r="M262" s="4" t="s">
        <v>19</v>
      </c>
      <c r="N262">
        <v>58311</v>
      </c>
      <c r="O262">
        <v>10307</v>
      </c>
      <c r="P262">
        <v>5.7155999999999993</v>
      </c>
      <c r="Q262">
        <v>1164373</v>
      </c>
      <c r="R262">
        <f t="shared" si="8"/>
        <v>4.3139097179340294E-3</v>
      </c>
      <c r="S262">
        <f t="shared" si="9"/>
        <v>48004</v>
      </c>
    </row>
    <row r="263" spans="1:19" x14ac:dyDescent="0.3">
      <c r="A263" s="4" t="s">
        <v>508</v>
      </c>
      <c r="B263" s="4" t="s">
        <v>27</v>
      </c>
      <c r="C263" s="5">
        <v>45675</v>
      </c>
      <c r="D263" s="4" t="s">
        <v>52</v>
      </c>
      <c r="E263" s="4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s="4" t="s">
        <v>30</v>
      </c>
      <c r="M263" s="4"/>
      <c r="N263">
        <v>47471</v>
      </c>
      <c r="O263">
        <v>12104</v>
      </c>
      <c r="P263">
        <v>5.5587999999999997</v>
      </c>
      <c r="Q263">
        <v>1228647</v>
      </c>
      <c r="R263">
        <f t="shared" si="8"/>
        <v>1.1744626406119904E-3</v>
      </c>
      <c r="S263">
        <f t="shared" si="9"/>
        <v>35367</v>
      </c>
    </row>
    <row r="264" spans="1:19" x14ac:dyDescent="0.3">
      <c r="A264" s="4" t="s">
        <v>509</v>
      </c>
      <c r="B264" s="4" t="s">
        <v>33</v>
      </c>
      <c r="C264" s="5">
        <v>45524</v>
      </c>
      <c r="D264" s="4" t="s">
        <v>16</v>
      </c>
      <c r="E264" s="4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s="4" t="s">
        <v>62</v>
      </c>
      <c r="M264" s="4" t="s">
        <v>25</v>
      </c>
      <c r="N264">
        <v>58311</v>
      </c>
      <c r="O264">
        <v>10307</v>
      </c>
      <c r="P264">
        <v>5.7155999999999993</v>
      </c>
      <c r="Q264">
        <v>1164373</v>
      </c>
      <c r="R264">
        <f t="shared" si="8"/>
        <v>2.2527145510931636E-3</v>
      </c>
      <c r="S264">
        <f t="shared" si="9"/>
        <v>48004</v>
      </c>
    </row>
    <row r="265" spans="1:19" x14ac:dyDescent="0.3">
      <c r="A265" s="4" t="s">
        <v>511</v>
      </c>
      <c r="B265" s="4" t="s">
        <v>14</v>
      </c>
      <c r="C265" s="5">
        <v>45687</v>
      </c>
      <c r="D265" s="4" t="s">
        <v>52</v>
      </c>
      <c r="E265" s="4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s="4" t="s">
        <v>30</v>
      </c>
      <c r="M265" s="4" t="s">
        <v>25</v>
      </c>
      <c r="N265">
        <v>53484</v>
      </c>
      <c r="O265">
        <v>12307</v>
      </c>
      <c r="P265">
        <v>5.6557999999999993</v>
      </c>
      <c r="Q265">
        <v>1060357</v>
      </c>
      <c r="R265">
        <f t="shared" si="8"/>
        <v>3.3196366883983411E-4</v>
      </c>
      <c r="S265">
        <f t="shared" si="9"/>
        <v>41177</v>
      </c>
    </row>
    <row r="266" spans="1:19" x14ac:dyDescent="0.3">
      <c r="A266" s="4" t="s">
        <v>513</v>
      </c>
      <c r="B266" s="4" t="s">
        <v>14</v>
      </c>
      <c r="C266" s="5">
        <v>45708</v>
      </c>
      <c r="D266" s="4" t="s">
        <v>45</v>
      </c>
      <c r="E266" s="4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s="4" t="s">
        <v>37</v>
      </c>
      <c r="M266" s="4" t="s">
        <v>38</v>
      </c>
      <c r="N266">
        <v>53484</v>
      </c>
      <c r="O266">
        <v>12307</v>
      </c>
      <c r="P266">
        <v>5.6557999999999993</v>
      </c>
      <c r="Q266">
        <v>1060357</v>
      </c>
      <c r="R266">
        <f t="shared" si="8"/>
        <v>1.8088247637352325E-3</v>
      </c>
      <c r="S266">
        <f t="shared" si="9"/>
        <v>41177</v>
      </c>
    </row>
    <row r="267" spans="1:19" x14ac:dyDescent="0.3">
      <c r="A267" s="4" t="s">
        <v>515</v>
      </c>
      <c r="B267" s="4" t="s">
        <v>43</v>
      </c>
      <c r="C267" s="5">
        <v>45621</v>
      </c>
      <c r="D267" s="4" t="s">
        <v>35</v>
      </c>
      <c r="E267" s="4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s="4" t="s">
        <v>30</v>
      </c>
      <c r="M267" s="4" t="s">
        <v>31</v>
      </c>
      <c r="N267">
        <v>50862</v>
      </c>
      <c r="O267">
        <v>15305</v>
      </c>
      <c r="P267">
        <v>5.6486000000000001</v>
      </c>
      <c r="Q267">
        <v>1379539</v>
      </c>
      <c r="R267">
        <f t="shared" si="8"/>
        <v>3.0386962601274773E-3</v>
      </c>
      <c r="S267">
        <f t="shared" si="9"/>
        <v>35557</v>
      </c>
    </row>
    <row r="268" spans="1:19" x14ac:dyDescent="0.3">
      <c r="A268" s="4" t="s">
        <v>516</v>
      </c>
      <c r="B268" s="4" t="s">
        <v>14</v>
      </c>
      <c r="C268" s="5">
        <v>45569</v>
      </c>
      <c r="D268" s="4" t="s">
        <v>16</v>
      </c>
      <c r="E268" s="4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s="4" t="s">
        <v>62</v>
      </c>
      <c r="M268" s="4"/>
      <c r="N268">
        <v>53484</v>
      </c>
      <c r="O268">
        <v>12307</v>
      </c>
      <c r="P268">
        <v>5.6557999999999993</v>
      </c>
      <c r="Q268">
        <v>1060357</v>
      </c>
      <c r="R268">
        <f t="shared" si="8"/>
        <v>4.0071409911944748E-3</v>
      </c>
      <c r="S268">
        <f t="shared" si="9"/>
        <v>41177</v>
      </c>
    </row>
    <row r="269" spans="1:19" x14ac:dyDescent="0.3">
      <c r="A269" s="4" t="s">
        <v>517</v>
      </c>
      <c r="B269" s="4" t="s">
        <v>33</v>
      </c>
      <c r="C269" s="5">
        <v>45760</v>
      </c>
      <c r="D269" s="4" t="s">
        <v>16</v>
      </c>
      <c r="E269" s="4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s="4" t="s">
        <v>37</v>
      </c>
      <c r="M269" s="4" t="s">
        <v>19</v>
      </c>
      <c r="N269">
        <v>58311</v>
      </c>
      <c r="O269">
        <v>10307</v>
      </c>
      <c r="P269">
        <v>5.7155999999999993</v>
      </c>
      <c r="Q269">
        <v>1164373</v>
      </c>
      <c r="R269">
        <f t="shared" si="8"/>
        <v>4.1636142370185501E-3</v>
      </c>
      <c r="S269">
        <f t="shared" si="9"/>
        <v>48004</v>
      </c>
    </row>
    <row r="270" spans="1:19" x14ac:dyDescent="0.3">
      <c r="A270" s="4" t="s">
        <v>519</v>
      </c>
      <c r="B270" s="4" t="s">
        <v>33</v>
      </c>
      <c r="C270" s="5">
        <v>45601</v>
      </c>
      <c r="D270" s="4" t="s">
        <v>74</v>
      </c>
      <c r="E270" s="4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s="4" t="s">
        <v>30</v>
      </c>
      <c r="M270" s="4" t="s">
        <v>25</v>
      </c>
      <c r="N270">
        <v>58311</v>
      </c>
      <c r="O270">
        <v>10307</v>
      </c>
      <c r="P270">
        <v>5.7155999999999993</v>
      </c>
      <c r="Q270">
        <v>1164373</v>
      </c>
      <c r="R270">
        <f t="shared" si="8"/>
        <v>3.9557770576954289E-3</v>
      </c>
      <c r="S270">
        <f t="shared" si="9"/>
        <v>48004</v>
      </c>
    </row>
    <row r="271" spans="1:19" x14ac:dyDescent="0.3">
      <c r="A271" s="4" t="s">
        <v>521</v>
      </c>
      <c r="B271" s="4" t="s">
        <v>27</v>
      </c>
      <c r="C271" s="5">
        <v>45672</v>
      </c>
      <c r="D271" s="4" t="s">
        <v>16</v>
      </c>
      <c r="E271" s="4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s="4" t="s">
        <v>30</v>
      </c>
      <c r="M271" s="4" t="s">
        <v>31</v>
      </c>
      <c r="N271">
        <v>47471</v>
      </c>
      <c r="O271">
        <v>12104</v>
      </c>
      <c r="P271">
        <v>5.5587999999999997</v>
      </c>
      <c r="Q271">
        <v>1228647</v>
      </c>
      <c r="R271">
        <f t="shared" si="8"/>
        <v>3.2678222467478453E-3</v>
      </c>
      <c r="S271">
        <f t="shared" si="9"/>
        <v>35367</v>
      </c>
    </row>
    <row r="272" spans="1:19" x14ac:dyDescent="0.3">
      <c r="A272" s="4" t="s">
        <v>522</v>
      </c>
      <c r="B272" s="4" t="s">
        <v>33</v>
      </c>
      <c r="C272" s="5">
        <v>45582</v>
      </c>
      <c r="D272" s="4" t="s">
        <v>74</v>
      </c>
      <c r="E272" s="4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s="4" t="s">
        <v>37</v>
      </c>
      <c r="M272" s="4" t="s">
        <v>25</v>
      </c>
      <c r="N272">
        <v>58311</v>
      </c>
      <c r="O272">
        <v>10307</v>
      </c>
      <c r="P272">
        <v>5.7155999999999993</v>
      </c>
      <c r="Q272">
        <v>1164373</v>
      </c>
      <c r="R272">
        <f t="shared" si="8"/>
        <v>3.237794074579194E-3</v>
      </c>
      <c r="S272">
        <f t="shared" si="9"/>
        <v>48004</v>
      </c>
    </row>
    <row r="273" spans="1:19" x14ac:dyDescent="0.3">
      <c r="A273" s="4" t="s">
        <v>524</v>
      </c>
      <c r="B273" s="4" t="s">
        <v>33</v>
      </c>
      <c r="C273" s="5">
        <v>45743</v>
      </c>
      <c r="D273" s="4" t="s">
        <v>22</v>
      </c>
      <c r="E273" s="4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s="4" t="s">
        <v>30</v>
      </c>
      <c r="M273" s="4" t="s">
        <v>31</v>
      </c>
      <c r="N273">
        <v>58311</v>
      </c>
      <c r="O273">
        <v>10307</v>
      </c>
      <c r="P273">
        <v>5.7155999999999993</v>
      </c>
      <c r="Q273">
        <v>1164373</v>
      </c>
      <c r="R273">
        <f t="shared" si="8"/>
        <v>4.4298519460688286E-3</v>
      </c>
      <c r="S273">
        <f t="shared" si="9"/>
        <v>48004</v>
      </c>
    </row>
    <row r="274" spans="1:19" x14ac:dyDescent="0.3">
      <c r="A274" s="4" t="s">
        <v>525</v>
      </c>
      <c r="B274" s="4" t="s">
        <v>27</v>
      </c>
      <c r="C274" s="5">
        <v>45577</v>
      </c>
      <c r="D274" s="4" t="s">
        <v>35</v>
      </c>
      <c r="E274" s="4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s="4" t="s">
        <v>37</v>
      </c>
      <c r="M274" s="4" t="s">
        <v>38</v>
      </c>
      <c r="N274">
        <v>47471</v>
      </c>
      <c r="O274">
        <v>12104</v>
      </c>
      <c r="P274">
        <v>5.5587999999999997</v>
      </c>
      <c r="Q274">
        <v>1228647</v>
      </c>
      <c r="R274">
        <f t="shared" si="8"/>
        <v>3.2043377796877378E-3</v>
      </c>
      <c r="S274">
        <f t="shared" si="9"/>
        <v>35367</v>
      </c>
    </row>
    <row r="275" spans="1:19" x14ac:dyDescent="0.3">
      <c r="A275" s="4" t="s">
        <v>527</v>
      </c>
      <c r="B275" s="4" t="s">
        <v>14</v>
      </c>
      <c r="C275" s="5">
        <v>45658</v>
      </c>
      <c r="D275" s="4" t="s">
        <v>45</v>
      </c>
      <c r="E275" s="4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s="4" t="s">
        <v>30</v>
      </c>
      <c r="M275" s="4" t="s">
        <v>38</v>
      </c>
      <c r="N275">
        <v>53484</v>
      </c>
      <c r="O275">
        <v>12307</v>
      </c>
      <c r="P275">
        <v>5.6557999999999993</v>
      </c>
      <c r="Q275">
        <v>1060357</v>
      </c>
      <c r="R275">
        <f t="shared" si="8"/>
        <v>3.3752783260731999E-3</v>
      </c>
      <c r="S275">
        <f t="shared" si="9"/>
        <v>41177</v>
      </c>
    </row>
    <row r="276" spans="1:19" x14ac:dyDescent="0.3">
      <c r="A276" s="4" t="s">
        <v>528</v>
      </c>
      <c r="B276" s="4" t="s">
        <v>43</v>
      </c>
      <c r="C276" s="5">
        <v>45509</v>
      </c>
      <c r="D276" s="4" t="s">
        <v>16</v>
      </c>
      <c r="E276" s="4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s="4" t="s">
        <v>37</v>
      </c>
      <c r="M276" s="4" t="s">
        <v>31</v>
      </c>
      <c r="N276">
        <v>50862</v>
      </c>
      <c r="O276">
        <v>15305</v>
      </c>
      <c r="P276">
        <v>5.6486000000000001</v>
      </c>
      <c r="Q276">
        <v>1379539</v>
      </c>
      <c r="R276">
        <f t="shared" si="8"/>
        <v>1.3040588196491726E-3</v>
      </c>
      <c r="S276">
        <f t="shared" si="9"/>
        <v>35557</v>
      </c>
    </row>
    <row r="277" spans="1:19" x14ac:dyDescent="0.3">
      <c r="A277" s="4" t="s">
        <v>529</v>
      </c>
      <c r="B277" s="4" t="s">
        <v>14</v>
      </c>
      <c r="C277" s="5">
        <v>45450</v>
      </c>
      <c r="D277" s="4" t="s">
        <v>45</v>
      </c>
      <c r="E277" s="4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s="4" t="s">
        <v>30</v>
      </c>
      <c r="M277" s="4" t="s">
        <v>25</v>
      </c>
      <c r="N277">
        <v>53484</v>
      </c>
      <c r="O277">
        <v>12307</v>
      </c>
      <c r="P277">
        <v>5.6557999999999993</v>
      </c>
      <c r="Q277">
        <v>1060357</v>
      </c>
      <c r="R277">
        <f t="shared" si="8"/>
        <v>1.5966320776870432E-3</v>
      </c>
      <c r="S277">
        <f t="shared" si="9"/>
        <v>41177</v>
      </c>
    </row>
    <row r="278" spans="1:19" x14ac:dyDescent="0.3">
      <c r="A278" s="4" t="s">
        <v>531</v>
      </c>
      <c r="B278" s="4" t="s">
        <v>43</v>
      </c>
      <c r="C278" s="5">
        <v>45753</v>
      </c>
      <c r="D278" s="4" t="s">
        <v>52</v>
      </c>
      <c r="E278" s="4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s="4" t="s">
        <v>62</v>
      </c>
      <c r="M278" s="4" t="s">
        <v>19</v>
      </c>
      <c r="N278">
        <v>50862</v>
      </c>
      <c r="O278">
        <v>15305</v>
      </c>
      <c r="P278">
        <v>5.6486000000000001</v>
      </c>
      <c r="Q278">
        <v>1379539</v>
      </c>
      <c r="R278">
        <f t="shared" si="8"/>
        <v>3.2431123730463584E-3</v>
      </c>
      <c r="S278">
        <f t="shared" si="9"/>
        <v>35557</v>
      </c>
    </row>
    <row r="279" spans="1:19" x14ac:dyDescent="0.3">
      <c r="A279" s="4" t="s">
        <v>532</v>
      </c>
      <c r="B279" s="4" t="s">
        <v>14</v>
      </c>
      <c r="C279" s="5">
        <v>45622</v>
      </c>
      <c r="D279" s="4" t="s">
        <v>22</v>
      </c>
      <c r="E279" s="4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s="4" t="s">
        <v>37</v>
      </c>
      <c r="M279" s="4" t="s">
        <v>38</v>
      </c>
      <c r="N279">
        <v>53484</v>
      </c>
      <c r="O279">
        <v>12307</v>
      </c>
      <c r="P279">
        <v>5.6557999999999993</v>
      </c>
      <c r="Q279">
        <v>1060357</v>
      </c>
      <c r="R279">
        <f t="shared" si="8"/>
        <v>4.5248911451520575E-3</v>
      </c>
      <c r="S279">
        <f t="shared" si="9"/>
        <v>41177</v>
      </c>
    </row>
    <row r="280" spans="1:19" x14ac:dyDescent="0.3">
      <c r="A280" s="4" t="s">
        <v>534</v>
      </c>
      <c r="B280" s="4" t="s">
        <v>27</v>
      </c>
      <c r="C280" s="5">
        <v>45537</v>
      </c>
      <c r="D280" s="4" t="s">
        <v>52</v>
      </c>
      <c r="E280" s="4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s="4" t="s">
        <v>30</v>
      </c>
      <c r="M280" s="4" t="s">
        <v>25</v>
      </c>
      <c r="N280">
        <v>47471</v>
      </c>
      <c r="O280">
        <v>12104</v>
      </c>
      <c r="P280">
        <v>5.5587999999999997</v>
      </c>
      <c r="Q280">
        <v>1228647</v>
      </c>
      <c r="R280">
        <f t="shared" si="8"/>
        <v>4.2192753492256117E-3</v>
      </c>
      <c r="S280">
        <f t="shared" si="9"/>
        <v>35367</v>
      </c>
    </row>
    <row r="281" spans="1:19" x14ac:dyDescent="0.3">
      <c r="A281" s="4" t="s">
        <v>535</v>
      </c>
      <c r="B281" s="4" t="s">
        <v>27</v>
      </c>
      <c r="C281" s="5">
        <v>45586</v>
      </c>
      <c r="D281" s="4" t="s">
        <v>74</v>
      </c>
      <c r="E281" s="4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s="4" t="s">
        <v>37</v>
      </c>
      <c r="M281" s="4" t="s">
        <v>38</v>
      </c>
      <c r="N281">
        <v>47471</v>
      </c>
      <c r="O281">
        <v>12104</v>
      </c>
      <c r="P281">
        <v>5.5587999999999997</v>
      </c>
      <c r="Q281">
        <v>1228647</v>
      </c>
      <c r="R281">
        <f t="shared" si="8"/>
        <v>3.5640830930283476E-3</v>
      </c>
      <c r="S281">
        <f t="shared" si="9"/>
        <v>35367</v>
      </c>
    </row>
    <row r="282" spans="1:19" x14ac:dyDescent="0.3">
      <c r="A282" s="4" t="s">
        <v>536</v>
      </c>
      <c r="B282" s="4" t="s">
        <v>27</v>
      </c>
      <c r="C282" s="5">
        <v>45738</v>
      </c>
      <c r="D282" s="4" t="s">
        <v>52</v>
      </c>
      <c r="E282" s="4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s="4" t="s">
        <v>37</v>
      </c>
      <c r="M282" s="4" t="s">
        <v>25</v>
      </c>
      <c r="N282">
        <v>47471</v>
      </c>
      <c r="O282">
        <v>12104</v>
      </c>
      <c r="P282">
        <v>5.5587999999999997</v>
      </c>
      <c r="Q282">
        <v>1228647</v>
      </c>
      <c r="R282">
        <f t="shared" si="8"/>
        <v>2.6866952021207067E-3</v>
      </c>
      <c r="S282">
        <f t="shared" si="9"/>
        <v>35367</v>
      </c>
    </row>
    <row r="283" spans="1:19" x14ac:dyDescent="0.3">
      <c r="A283" s="4" t="s">
        <v>538</v>
      </c>
      <c r="B283" s="4" t="s">
        <v>33</v>
      </c>
      <c r="C283" s="5">
        <v>45568</v>
      </c>
      <c r="D283" s="4" t="s">
        <v>74</v>
      </c>
      <c r="E283" s="4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s="4" t="s">
        <v>62</v>
      </c>
      <c r="M283" s="4" t="s">
        <v>31</v>
      </c>
      <c r="N283">
        <v>58311</v>
      </c>
      <c r="O283">
        <v>10307</v>
      </c>
      <c r="P283">
        <v>5.7155999999999993</v>
      </c>
      <c r="Q283">
        <v>1164373</v>
      </c>
      <c r="R283">
        <f t="shared" si="8"/>
        <v>1.3037059430268479E-3</v>
      </c>
      <c r="S283">
        <f t="shared" si="9"/>
        <v>48004</v>
      </c>
    </row>
    <row r="284" spans="1:19" x14ac:dyDescent="0.3">
      <c r="A284" s="4" t="s">
        <v>540</v>
      </c>
      <c r="B284" s="4" t="s">
        <v>14</v>
      </c>
      <c r="C284" s="5">
        <v>45786</v>
      </c>
      <c r="D284" s="4" t="s">
        <v>16</v>
      </c>
      <c r="E284" s="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s="4" t="s">
        <v>62</v>
      </c>
      <c r="M284" s="4" t="s">
        <v>25</v>
      </c>
      <c r="N284">
        <v>53484</v>
      </c>
      <c r="O284">
        <v>12307</v>
      </c>
      <c r="P284">
        <v>5.6557999999999993</v>
      </c>
      <c r="Q284">
        <v>1060357</v>
      </c>
      <c r="R284">
        <f t="shared" si="8"/>
        <v>3.3234090028169756E-3</v>
      </c>
      <c r="S284">
        <f t="shared" si="9"/>
        <v>41177</v>
      </c>
    </row>
    <row r="285" spans="1:19" x14ac:dyDescent="0.3">
      <c r="A285" s="4" t="s">
        <v>542</v>
      </c>
      <c r="B285" s="4" t="s">
        <v>14</v>
      </c>
      <c r="C285" s="5">
        <v>45552</v>
      </c>
      <c r="D285" s="4" t="s">
        <v>22</v>
      </c>
      <c r="E285" s="4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s="4" t="s">
        <v>30</v>
      </c>
      <c r="M285" s="4" t="s">
        <v>38</v>
      </c>
      <c r="N285">
        <v>53484</v>
      </c>
      <c r="O285">
        <v>12307</v>
      </c>
      <c r="P285">
        <v>5.6557999999999993</v>
      </c>
      <c r="Q285">
        <v>1060357</v>
      </c>
      <c r="R285">
        <f t="shared" si="8"/>
        <v>7.5634904093621299E-4</v>
      </c>
      <c r="S285">
        <f t="shared" si="9"/>
        <v>41177</v>
      </c>
    </row>
    <row r="286" spans="1:19" x14ac:dyDescent="0.3">
      <c r="A286" s="4" t="s">
        <v>543</v>
      </c>
      <c r="B286" s="4" t="s">
        <v>27</v>
      </c>
      <c r="C286" s="5">
        <v>45491</v>
      </c>
      <c r="D286" s="4" t="s">
        <v>22</v>
      </c>
      <c r="E286" s="4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s="4" t="s">
        <v>37</v>
      </c>
      <c r="M286" s="4"/>
      <c r="N286">
        <v>47471</v>
      </c>
      <c r="O286">
        <v>12104</v>
      </c>
      <c r="P286">
        <v>5.5587999999999997</v>
      </c>
      <c r="Q286">
        <v>1228647</v>
      </c>
      <c r="R286">
        <f t="shared" si="8"/>
        <v>3.4143248630404016E-3</v>
      </c>
      <c r="S286">
        <f t="shared" si="9"/>
        <v>35367</v>
      </c>
    </row>
    <row r="287" spans="1:19" x14ac:dyDescent="0.3">
      <c r="A287" s="4" t="s">
        <v>544</v>
      </c>
      <c r="B287" s="4" t="s">
        <v>27</v>
      </c>
      <c r="C287" s="5">
        <v>45560</v>
      </c>
      <c r="D287" s="4" t="s">
        <v>74</v>
      </c>
      <c r="E287" s="4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s="4" t="s">
        <v>62</v>
      </c>
      <c r="M287" s="4" t="s">
        <v>31</v>
      </c>
      <c r="N287">
        <v>47471</v>
      </c>
      <c r="O287">
        <v>12104</v>
      </c>
      <c r="P287">
        <v>5.5587999999999997</v>
      </c>
      <c r="Q287">
        <v>1228647</v>
      </c>
      <c r="R287">
        <f t="shared" si="8"/>
        <v>2.9438886840565271E-3</v>
      </c>
      <c r="S287">
        <f t="shared" si="9"/>
        <v>35367</v>
      </c>
    </row>
    <row r="288" spans="1:19" x14ac:dyDescent="0.3">
      <c r="A288" s="4" t="s">
        <v>546</v>
      </c>
      <c r="B288" s="4" t="s">
        <v>33</v>
      </c>
      <c r="C288" s="5">
        <v>45519</v>
      </c>
      <c r="D288" s="4" t="s">
        <v>16</v>
      </c>
      <c r="E288" s="4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s="4" t="s">
        <v>37</v>
      </c>
      <c r="M288" s="4" t="s">
        <v>19</v>
      </c>
      <c r="N288">
        <v>58311</v>
      </c>
      <c r="O288">
        <v>10307</v>
      </c>
      <c r="P288">
        <v>5.7155999999999993</v>
      </c>
      <c r="Q288">
        <v>1164373</v>
      </c>
      <c r="R288">
        <f t="shared" si="8"/>
        <v>1.0701038241182164E-3</v>
      </c>
      <c r="S288">
        <f t="shared" si="9"/>
        <v>48004</v>
      </c>
    </row>
    <row r="289" spans="1:19" x14ac:dyDescent="0.3">
      <c r="A289" s="4" t="s">
        <v>547</v>
      </c>
      <c r="B289" s="4" t="s">
        <v>27</v>
      </c>
      <c r="C289" s="5">
        <v>45764</v>
      </c>
      <c r="D289" s="4" t="s">
        <v>45</v>
      </c>
      <c r="E289" s="4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s="4" t="s">
        <v>62</v>
      </c>
      <c r="M289" s="4" t="s">
        <v>31</v>
      </c>
      <c r="N289">
        <v>47471</v>
      </c>
      <c r="O289">
        <v>12104</v>
      </c>
      <c r="P289">
        <v>5.5587999999999997</v>
      </c>
      <c r="Q289">
        <v>1228647</v>
      </c>
      <c r="R289">
        <f t="shared" si="8"/>
        <v>4.1037010630392617E-3</v>
      </c>
      <c r="S289">
        <f t="shared" si="9"/>
        <v>35367</v>
      </c>
    </row>
    <row r="290" spans="1:19" x14ac:dyDescent="0.3">
      <c r="A290" s="4" t="s">
        <v>549</v>
      </c>
      <c r="B290" s="4" t="s">
        <v>43</v>
      </c>
      <c r="C290" s="5">
        <v>45624</v>
      </c>
      <c r="D290" s="4" t="s">
        <v>45</v>
      </c>
      <c r="E290" s="4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s="4" t="s">
        <v>62</v>
      </c>
      <c r="M290" s="4"/>
      <c r="N290">
        <v>50862</v>
      </c>
      <c r="O290">
        <v>15305</v>
      </c>
      <c r="P290">
        <v>5.6486000000000001</v>
      </c>
      <c r="Q290">
        <v>1379539</v>
      </c>
      <c r="R290">
        <f t="shared" si="8"/>
        <v>2.0876539191715493E-3</v>
      </c>
      <c r="S290">
        <f t="shared" si="9"/>
        <v>35557</v>
      </c>
    </row>
    <row r="291" spans="1:19" x14ac:dyDescent="0.3">
      <c r="A291" s="4" t="s">
        <v>550</v>
      </c>
      <c r="B291" s="4" t="s">
        <v>33</v>
      </c>
      <c r="C291" s="5">
        <v>45646</v>
      </c>
      <c r="D291" s="4" t="s">
        <v>45</v>
      </c>
      <c r="E291" s="4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s="4" t="s">
        <v>37</v>
      </c>
      <c r="M291" s="4" t="s">
        <v>38</v>
      </c>
      <c r="N291">
        <v>58311</v>
      </c>
      <c r="O291">
        <v>10307</v>
      </c>
      <c r="P291">
        <v>5.7155999999999993</v>
      </c>
      <c r="Q291">
        <v>1164373</v>
      </c>
      <c r="R291">
        <f t="shared" si="8"/>
        <v>1.9735943722501295E-3</v>
      </c>
      <c r="S291">
        <f t="shared" si="9"/>
        <v>48004</v>
      </c>
    </row>
    <row r="292" spans="1:19" x14ac:dyDescent="0.3">
      <c r="A292" s="4" t="s">
        <v>552</v>
      </c>
      <c r="B292" s="4" t="s">
        <v>43</v>
      </c>
      <c r="C292" s="5">
        <v>45602</v>
      </c>
      <c r="D292" s="4" t="s">
        <v>74</v>
      </c>
      <c r="E292" s="4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s="4" t="s">
        <v>37</v>
      </c>
      <c r="M292" s="4" t="s">
        <v>38</v>
      </c>
      <c r="N292">
        <v>50862</v>
      </c>
      <c r="O292">
        <v>15305</v>
      </c>
      <c r="P292">
        <v>5.6486000000000001</v>
      </c>
      <c r="Q292">
        <v>1379539</v>
      </c>
      <c r="R292">
        <f t="shared" si="8"/>
        <v>3.4054854556485898E-3</v>
      </c>
      <c r="S292">
        <f t="shared" si="9"/>
        <v>35557</v>
      </c>
    </row>
    <row r="293" spans="1:19" x14ac:dyDescent="0.3">
      <c r="A293" s="4" t="s">
        <v>553</v>
      </c>
      <c r="B293" s="4" t="s">
        <v>43</v>
      </c>
      <c r="C293" s="5">
        <v>45613</v>
      </c>
      <c r="D293" s="4" t="s">
        <v>22</v>
      </c>
      <c r="E293" s="4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s="4" t="s">
        <v>30</v>
      </c>
      <c r="M293" s="4"/>
      <c r="N293">
        <v>50862</v>
      </c>
      <c r="O293">
        <v>15305</v>
      </c>
      <c r="P293">
        <v>5.6486000000000001</v>
      </c>
      <c r="Q293">
        <v>1379539</v>
      </c>
      <c r="R293">
        <f t="shared" si="8"/>
        <v>8.1041565334506673E-4</v>
      </c>
      <c r="S293">
        <f t="shared" si="9"/>
        <v>35557</v>
      </c>
    </row>
    <row r="294" spans="1:19" x14ac:dyDescent="0.3">
      <c r="A294" s="4" t="s">
        <v>555</v>
      </c>
      <c r="B294" s="4" t="s">
        <v>43</v>
      </c>
      <c r="C294" s="5">
        <v>45791</v>
      </c>
      <c r="D294" s="4" t="s">
        <v>22</v>
      </c>
      <c r="E294" s="4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s="4" t="s">
        <v>37</v>
      </c>
      <c r="M294" s="4" t="s">
        <v>19</v>
      </c>
      <c r="N294">
        <v>50862</v>
      </c>
      <c r="O294">
        <v>15305</v>
      </c>
      <c r="P294">
        <v>5.6486000000000001</v>
      </c>
      <c r="Q294">
        <v>1379539</v>
      </c>
      <c r="R294">
        <f t="shared" si="8"/>
        <v>2.1101251939959651E-3</v>
      </c>
      <c r="S294">
        <f t="shared" si="9"/>
        <v>35557</v>
      </c>
    </row>
    <row r="295" spans="1:19" x14ac:dyDescent="0.3">
      <c r="A295" s="4" t="s">
        <v>557</v>
      </c>
      <c r="B295" s="4" t="s">
        <v>43</v>
      </c>
      <c r="C295" s="5">
        <v>45462</v>
      </c>
      <c r="D295" s="4" t="s">
        <v>45</v>
      </c>
      <c r="E295" s="4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s="4" t="s">
        <v>37</v>
      </c>
      <c r="M295" s="4" t="s">
        <v>31</v>
      </c>
      <c r="N295">
        <v>50862</v>
      </c>
      <c r="O295">
        <v>15305</v>
      </c>
      <c r="P295">
        <v>5.6486000000000001</v>
      </c>
      <c r="Q295">
        <v>1379539</v>
      </c>
      <c r="R295">
        <f t="shared" si="8"/>
        <v>3.4939207952801622E-3</v>
      </c>
      <c r="S295">
        <f t="shared" si="9"/>
        <v>35557</v>
      </c>
    </row>
    <row r="296" spans="1:19" x14ac:dyDescent="0.3">
      <c r="A296" s="4" t="s">
        <v>559</v>
      </c>
      <c r="B296" s="4" t="s">
        <v>14</v>
      </c>
      <c r="C296" s="5">
        <v>45783</v>
      </c>
      <c r="D296" s="4" t="s">
        <v>52</v>
      </c>
      <c r="E296" s="4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s="4" t="s">
        <v>62</v>
      </c>
      <c r="M296" s="4" t="s">
        <v>25</v>
      </c>
      <c r="N296">
        <v>53484</v>
      </c>
      <c r="O296">
        <v>12307</v>
      </c>
      <c r="P296">
        <v>5.6557999999999993</v>
      </c>
      <c r="Q296">
        <v>1060357</v>
      </c>
      <c r="R296">
        <f t="shared" si="8"/>
        <v>2.0625129083884012E-3</v>
      </c>
      <c r="S296">
        <f t="shared" si="9"/>
        <v>41177</v>
      </c>
    </row>
    <row r="297" spans="1:19" x14ac:dyDescent="0.3">
      <c r="A297" s="4" t="s">
        <v>560</v>
      </c>
      <c r="B297" s="4" t="s">
        <v>14</v>
      </c>
      <c r="C297" s="5">
        <v>45699</v>
      </c>
      <c r="D297" s="4" t="s">
        <v>74</v>
      </c>
      <c r="E297" s="4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s="4" t="s">
        <v>30</v>
      </c>
      <c r="M297" s="4" t="s">
        <v>38</v>
      </c>
      <c r="N297">
        <v>53484</v>
      </c>
      <c r="O297">
        <v>12307</v>
      </c>
      <c r="P297">
        <v>5.6557999999999993</v>
      </c>
      <c r="Q297">
        <v>1060357</v>
      </c>
      <c r="R297">
        <f t="shared" si="8"/>
        <v>3.4422369070039619E-3</v>
      </c>
      <c r="S297">
        <f t="shared" si="9"/>
        <v>41177</v>
      </c>
    </row>
    <row r="298" spans="1:19" x14ac:dyDescent="0.3">
      <c r="A298" s="4" t="s">
        <v>562</v>
      </c>
      <c r="B298" s="4" t="s">
        <v>14</v>
      </c>
      <c r="C298" s="5">
        <v>45650</v>
      </c>
      <c r="D298" s="4" t="s">
        <v>22</v>
      </c>
      <c r="E298" s="4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s="4" t="s">
        <v>37</v>
      </c>
      <c r="M298" s="4" t="s">
        <v>38</v>
      </c>
      <c r="N298">
        <v>53484</v>
      </c>
      <c r="O298">
        <v>12307</v>
      </c>
      <c r="P298">
        <v>5.6557999999999993</v>
      </c>
      <c r="Q298">
        <v>1060357</v>
      </c>
      <c r="R298">
        <f t="shared" si="8"/>
        <v>2.065342144202377E-3</v>
      </c>
      <c r="S298">
        <f t="shared" si="9"/>
        <v>41177</v>
      </c>
    </row>
    <row r="299" spans="1:19" x14ac:dyDescent="0.3">
      <c r="A299" s="4" t="s">
        <v>564</v>
      </c>
      <c r="B299" s="4" t="s">
        <v>43</v>
      </c>
      <c r="C299" s="5">
        <v>45589</v>
      </c>
      <c r="D299" s="4" t="s">
        <v>52</v>
      </c>
      <c r="E299" s="4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s="4" t="s">
        <v>30</v>
      </c>
      <c r="M299" s="4" t="s">
        <v>31</v>
      </c>
      <c r="N299">
        <v>50862</v>
      </c>
      <c r="O299">
        <v>15305</v>
      </c>
      <c r="P299">
        <v>5.6486000000000001</v>
      </c>
      <c r="Q299">
        <v>1379539</v>
      </c>
      <c r="R299">
        <f t="shared" si="8"/>
        <v>3.1293062392581871E-3</v>
      </c>
      <c r="S299">
        <f t="shared" si="9"/>
        <v>35557</v>
      </c>
    </row>
    <row r="300" spans="1:19" x14ac:dyDescent="0.3">
      <c r="A300" s="4" t="s">
        <v>565</v>
      </c>
      <c r="B300" s="4" t="s">
        <v>43</v>
      </c>
      <c r="C300" s="5">
        <v>45530</v>
      </c>
      <c r="D300" s="4" t="s">
        <v>52</v>
      </c>
      <c r="E300" s="4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s="4" t="s">
        <v>62</v>
      </c>
      <c r="M300" s="4" t="s">
        <v>31</v>
      </c>
      <c r="N300">
        <v>50862</v>
      </c>
      <c r="O300">
        <v>15305</v>
      </c>
      <c r="P300">
        <v>5.6486000000000001</v>
      </c>
      <c r="Q300">
        <v>1379539</v>
      </c>
      <c r="R300">
        <f t="shared" si="8"/>
        <v>1.9216564374040894E-3</v>
      </c>
      <c r="S300">
        <f t="shared" si="9"/>
        <v>35557</v>
      </c>
    </row>
    <row r="301" spans="1:19" x14ac:dyDescent="0.3">
      <c r="A301" s="4" t="s">
        <v>566</v>
      </c>
      <c r="B301" s="4" t="s">
        <v>14</v>
      </c>
      <c r="C301" s="5">
        <v>45535</v>
      </c>
      <c r="D301" s="4" t="s">
        <v>45</v>
      </c>
      <c r="E301" s="4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s="4" t="s">
        <v>30</v>
      </c>
      <c r="M301" s="4" t="s">
        <v>19</v>
      </c>
      <c r="N301">
        <v>53484</v>
      </c>
      <c r="O301">
        <v>12307</v>
      </c>
      <c r="P301">
        <v>5.6557999999999993</v>
      </c>
      <c r="Q301">
        <v>1060357</v>
      </c>
      <c r="R301">
        <f t="shared" si="8"/>
        <v>4.4183232628256328E-3</v>
      </c>
      <c r="S301">
        <f t="shared" si="9"/>
        <v>41177</v>
      </c>
    </row>
    <row r="302" spans="1:19" x14ac:dyDescent="0.3">
      <c r="A302" s="4"/>
      <c r="B302" s="4"/>
      <c r="C302" s="5"/>
      <c r="D302" s="4"/>
      <c r="E302" s="4"/>
      <c r="L302" s="4"/>
      <c r="M302" s="4"/>
      <c r="R302" t="e">
        <f t="shared" si="8"/>
        <v>#DIV/0!</v>
      </c>
      <c r="S302">
        <f t="shared" si="9"/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E4E9-B0D1-4809-AB15-AF370D2953DB}">
  <dimension ref="A3:F9"/>
  <sheetViews>
    <sheetView workbookViewId="0">
      <selection activeCell="G9" sqref="G9"/>
    </sheetView>
  </sheetViews>
  <sheetFormatPr defaultRowHeight="14.4" x14ac:dyDescent="0.3"/>
  <cols>
    <col min="1" max="1" width="16" bestFit="1" customWidth="1"/>
    <col min="2" max="2" width="17.6640625" bestFit="1" customWidth="1"/>
    <col min="3" max="3" width="11.5546875" bestFit="1" customWidth="1"/>
    <col min="4" max="4" width="12.109375" bestFit="1" customWidth="1"/>
    <col min="5" max="5" width="14.77734375" bestFit="1" customWidth="1"/>
    <col min="6" max="6" width="15.33203125" bestFit="1" customWidth="1"/>
  </cols>
  <sheetData>
    <row r="3" spans="1:6" x14ac:dyDescent="0.3">
      <c r="A3" s="11" t="s">
        <v>619</v>
      </c>
      <c r="B3" t="s">
        <v>632</v>
      </c>
      <c r="C3" t="s">
        <v>616</v>
      </c>
      <c r="D3" t="s">
        <v>633</v>
      </c>
      <c r="E3" t="s">
        <v>634</v>
      </c>
      <c r="F3" t="s">
        <v>625</v>
      </c>
    </row>
    <row r="4" spans="1:6" x14ac:dyDescent="0.3">
      <c r="A4" s="12" t="s">
        <v>19</v>
      </c>
      <c r="B4" s="4">
        <v>1846272</v>
      </c>
      <c r="C4" s="4">
        <v>138793</v>
      </c>
      <c r="D4" s="4">
        <v>6434</v>
      </c>
      <c r="E4" s="4">
        <v>2891.5208333333335</v>
      </c>
      <c r="F4" s="4">
        <v>134.04166666666666</v>
      </c>
    </row>
    <row r="5" spans="1:6" x14ac:dyDescent="0.3">
      <c r="A5" s="12" t="s">
        <v>31</v>
      </c>
      <c r="B5" s="4">
        <v>2266053</v>
      </c>
      <c r="C5" s="4">
        <v>183346</v>
      </c>
      <c r="D5" s="4">
        <v>10032</v>
      </c>
      <c r="E5" s="4">
        <v>2736.5074626865671</v>
      </c>
      <c r="F5" s="4">
        <v>149.73134328358208</v>
      </c>
    </row>
    <row r="6" spans="1:6" x14ac:dyDescent="0.3">
      <c r="A6" s="12" t="s">
        <v>25</v>
      </c>
      <c r="B6" s="4">
        <v>1986356</v>
      </c>
      <c r="C6" s="4">
        <v>159783</v>
      </c>
      <c r="D6" s="4">
        <v>9872</v>
      </c>
      <c r="E6" s="4">
        <v>2754.8793103448274</v>
      </c>
      <c r="F6" s="4">
        <v>170.20689655172413</v>
      </c>
    </row>
    <row r="7" spans="1:6" x14ac:dyDescent="0.3">
      <c r="A7" s="12" t="s">
        <v>38</v>
      </c>
      <c r="B7" s="4">
        <v>2464864</v>
      </c>
      <c r="C7" s="4">
        <v>187909</v>
      </c>
      <c r="D7" s="4">
        <v>10689</v>
      </c>
      <c r="E7" s="4">
        <v>2646.605633802817</v>
      </c>
      <c r="F7" s="4">
        <v>150.54929577464787</v>
      </c>
    </row>
    <row r="8" spans="1:6" x14ac:dyDescent="0.3">
      <c r="A8" s="12" t="s">
        <v>631</v>
      </c>
      <c r="B8" s="4">
        <v>1830608</v>
      </c>
      <c r="C8" s="4">
        <v>150160</v>
      </c>
      <c r="D8" s="4">
        <v>8339</v>
      </c>
      <c r="E8" s="4">
        <v>2681.4285714285716</v>
      </c>
      <c r="F8" s="4">
        <v>148.91071428571428</v>
      </c>
    </row>
    <row r="9" spans="1:6" x14ac:dyDescent="0.3">
      <c r="A9" s="12" t="s">
        <v>620</v>
      </c>
      <c r="B9" s="4">
        <v>10394153</v>
      </c>
      <c r="C9" s="4">
        <v>819991</v>
      </c>
      <c r="D9" s="4">
        <v>45366</v>
      </c>
      <c r="E9" s="4">
        <v>2733.3033333333333</v>
      </c>
      <c r="F9" s="4">
        <v>151.22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8001-0CBC-4FCD-A808-129695758223}">
  <dimension ref="A3:E9"/>
  <sheetViews>
    <sheetView workbookViewId="0">
      <selection activeCell="F7" sqref="F7"/>
    </sheetView>
  </sheetViews>
  <sheetFormatPr defaultColWidth="27.33203125" defaultRowHeight="14.4" x14ac:dyDescent="0.3"/>
  <sheetData>
    <row r="3" spans="1:5" x14ac:dyDescent="0.3">
      <c r="A3" s="11" t="s">
        <v>619</v>
      </c>
      <c r="B3" t="s">
        <v>648</v>
      </c>
      <c r="C3" t="s">
        <v>643</v>
      </c>
      <c r="D3" t="s">
        <v>642</v>
      </c>
      <c r="E3" s="28" t="s">
        <v>651</v>
      </c>
    </row>
    <row r="4" spans="1:5" x14ac:dyDescent="0.3">
      <c r="A4" s="12" t="s">
        <v>19</v>
      </c>
      <c r="B4" s="4">
        <v>5.6554249999999966</v>
      </c>
      <c r="C4" s="4">
        <v>2.5601280212664388E-3</v>
      </c>
      <c r="D4" s="4">
        <v>1963774</v>
      </c>
      <c r="E4">
        <f>(B4+C4+D4)/3</f>
        <v>654593.219328376</v>
      </c>
    </row>
    <row r="5" spans="1:5" x14ac:dyDescent="0.3">
      <c r="A5" s="12" t="s">
        <v>31</v>
      </c>
      <c r="B5" s="4">
        <v>5.6478955223880565</v>
      </c>
      <c r="C5" s="4">
        <v>2.3492499039097876E-3</v>
      </c>
      <c r="D5" s="4">
        <v>2656474</v>
      </c>
      <c r="E5">
        <f t="shared" ref="E5:E8" si="0">(B5+C5+D5)/3</f>
        <v>885493.21674825752</v>
      </c>
    </row>
    <row r="6" spans="1:5" x14ac:dyDescent="0.3">
      <c r="A6" s="12" t="s">
        <v>25</v>
      </c>
      <c r="B6" s="4">
        <v>5.6436758620689629</v>
      </c>
      <c r="C6" s="4">
        <v>2.4161583452551234E-3</v>
      </c>
      <c r="D6" s="4">
        <v>2320238</v>
      </c>
      <c r="E6">
        <f t="shared" si="0"/>
        <v>773414.54869734019</v>
      </c>
    </row>
    <row r="7" spans="1:5" x14ac:dyDescent="0.3">
      <c r="A7" s="12" t="s">
        <v>38</v>
      </c>
      <c r="B7" s="4">
        <v>5.6549492957746441</v>
      </c>
      <c r="C7" s="4">
        <v>2.3488594703294681E-3</v>
      </c>
      <c r="D7" s="4">
        <v>2888210</v>
      </c>
      <c r="E7">
        <f t="shared" si="0"/>
        <v>962738.55243271834</v>
      </c>
    </row>
    <row r="8" spans="1:5" x14ac:dyDescent="0.3">
      <c r="A8" s="12" t="s">
        <v>631</v>
      </c>
      <c r="B8" s="4">
        <v>5.6507071428571392</v>
      </c>
      <c r="C8" s="4">
        <v>2.352973356015458E-3</v>
      </c>
      <c r="D8" s="4">
        <v>2254487</v>
      </c>
      <c r="E8">
        <f t="shared" si="0"/>
        <v>751497.55102003878</v>
      </c>
    </row>
    <row r="9" spans="1:5" x14ac:dyDescent="0.3">
      <c r="A9" s="12" t="s">
        <v>620</v>
      </c>
      <c r="B9" s="4">
        <v>5.6504786666666655</v>
      </c>
      <c r="C9" s="4">
        <v>2.3965286764593328E-3</v>
      </c>
      <c r="D9" s="4">
        <v>12083183</v>
      </c>
      <c r="E9" s="28">
        <f>(B9+C9+D9)/3</f>
        <v>4027729.5509583987</v>
      </c>
    </row>
  </sheetData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41C0-DCD8-4CD7-85CF-3E26CFBCD13D}">
  <dimension ref="A1:U301"/>
  <sheetViews>
    <sheetView topLeftCell="C1" workbookViewId="0">
      <selection activeCell="Q1" sqref="Q1"/>
    </sheetView>
  </sheetViews>
  <sheetFormatPr defaultColWidth="17" defaultRowHeight="14.4" x14ac:dyDescent="0.3"/>
  <sheetData>
    <row r="1" spans="1:21" x14ac:dyDescent="0.3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652</v>
      </c>
      <c r="O1" s="6" t="s">
        <v>653</v>
      </c>
      <c r="P1" s="6" t="s">
        <v>635</v>
      </c>
      <c r="Q1" s="6" t="s">
        <v>649</v>
      </c>
      <c r="R1" s="6" t="s">
        <v>640</v>
      </c>
      <c r="S1" s="7" t="s">
        <v>645</v>
      </c>
      <c r="T1" s="21" t="s">
        <v>644</v>
      </c>
      <c r="U1" s="21" t="s">
        <v>646</v>
      </c>
    </row>
    <row r="2" spans="1:21" x14ac:dyDescent="0.3">
      <c r="A2" s="13" t="s">
        <v>13</v>
      </c>
      <c r="B2" s="14" t="s">
        <v>14</v>
      </c>
      <c r="C2" s="15">
        <v>45649</v>
      </c>
      <c r="D2" s="14" t="s">
        <v>16</v>
      </c>
      <c r="E2" s="14" t="s">
        <v>17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14" t="s">
        <v>62</v>
      </c>
      <c r="M2" s="14" t="s">
        <v>19</v>
      </c>
      <c r="N2" s="8">
        <v>53484</v>
      </c>
      <c r="O2" s="8">
        <v>12307</v>
      </c>
      <c r="P2" s="8">
        <v>5.6557999999999993</v>
      </c>
      <c r="Q2" s="8">
        <v>1060357</v>
      </c>
      <c r="R2" s="8">
        <f>(F2+K2)/Q2</f>
        <v>1.3919840204761227E-3</v>
      </c>
      <c r="S2" s="22">
        <f>N2-O2</f>
        <v>41177</v>
      </c>
      <c r="T2">
        <f>WEEKNUM(C2)</f>
        <v>52</v>
      </c>
      <c r="U2">
        <f>AVERAGE(S2:S4)</f>
        <v>43452.666666666664</v>
      </c>
    </row>
    <row r="3" spans="1:21" x14ac:dyDescent="0.3">
      <c r="A3" s="17" t="s">
        <v>20</v>
      </c>
      <c r="B3" s="18" t="s">
        <v>14</v>
      </c>
      <c r="C3" s="19">
        <v>45750</v>
      </c>
      <c r="D3" s="18" t="s">
        <v>22</v>
      </c>
      <c r="E3" s="18" t="s">
        <v>23</v>
      </c>
      <c r="F3" s="9">
        <v>4054</v>
      </c>
      <c r="G3" s="9">
        <v>389</v>
      </c>
      <c r="H3" s="9">
        <v>493</v>
      </c>
      <c r="I3" s="9">
        <v>64864</v>
      </c>
      <c r="J3" s="9">
        <v>64383</v>
      </c>
      <c r="K3" s="9">
        <v>117</v>
      </c>
      <c r="L3" s="18" t="s">
        <v>30</v>
      </c>
      <c r="M3" s="18" t="s">
        <v>25</v>
      </c>
      <c r="N3" s="9">
        <v>53484</v>
      </c>
      <c r="O3" s="9">
        <v>12307</v>
      </c>
      <c r="P3" s="9">
        <v>5.6557999999999993</v>
      </c>
      <c r="Q3" s="9">
        <v>1060357</v>
      </c>
      <c r="R3" s="9">
        <f t="shared" ref="R3:R66" si="0">(F3+K3)/Q3</f>
        <v>3.9335808600311026E-3</v>
      </c>
      <c r="S3" s="23">
        <f t="shared" ref="S3:S66" si="1">N3-O3</f>
        <v>41177</v>
      </c>
      <c r="T3">
        <f t="shared" ref="T3:T66" si="2">WEEKNUM(C3)</f>
        <v>14</v>
      </c>
      <c r="U3">
        <f t="shared" ref="U3:U66" si="3">AVERAGE(S3:S5)</f>
        <v>41516</v>
      </c>
    </row>
    <row r="4" spans="1:21" x14ac:dyDescent="0.3">
      <c r="A4" s="13" t="s">
        <v>32</v>
      </c>
      <c r="B4" s="14" t="s">
        <v>33</v>
      </c>
      <c r="C4" s="15">
        <v>45516</v>
      </c>
      <c r="D4" s="14" t="s">
        <v>35</v>
      </c>
      <c r="E4" s="14" t="s">
        <v>36</v>
      </c>
      <c r="F4" s="8">
        <v>2404</v>
      </c>
      <c r="G4" s="8">
        <v>363</v>
      </c>
      <c r="H4" s="8">
        <v>138</v>
      </c>
      <c r="I4" s="8">
        <v>19232</v>
      </c>
      <c r="J4" s="8">
        <v>18636</v>
      </c>
      <c r="K4" s="8">
        <v>128</v>
      </c>
      <c r="L4" s="14" t="s">
        <v>37</v>
      </c>
      <c r="M4" s="14" t="s">
        <v>38</v>
      </c>
      <c r="N4" s="8">
        <v>58311</v>
      </c>
      <c r="O4" s="8">
        <v>10307</v>
      </c>
      <c r="P4" s="8">
        <v>5.7155999999999993</v>
      </c>
      <c r="Q4" s="8">
        <v>1164373</v>
      </c>
      <c r="R4" s="8">
        <f t="shared" si="0"/>
        <v>2.1745609010171141E-3</v>
      </c>
      <c r="S4" s="22">
        <f t="shared" si="1"/>
        <v>48004</v>
      </c>
      <c r="T4">
        <f t="shared" si="2"/>
        <v>33</v>
      </c>
      <c r="U4">
        <f t="shared" si="3"/>
        <v>39579.333333333336</v>
      </c>
    </row>
    <row r="5" spans="1:21" x14ac:dyDescent="0.3">
      <c r="A5" s="17" t="s">
        <v>26</v>
      </c>
      <c r="B5" s="18" t="s">
        <v>27</v>
      </c>
      <c r="C5" s="19">
        <v>45789</v>
      </c>
      <c r="D5" s="18" t="s">
        <v>16</v>
      </c>
      <c r="E5" s="18" t="s">
        <v>29</v>
      </c>
      <c r="F5" s="9">
        <v>2795</v>
      </c>
      <c r="G5" s="9">
        <v>105</v>
      </c>
      <c r="H5" s="9">
        <v>49</v>
      </c>
      <c r="I5" s="9">
        <v>53105</v>
      </c>
      <c r="J5" s="9">
        <v>52307</v>
      </c>
      <c r="K5" s="9">
        <v>204</v>
      </c>
      <c r="L5" s="18" t="s">
        <v>30</v>
      </c>
      <c r="M5" s="18" t="s">
        <v>31</v>
      </c>
      <c r="N5" s="9">
        <v>47471</v>
      </c>
      <c r="O5" s="9">
        <v>12104</v>
      </c>
      <c r="P5" s="9">
        <v>5.5587999999999997</v>
      </c>
      <c r="Q5" s="9">
        <v>1228647</v>
      </c>
      <c r="R5" s="9">
        <f t="shared" si="0"/>
        <v>2.4408963681187518E-3</v>
      </c>
      <c r="S5" s="23">
        <f t="shared" si="1"/>
        <v>35367</v>
      </c>
      <c r="T5">
        <f t="shared" si="2"/>
        <v>20</v>
      </c>
      <c r="U5">
        <f t="shared" si="3"/>
        <v>35430.333333333336</v>
      </c>
    </row>
    <row r="6" spans="1:21" x14ac:dyDescent="0.3">
      <c r="A6" s="13" t="s">
        <v>39</v>
      </c>
      <c r="B6" s="14" t="s">
        <v>27</v>
      </c>
      <c r="C6" s="15">
        <v>45469</v>
      </c>
      <c r="D6" s="14" t="s">
        <v>16</v>
      </c>
      <c r="E6" s="14" t="s">
        <v>29</v>
      </c>
      <c r="F6" s="8">
        <v>3557</v>
      </c>
      <c r="G6" s="8">
        <v>687</v>
      </c>
      <c r="H6" s="8">
        <v>424</v>
      </c>
      <c r="I6" s="8">
        <v>71140</v>
      </c>
      <c r="J6" s="8">
        <v>70701</v>
      </c>
      <c r="K6" s="8">
        <v>224</v>
      </c>
      <c r="L6" s="14" t="s">
        <v>37</v>
      </c>
      <c r="M6" s="14" t="s">
        <v>19</v>
      </c>
      <c r="N6" s="8">
        <v>47471</v>
      </c>
      <c r="O6" s="8">
        <v>12104</v>
      </c>
      <c r="P6" s="8">
        <v>5.5587999999999997</v>
      </c>
      <c r="Q6" s="8">
        <v>1228647</v>
      </c>
      <c r="R6" s="8">
        <f t="shared" si="0"/>
        <v>3.0773688455675227E-3</v>
      </c>
      <c r="S6" s="22">
        <f t="shared" si="1"/>
        <v>35367</v>
      </c>
      <c r="T6">
        <f t="shared" si="2"/>
        <v>26</v>
      </c>
      <c r="U6">
        <f t="shared" si="3"/>
        <v>37367</v>
      </c>
    </row>
    <row r="7" spans="1:21" x14ac:dyDescent="0.3">
      <c r="A7" s="17" t="s">
        <v>42</v>
      </c>
      <c r="B7" s="18" t="s">
        <v>43</v>
      </c>
      <c r="C7" s="19">
        <v>45596</v>
      </c>
      <c r="D7" s="18" t="s">
        <v>45</v>
      </c>
      <c r="E7" s="18" t="s">
        <v>46</v>
      </c>
      <c r="F7" s="9">
        <v>2945</v>
      </c>
      <c r="G7" s="9">
        <v>930</v>
      </c>
      <c r="H7" s="9">
        <v>355</v>
      </c>
      <c r="I7" s="9">
        <v>23560</v>
      </c>
      <c r="J7" s="9">
        <v>23275</v>
      </c>
      <c r="K7" s="9">
        <v>256</v>
      </c>
      <c r="L7" s="18" t="s">
        <v>30</v>
      </c>
      <c r="M7" s="18" t="s">
        <v>25</v>
      </c>
      <c r="N7" s="9">
        <v>50862</v>
      </c>
      <c r="O7" s="9">
        <v>15305</v>
      </c>
      <c r="P7" s="9">
        <v>5.6486000000000001</v>
      </c>
      <c r="Q7" s="9">
        <v>1379539</v>
      </c>
      <c r="R7" s="9">
        <f t="shared" si="0"/>
        <v>2.3203403455792117E-3</v>
      </c>
      <c r="S7" s="23">
        <f t="shared" si="1"/>
        <v>35557</v>
      </c>
      <c r="T7">
        <f t="shared" si="2"/>
        <v>44</v>
      </c>
      <c r="U7">
        <f t="shared" si="3"/>
        <v>37367</v>
      </c>
    </row>
    <row r="8" spans="1:21" x14ac:dyDescent="0.3">
      <c r="A8" s="13" t="s">
        <v>47</v>
      </c>
      <c r="B8" s="14" t="s">
        <v>14</v>
      </c>
      <c r="C8" s="15">
        <v>45467</v>
      </c>
      <c r="D8" s="14" t="s">
        <v>45</v>
      </c>
      <c r="E8" s="14" t="s">
        <v>49</v>
      </c>
      <c r="F8" s="8">
        <v>3860</v>
      </c>
      <c r="G8" s="8">
        <v>201</v>
      </c>
      <c r="H8" s="8">
        <v>279</v>
      </c>
      <c r="I8" s="8">
        <v>61760</v>
      </c>
      <c r="J8" s="8">
        <v>61660</v>
      </c>
      <c r="K8" s="8">
        <v>235</v>
      </c>
      <c r="L8" s="14" t="s">
        <v>30</v>
      </c>
      <c r="M8" s="14" t="s">
        <v>25</v>
      </c>
      <c r="N8" s="8">
        <v>53484</v>
      </c>
      <c r="O8" s="8">
        <v>12307</v>
      </c>
      <c r="P8" s="8">
        <v>5.6557999999999993</v>
      </c>
      <c r="Q8" s="8">
        <v>1060357</v>
      </c>
      <c r="R8" s="8">
        <f t="shared" si="0"/>
        <v>3.8619068860770477E-3</v>
      </c>
      <c r="S8" s="22">
        <f t="shared" si="1"/>
        <v>41177</v>
      </c>
      <c r="T8">
        <f t="shared" si="2"/>
        <v>26</v>
      </c>
      <c r="U8">
        <f t="shared" si="3"/>
        <v>37367</v>
      </c>
    </row>
    <row r="9" spans="1:21" x14ac:dyDescent="0.3">
      <c r="A9" s="17" t="s">
        <v>50</v>
      </c>
      <c r="B9" s="18" t="s">
        <v>27</v>
      </c>
      <c r="C9" s="19">
        <v>45486</v>
      </c>
      <c r="D9" s="18" t="s">
        <v>52</v>
      </c>
      <c r="E9" s="18" t="s">
        <v>53</v>
      </c>
      <c r="F9" s="9">
        <v>3929</v>
      </c>
      <c r="G9" s="9">
        <v>262</v>
      </c>
      <c r="H9" s="9">
        <v>278</v>
      </c>
      <c r="I9" s="9">
        <v>43219</v>
      </c>
      <c r="J9" s="9">
        <v>42841</v>
      </c>
      <c r="K9" s="9">
        <v>39</v>
      </c>
      <c r="L9" s="18" t="s">
        <v>37</v>
      </c>
      <c r="M9" s="18" t="s">
        <v>38</v>
      </c>
      <c r="N9" s="9">
        <v>47471</v>
      </c>
      <c r="O9" s="9">
        <v>12104</v>
      </c>
      <c r="P9" s="9">
        <v>5.5587999999999997</v>
      </c>
      <c r="Q9" s="9">
        <v>1228647</v>
      </c>
      <c r="R9" s="9">
        <f t="shared" si="0"/>
        <v>3.2295687858270115E-3</v>
      </c>
      <c r="S9" s="23">
        <f t="shared" si="1"/>
        <v>35367</v>
      </c>
      <c r="T9">
        <f t="shared" si="2"/>
        <v>28</v>
      </c>
      <c r="U9">
        <f t="shared" si="3"/>
        <v>35493.666666666664</v>
      </c>
    </row>
    <row r="10" spans="1:21" x14ac:dyDescent="0.3">
      <c r="A10" s="13" t="s">
        <v>54</v>
      </c>
      <c r="B10" s="14" t="s">
        <v>43</v>
      </c>
      <c r="C10" s="15">
        <v>45534</v>
      </c>
      <c r="D10" s="14" t="s">
        <v>22</v>
      </c>
      <c r="E10" s="14" t="s">
        <v>56</v>
      </c>
      <c r="F10" s="8">
        <v>3784</v>
      </c>
      <c r="G10" s="8">
        <v>808</v>
      </c>
      <c r="H10" s="8">
        <v>404</v>
      </c>
      <c r="I10" s="8">
        <v>56760</v>
      </c>
      <c r="J10" s="8">
        <v>56343</v>
      </c>
      <c r="K10" s="8">
        <v>131</v>
      </c>
      <c r="L10" s="14" t="s">
        <v>30</v>
      </c>
      <c r="M10" s="14" t="s">
        <v>25</v>
      </c>
      <c r="N10" s="8">
        <v>50862</v>
      </c>
      <c r="O10" s="8">
        <v>15305</v>
      </c>
      <c r="P10" s="8">
        <v>5.6486000000000001</v>
      </c>
      <c r="Q10" s="8">
        <v>1379539</v>
      </c>
      <c r="R10" s="8">
        <f t="shared" si="0"/>
        <v>2.8379045463738247E-3</v>
      </c>
      <c r="S10" s="22">
        <f t="shared" si="1"/>
        <v>35557</v>
      </c>
      <c r="T10">
        <f t="shared" si="2"/>
        <v>35</v>
      </c>
      <c r="U10">
        <f t="shared" si="3"/>
        <v>39706</v>
      </c>
    </row>
    <row r="11" spans="1:21" x14ac:dyDescent="0.3">
      <c r="A11" s="17" t="s">
        <v>57</v>
      </c>
      <c r="B11" s="18" t="s">
        <v>43</v>
      </c>
      <c r="C11" s="19">
        <v>45727</v>
      </c>
      <c r="D11" s="18" t="s">
        <v>52</v>
      </c>
      <c r="E11" s="18" t="s">
        <v>59</v>
      </c>
      <c r="F11" s="9">
        <v>4241</v>
      </c>
      <c r="G11" s="9">
        <v>902</v>
      </c>
      <c r="H11" s="9">
        <v>47</v>
      </c>
      <c r="I11" s="9">
        <v>72097</v>
      </c>
      <c r="J11" s="9">
        <v>71598</v>
      </c>
      <c r="K11" s="9">
        <v>167</v>
      </c>
      <c r="L11" s="18" t="s">
        <v>30</v>
      </c>
      <c r="M11" s="18" t="s">
        <v>25</v>
      </c>
      <c r="N11" s="9">
        <v>50862</v>
      </c>
      <c r="O11" s="9">
        <v>15305</v>
      </c>
      <c r="P11" s="9">
        <v>5.6486000000000001</v>
      </c>
      <c r="Q11" s="9">
        <v>1379539</v>
      </c>
      <c r="R11" s="9">
        <f t="shared" si="0"/>
        <v>3.1952703040653437E-3</v>
      </c>
      <c r="S11" s="23">
        <f t="shared" si="1"/>
        <v>35557</v>
      </c>
      <c r="T11">
        <f t="shared" si="2"/>
        <v>11</v>
      </c>
      <c r="U11">
        <f t="shared" si="3"/>
        <v>39706</v>
      </c>
    </row>
    <row r="12" spans="1:21" x14ac:dyDescent="0.3">
      <c r="A12" s="13" t="s">
        <v>60</v>
      </c>
      <c r="B12" s="14" t="s">
        <v>33</v>
      </c>
      <c r="C12" s="15">
        <v>45690</v>
      </c>
      <c r="D12" s="14" t="s">
        <v>35</v>
      </c>
      <c r="E12" s="14" t="s">
        <v>36</v>
      </c>
      <c r="F12" s="8">
        <v>1792</v>
      </c>
      <c r="G12" s="8">
        <v>614</v>
      </c>
      <c r="H12" s="8">
        <v>497</v>
      </c>
      <c r="I12" s="8">
        <v>25088</v>
      </c>
      <c r="J12" s="8">
        <v>24675</v>
      </c>
      <c r="K12" s="8">
        <v>65</v>
      </c>
      <c r="L12" s="14" t="s">
        <v>62</v>
      </c>
      <c r="M12" s="14" t="s">
        <v>38</v>
      </c>
      <c r="N12" s="8">
        <v>58311</v>
      </c>
      <c r="O12" s="8">
        <v>10307</v>
      </c>
      <c r="P12" s="8">
        <v>5.7155999999999993</v>
      </c>
      <c r="Q12" s="8">
        <v>1164373</v>
      </c>
      <c r="R12" s="8">
        <f t="shared" si="0"/>
        <v>1.5948497603431202E-3</v>
      </c>
      <c r="S12" s="22">
        <f t="shared" si="1"/>
        <v>48004</v>
      </c>
      <c r="T12">
        <f t="shared" si="2"/>
        <v>6</v>
      </c>
      <c r="U12">
        <f t="shared" si="3"/>
        <v>39642.666666666664</v>
      </c>
    </row>
    <row r="13" spans="1:21" x14ac:dyDescent="0.3">
      <c r="A13" s="17" t="s">
        <v>63</v>
      </c>
      <c r="B13" s="18" t="s">
        <v>43</v>
      </c>
      <c r="C13" s="19">
        <v>45494</v>
      </c>
      <c r="D13" s="18" t="s">
        <v>16</v>
      </c>
      <c r="E13" s="18" t="s">
        <v>65</v>
      </c>
      <c r="F13" s="9">
        <v>1946</v>
      </c>
      <c r="G13" s="9">
        <v>686</v>
      </c>
      <c r="H13" s="9">
        <v>377</v>
      </c>
      <c r="I13" s="9">
        <v>23352</v>
      </c>
      <c r="J13" s="9">
        <v>22982</v>
      </c>
      <c r="K13" s="9">
        <v>213</v>
      </c>
      <c r="L13" s="18" t="s">
        <v>62</v>
      </c>
      <c r="M13" s="18" t="s">
        <v>31</v>
      </c>
      <c r="N13" s="9">
        <v>50862</v>
      </c>
      <c r="O13" s="9">
        <v>15305</v>
      </c>
      <c r="P13" s="9">
        <v>5.6486000000000001</v>
      </c>
      <c r="Q13" s="9">
        <v>1379539</v>
      </c>
      <c r="R13" s="9">
        <f t="shared" si="0"/>
        <v>1.5650155595456163E-3</v>
      </c>
      <c r="S13" s="23">
        <f t="shared" si="1"/>
        <v>35557</v>
      </c>
      <c r="T13">
        <f t="shared" si="2"/>
        <v>30</v>
      </c>
      <c r="U13">
        <f t="shared" si="3"/>
        <v>35493.666666666664</v>
      </c>
    </row>
    <row r="14" spans="1:21" x14ac:dyDescent="0.3">
      <c r="A14" s="13" t="s">
        <v>66</v>
      </c>
      <c r="B14" s="14" t="s">
        <v>27</v>
      </c>
      <c r="C14" s="15">
        <v>45614</v>
      </c>
      <c r="D14" s="14" t="s">
        <v>45</v>
      </c>
      <c r="E14" s="14" t="s">
        <v>68</v>
      </c>
      <c r="F14" s="8">
        <v>1171</v>
      </c>
      <c r="G14" s="8">
        <v>286</v>
      </c>
      <c r="H14" s="8">
        <v>231</v>
      </c>
      <c r="I14" s="8">
        <v>22249</v>
      </c>
      <c r="J14" s="8">
        <v>21282</v>
      </c>
      <c r="K14" s="8">
        <v>114</v>
      </c>
      <c r="L14" s="14" t="s">
        <v>37</v>
      </c>
      <c r="M14" s="14" t="s">
        <v>19</v>
      </c>
      <c r="N14" s="8">
        <v>47471</v>
      </c>
      <c r="O14" s="8">
        <v>12104</v>
      </c>
      <c r="P14" s="8">
        <v>5.5587999999999997</v>
      </c>
      <c r="Q14" s="8">
        <v>1228647</v>
      </c>
      <c r="R14" s="8">
        <f t="shared" si="0"/>
        <v>1.0458658996440799E-3</v>
      </c>
      <c r="S14" s="22">
        <f t="shared" si="1"/>
        <v>35367</v>
      </c>
      <c r="T14">
        <f t="shared" si="2"/>
        <v>47</v>
      </c>
      <c r="U14">
        <f t="shared" si="3"/>
        <v>35493.666666666664</v>
      </c>
    </row>
    <row r="15" spans="1:21" x14ac:dyDescent="0.3">
      <c r="A15" s="17" t="s">
        <v>69</v>
      </c>
      <c r="B15" s="18" t="s">
        <v>43</v>
      </c>
      <c r="C15" s="19">
        <v>45704</v>
      </c>
      <c r="D15" s="18" t="s">
        <v>35</v>
      </c>
      <c r="E15" s="18" t="s">
        <v>71</v>
      </c>
      <c r="F15" s="9">
        <v>4242</v>
      </c>
      <c r="G15" s="9">
        <v>555</v>
      </c>
      <c r="H15" s="9">
        <v>131</v>
      </c>
      <c r="I15" s="9">
        <v>33936</v>
      </c>
      <c r="J15" s="9">
        <v>33802</v>
      </c>
      <c r="K15" s="9">
        <v>265</v>
      </c>
      <c r="L15" s="18" t="s">
        <v>62</v>
      </c>
      <c r="M15" s="18"/>
      <c r="N15" s="9">
        <v>50862</v>
      </c>
      <c r="O15" s="9">
        <v>15305</v>
      </c>
      <c r="P15" s="9">
        <v>5.6486000000000001</v>
      </c>
      <c r="Q15" s="9">
        <v>1379539</v>
      </c>
      <c r="R15" s="9">
        <f t="shared" si="0"/>
        <v>3.2670334075368657E-3</v>
      </c>
      <c r="S15" s="23">
        <f t="shared" si="1"/>
        <v>35557</v>
      </c>
      <c r="T15">
        <f t="shared" si="2"/>
        <v>8</v>
      </c>
      <c r="U15">
        <f t="shared" si="3"/>
        <v>35557</v>
      </c>
    </row>
    <row r="16" spans="1:21" x14ac:dyDescent="0.3">
      <c r="A16" s="13" t="s">
        <v>72</v>
      </c>
      <c r="B16" s="14" t="s">
        <v>43</v>
      </c>
      <c r="C16" s="15">
        <v>45589</v>
      </c>
      <c r="D16" s="14" t="s">
        <v>74</v>
      </c>
      <c r="E16" s="14" t="s">
        <v>75</v>
      </c>
      <c r="F16" s="8">
        <v>3888</v>
      </c>
      <c r="G16" s="8">
        <v>604</v>
      </c>
      <c r="H16" s="8">
        <v>128</v>
      </c>
      <c r="I16" s="8">
        <v>77760</v>
      </c>
      <c r="J16" s="8">
        <v>77167</v>
      </c>
      <c r="K16" s="8">
        <v>20</v>
      </c>
      <c r="L16" s="14" t="s">
        <v>62</v>
      </c>
      <c r="M16" s="14" t="s">
        <v>19</v>
      </c>
      <c r="N16" s="8">
        <v>50862</v>
      </c>
      <c r="O16" s="8">
        <v>15305</v>
      </c>
      <c r="P16" s="8">
        <v>5.6486000000000001</v>
      </c>
      <c r="Q16" s="8">
        <v>1379539</v>
      </c>
      <c r="R16" s="8">
        <f t="shared" si="0"/>
        <v>2.8328303875425052E-3</v>
      </c>
      <c r="S16" s="22">
        <f t="shared" si="1"/>
        <v>35557</v>
      </c>
      <c r="T16">
        <f t="shared" si="2"/>
        <v>43</v>
      </c>
      <c r="U16">
        <f t="shared" si="3"/>
        <v>35557</v>
      </c>
    </row>
    <row r="17" spans="1:21" x14ac:dyDescent="0.3">
      <c r="A17" s="17" t="s">
        <v>76</v>
      </c>
      <c r="B17" s="18" t="s">
        <v>43</v>
      </c>
      <c r="C17" s="19">
        <v>45530</v>
      </c>
      <c r="D17" s="18" t="s">
        <v>22</v>
      </c>
      <c r="E17" s="18" t="s">
        <v>56</v>
      </c>
      <c r="F17" s="9">
        <v>3452</v>
      </c>
      <c r="G17" s="9">
        <v>377</v>
      </c>
      <c r="H17" s="9">
        <v>360</v>
      </c>
      <c r="I17" s="9">
        <v>55232</v>
      </c>
      <c r="J17" s="9">
        <v>55075</v>
      </c>
      <c r="K17" s="9">
        <v>87</v>
      </c>
      <c r="L17" s="18" t="s">
        <v>62</v>
      </c>
      <c r="M17" s="18" t="s">
        <v>31</v>
      </c>
      <c r="N17" s="9">
        <v>50862</v>
      </c>
      <c r="O17" s="9">
        <v>15305</v>
      </c>
      <c r="P17" s="9">
        <v>5.6486000000000001</v>
      </c>
      <c r="Q17" s="9">
        <v>1379539</v>
      </c>
      <c r="R17" s="9">
        <f t="shared" si="0"/>
        <v>2.5653497291486505E-3</v>
      </c>
      <c r="S17" s="23">
        <f t="shared" si="1"/>
        <v>35557</v>
      </c>
      <c r="T17">
        <f t="shared" si="2"/>
        <v>35</v>
      </c>
      <c r="U17">
        <f t="shared" si="3"/>
        <v>39706</v>
      </c>
    </row>
    <row r="18" spans="1:21" x14ac:dyDescent="0.3">
      <c r="A18" s="13" t="s">
        <v>78</v>
      </c>
      <c r="B18" s="14" t="s">
        <v>43</v>
      </c>
      <c r="C18" s="15">
        <v>45782</v>
      </c>
      <c r="D18" s="14" t="s">
        <v>22</v>
      </c>
      <c r="E18" s="14" t="s">
        <v>56</v>
      </c>
      <c r="F18" s="8">
        <v>4441</v>
      </c>
      <c r="G18" s="8">
        <v>511</v>
      </c>
      <c r="H18" s="8">
        <v>70</v>
      </c>
      <c r="I18" s="8">
        <v>53292</v>
      </c>
      <c r="J18" s="8">
        <v>53082</v>
      </c>
      <c r="K18" s="8">
        <v>159</v>
      </c>
      <c r="L18" s="14" t="s">
        <v>37</v>
      </c>
      <c r="M18" s="14" t="s">
        <v>38</v>
      </c>
      <c r="N18" s="8">
        <v>50862</v>
      </c>
      <c r="O18" s="8">
        <v>15305</v>
      </c>
      <c r="P18" s="8">
        <v>5.6486000000000001</v>
      </c>
      <c r="Q18" s="8">
        <v>1379539</v>
      </c>
      <c r="R18" s="8">
        <f t="shared" si="0"/>
        <v>3.3344472320101133E-3</v>
      </c>
      <c r="S18" s="22">
        <f t="shared" si="1"/>
        <v>35557</v>
      </c>
      <c r="T18">
        <f t="shared" si="2"/>
        <v>19</v>
      </c>
      <c r="U18">
        <f t="shared" si="3"/>
        <v>43855</v>
      </c>
    </row>
    <row r="19" spans="1:21" x14ac:dyDescent="0.3">
      <c r="A19" s="17" t="s">
        <v>80</v>
      </c>
      <c r="B19" s="18" t="s">
        <v>33</v>
      </c>
      <c r="C19" s="19">
        <v>45523</v>
      </c>
      <c r="D19" s="18" t="s">
        <v>16</v>
      </c>
      <c r="E19" s="18" t="s">
        <v>82</v>
      </c>
      <c r="F19" s="9">
        <v>3000</v>
      </c>
      <c r="G19" s="9">
        <v>382</v>
      </c>
      <c r="H19" s="9">
        <v>325</v>
      </c>
      <c r="I19" s="9">
        <v>36000</v>
      </c>
      <c r="J19" s="9">
        <v>35819</v>
      </c>
      <c r="K19" s="9">
        <v>19</v>
      </c>
      <c r="L19" s="18" t="s">
        <v>62</v>
      </c>
      <c r="M19" s="18" t="s">
        <v>19</v>
      </c>
      <c r="N19" s="9">
        <v>58311</v>
      </c>
      <c r="O19" s="9">
        <v>10307</v>
      </c>
      <c r="P19" s="9">
        <v>5.7155999999999993</v>
      </c>
      <c r="Q19" s="9">
        <v>1164373</v>
      </c>
      <c r="R19" s="9">
        <f t="shared" si="0"/>
        <v>2.5928117536219062E-3</v>
      </c>
      <c r="S19" s="23">
        <f t="shared" si="1"/>
        <v>48004</v>
      </c>
      <c r="T19">
        <f t="shared" si="2"/>
        <v>34</v>
      </c>
      <c r="U19">
        <f t="shared" si="3"/>
        <v>48004</v>
      </c>
    </row>
    <row r="20" spans="1:21" x14ac:dyDescent="0.3">
      <c r="A20" s="13" t="s">
        <v>83</v>
      </c>
      <c r="B20" s="14" t="s">
        <v>33</v>
      </c>
      <c r="C20" s="15">
        <v>45466</v>
      </c>
      <c r="D20" s="14" t="s">
        <v>74</v>
      </c>
      <c r="E20" s="14" t="s">
        <v>85</v>
      </c>
      <c r="F20" s="8">
        <v>1071</v>
      </c>
      <c r="G20" s="8">
        <v>519</v>
      </c>
      <c r="H20" s="8">
        <v>22</v>
      </c>
      <c r="I20" s="8">
        <v>16065</v>
      </c>
      <c r="J20" s="8">
        <v>15865</v>
      </c>
      <c r="K20" s="8">
        <v>103</v>
      </c>
      <c r="L20" s="14" t="s">
        <v>30</v>
      </c>
      <c r="M20" s="14" t="s">
        <v>38</v>
      </c>
      <c r="N20" s="8">
        <v>58311</v>
      </c>
      <c r="O20" s="8">
        <v>10307</v>
      </c>
      <c r="P20" s="8">
        <v>5.7155999999999993</v>
      </c>
      <c r="Q20" s="8">
        <v>1164373</v>
      </c>
      <c r="R20" s="8">
        <f t="shared" si="0"/>
        <v>1.0082679691129904E-3</v>
      </c>
      <c r="S20" s="22">
        <f t="shared" si="1"/>
        <v>48004</v>
      </c>
      <c r="T20">
        <f t="shared" si="2"/>
        <v>26</v>
      </c>
      <c r="U20">
        <f t="shared" si="3"/>
        <v>48004</v>
      </c>
    </row>
    <row r="21" spans="1:21" x14ac:dyDescent="0.3">
      <c r="A21" s="17" t="s">
        <v>86</v>
      </c>
      <c r="B21" s="18" t="s">
        <v>33</v>
      </c>
      <c r="C21" s="19">
        <v>45544</v>
      </c>
      <c r="D21" s="18" t="s">
        <v>45</v>
      </c>
      <c r="E21" s="18" t="s">
        <v>88</v>
      </c>
      <c r="F21" s="9">
        <v>4054</v>
      </c>
      <c r="G21" s="9">
        <v>488</v>
      </c>
      <c r="H21" s="9">
        <v>373</v>
      </c>
      <c r="I21" s="9">
        <v>77026</v>
      </c>
      <c r="J21" s="9">
        <v>76881</v>
      </c>
      <c r="K21" s="9">
        <v>25</v>
      </c>
      <c r="L21" s="18" t="s">
        <v>30</v>
      </c>
      <c r="M21" s="18" t="s">
        <v>19</v>
      </c>
      <c r="N21" s="9">
        <v>58311</v>
      </c>
      <c r="O21" s="9">
        <v>10307</v>
      </c>
      <c r="P21" s="9">
        <v>5.7155999999999993</v>
      </c>
      <c r="Q21" s="9">
        <v>1164373</v>
      </c>
      <c r="R21" s="9">
        <f t="shared" si="0"/>
        <v>3.5031729523099559E-3</v>
      </c>
      <c r="S21" s="23">
        <f t="shared" si="1"/>
        <v>48004</v>
      </c>
      <c r="T21">
        <f t="shared" si="2"/>
        <v>37</v>
      </c>
      <c r="U21">
        <f t="shared" si="3"/>
        <v>43855</v>
      </c>
    </row>
    <row r="22" spans="1:21" x14ac:dyDescent="0.3">
      <c r="A22" s="13" t="s">
        <v>89</v>
      </c>
      <c r="B22" s="14" t="s">
        <v>33</v>
      </c>
      <c r="C22" s="15">
        <v>45661</v>
      </c>
      <c r="D22" s="14" t="s">
        <v>16</v>
      </c>
      <c r="E22" s="14" t="s">
        <v>82</v>
      </c>
      <c r="F22" s="8">
        <v>4838</v>
      </c>
      <c r="G22" s="8">
        <v>640</v>
      </c>
      <c r="H22" s="8">
        <v>128</v>
      </c>
      <c r="I22" s="8">
        <v>72570</v>
      </c>
      <c r="J22" s="8">
        <v>72396</v>
      </c>
      <c r="K22" s="8">
        <v>83</v>
      </c>
      <c r="L22" s="14" t="s">
        <v>62</v>
      </c>
      <c r="M22" s="14" t="s">
        <v>38</v>
      </c>
      <c r="N22" s="8">
        <v>58311</v>
      </c>
      <c r="O22" s="8">
        <v>10307</v>
      </c>
      <c r="P22" s="8">
        <v>5.7155999999999993</v>
      </c>
      <c r="Q22" s="8">
        <v>1164373</v>
      </c>
      <c r="R22" s="8">
        <f t="shared" si="0"/>
        <v>4.2263089233432931E-3</v>
      </c>
      <c r="S22" s="22">
        <f t="shared" si="1"/>
        <v>48004</v>
      </c>
      <c r="T22">
        <f t="shared" si="2"/>
        <v>1</v>
      </c>
      <c r="U22">
        <f t="shared" si="3"/>
        <v>39706</v>
      </c>
    </row>
    <row r="23" spans="1:21" x14ac:dyDescent="0.3">
      <c r="A23" s="17" t="s">
        <v>91</v>
      </c>
      <c r="B23" s="18" t="s">
        <v>43</v>
      </c>
      <c r="C23" s="19">
        <v>45715</v>
      </c>
      <c r="D23" s="18" t="s">
        <v>22</v>
      </c>
      <c r="E23" s="18" t="s">
        <v>56</v>
      </c>
      <c r="F23" s="9">
        <v>1570</v>
      </c>
      <c r="G23" s="9">
        <v>187</v>
      </c>
      <c r="H23" s="9">
        <v>260</v>
      </c>
      <c r="I23" s="9">
        <v>25120</v>
      </c>
      <c r="J23" s="9">
        <v>24613</v>
      </c>
      <c r="K23" s="9">
        <v>133</v>
      </c>
      <c r="L23" s="18" t="s">
        <v>30</v>
      </c>
      <c r="M23" s="18" t="s">
        <v>38</v>
      </c>
      <c r="N23" s="9">
        <v>50862</v>
      </c>
      <c r="O23" s="9">
        <v>15305</v>
      </c>
      <c r="P23" s="9">
        <v>5.6486000000000001</v>
      </c>
      <c r="Q23" s="9">
        <v>1379539</v>
      </c>
      <c r="R23" s="9">
        <f t="shared" si="0"/>
        <v>1.2344703556767876E-3</v>
      </c>
      <c r="S23" s="23">
        <f t="shared" si="1"/>
        <v>35557</v>
      </c>
      <c r="T23">
        <f t="shared" si="2"/>
        <v>9</v>
      </c>
      <c r="U23">
        <f t="shared" si="3"/>
        <v>35557</v>
      </c>
    </row>
    <row r="24" spans="1:21" x14ac:dyDescent="0.3">
      <c r="A24" s="13" t="s">
        <v>93</v>
      </c>
      <c r="B24" s="14" t="s">
        <v>43</v>
      </c>
      <c r="C24" s="15">
        <v>45602</v>
      </c>
      <c r="D24" s="14" t="s">
        <v>74</v>
      </c>
      <c r="E24" s="14" t="s">
        <v>75</v>
      </c>
      <c r="F24" s="8">
        <v>1606</v>
      </c>
      <c r="G24" s="8">
        <v>547</v>
      </c>
      <c r="H24" s="8">
        <v>316</v>
      </c>
      <c r="I24" s="8">
        <v>32120</v>
      </c>
      <c r="J24" s="8">
        <v>31736</v>
      </c>
      <c r="K24" s="8">
        <v>225</v>
      </c>
      <c r="L24" s="14" t="s">
        <v>30</v>
      </c>
      <c r="M24" s="14" t="s">
        <v>25</v>
      </c>
      <c r="N24" s="8">
        <v>50862</v>
      </c>
      <c r="O24" s="8">
        <v>15305</v>
      </c>
      <c r="P24" s="8">
        <v>5.6486000000000001</v>
      </c>
      <c r="Q24" s="8">
        <v>1379539</v>
      </c>
      <c r="R24" s="8">
        <f t="shared" si="0"/>
        <v>1.3272549743066342E-3</v>
      </c>
      <c r="S24" s="22">
        <f t="shared" si="1"/>
        <v>35557</v>
      </c>
      <c r="T24">
        <f t="shared" si="2"/>
        <v>45</v>
      </c>
      <c r="U24">
        <f t="shared" si="3"/>
        <v>37430.333333333336</v>
      </c>
    </row>
    <row r="25" spans="1:21" x14ac:dyDescent="0.3">
      <c r="A25" s="17" t="s">
        <v>96</v>
      </c>
      <c r="B25" s="18" t="s">
        <v>43</v>
      </c>
      <c r="C25" s="19">
        <v>45680</v>
      </c>
      <c r="D25" s="18" t="s">
        <v>74</v>
      </c>
      <c r="E25" s="18" t="s">
        <v>75</v>
      </c>
      <c r="F25" s="9">
        <v>3961</v>
      </c>
      <c r="G25" s="9">
        <v>761</v>
      </c>
      <c r="H25" s="9">
        <v>131</v>
      </c>
      <c r="I25" s="9">
        <v>67337</v>
      </c>
      <c r="J25" s="9">
        <v>66615</v>
      </c>
      <c r="K25" s="9">
        <v>161</v>
      </c>
      <c r="L25" s="18" t="s">
        <v>62</v>
      </c>
      <c r="M25" s="18" t="s">
        <v>31</v>
      </c>
      <c r="N25" s="9">
        <v>50862</v>
      </c>
      <c r="O25" s="9">
        <v>15305</v>
      </c>
      <c r="P25" s="9">
        <v>5.6486000000000001</v>
      </c>
      <c r="Q25" s="9">
        <v>1379539</v>
      </c>
      <c r="R25" s="9">
        <f t="shared" si="0"/>
        <v>2.9879546718142801E-3</v>
      </c>
      <c r="S25" s="23">
        <f t="shared" si="1"/>
        <v>35557</v>
      </c>
      <c r="T25">
        <f t="shared" si="2"/>
        <v>4</v>
      </c>
      <c r="U25">
        <f t="shared" si="3"/>
        <v>37367</v>
      </c>
    </row>
    <row r="26" spans="1:21" x14ac:dyDescent="0.3">
      <c r="A26" s="13" t="s">
        <v>98</v>
      </c>
      <c r="B26" s="14" t="s">
        <v>14</v>
      </c>
      <c r="C26" s="15">
        <v>45757</v>
      </c>
      <c r="D26" s="14" t="s">
        <v>45</v>
      </c>
      <c r="E26" s="14" t="s">
        <v>49</v>
      </c>
      <c r="F26" s="8">
        <v>3128</v>
      </c>
      <c r="G26" s="8">
        <v>211</v>
      </c>
      <c r="H26" s="8">
        <v>197</v>
      </c>
      <c r="I26" s="8">
        <v>59432</v>
      </c>
      <c r="J26" s="8">
        <v>59182</v>
      </c>
      <c r="K26" s="8">
        <v>238</v>
      </c>
      <c r="L26" s="14" t="s">
        <v>37</v>
      </c>
      <c r="M26" s="14"/>
      <c r="N26" s="8">
        <v>53484</v>
      </c>
      <c r="O26" s="8">
        <v>12307</v>
      </c>
      <c r="P26" s="8">
        <v>5.6557999999999993</v>
      </c>
      <c r="Q26" s="8">
        <v>1060357</v>
      </c>
      <c r="R26" s="8">
        <f t="shared" si="0"/>
        <v>3.1744025832809138E-3</v>
      </c>
      <c r="S26" s="22">
        <f t="shared" si="1"/>
        <v>41177</v>
      </c>
      <c r="T26">
        <f t="shared" si="2"/>
        <v>15</v>
      </c>
      <c r="U26">
        <f t="shared" si="3"/>
        <v>37303.666666666664</v>
      </c>
    </row>
    <row r="27" spans="1:21" x14ac:dyDescent="0.3">
      <c r="A27" s="17" t="s">
        <v>100</v>
      </c>
      <c r="B27" s="18" t="s">
        <v>27</v>
      </c>
      <c r="C27" s="19">
        <v>45752</v>
      </c>
      <c r="D27" s="18" t="s">
        <v>16</v>
      </c>
      <c r="E27" s="18" t="s">
        <v>29</v>
      </c>
      <c r="F27" s="9">
        <v>3009</v>
      </c>
      <c r="G27" s="9">
        <v>413</v>
      </c>
      <c r="H27" s="9">
        <v>358</v>
      </c>
      <c r="I27" s="9">
        <v>42126</v>
      </c>
      <c r="J27" s="9">
        <v>41309</v>
      </c>
      <c r="K27" s="9">
        <v>211</v>
      </c>
      <c r="L27" s="18" t="s">
        <v>62</v>
      </c>
      <c r="M27" s="18" t="s">
        <v>25</v>
      </c>
      <c r="N27" s="9">
        <v>47471</v>
      </c>
      <c r="O27" s="9">
        <v>12104</v>
      </c>
      <c r="P27" s="9">
        <v>5.5587999999999997</v>
      </c>
      <c r="Q27" s="9">
        <v>1228647</v>
      </c>
      <c r="R27" s="9">
        <f t="shared" si="0"/>
        <v>2.6207690247890564E-3</v>
      </c>
      <c r="S27" s="23">
        <f t="shared" si="1"/>
        <v>35367</v>
      </c>
      <c r="T27">
        <f t="shared" si="2"/>
        <v>14</v>
      </c>
      <c r="U27">
        <f t="shared" si="3"/>
        <v>39579.333333333336</v>
      </c>
    </row>
    <row r="28" spans="1:21" x14ac:dyDescent="0.3">
      <c r="A28" s="13" t="s">
        <v>102</v>
      </c>
      <c r="B28" s="14" t="s">
        <v>27</v>
      </c>
      <c r="C28" s="15">
        <v>45552</v>
      </c>
      <c r="D28" s="14" t="s">
        <v>22</v>
      </c>
      <c r="E28" s="14" t="s">
        <v>104</v>
      </c>
      <c r="F28" s="8">
        <v>2076</v>
      </c>
      <c r="G28" s="8">
        <v>195</v>
      </c>
      <c r="H28" s="8">
        <v>104</v>
      </c>
      <c r="I28" s="8">
        <v>33216</v>
      </c>
      <c r="J28" s="8">
        <v>32244</v>
      </c>
      <c r="K28" s="8">
        <v>51</v>
      </c>
      <c r="L28" s="14" t="s">
        <v>62</v>
      </c>
      <c r="M28" s="14" t="s">
        <v>38</v>
      </c>
      <c r="N28" s="8">
        <v>47471</v>
      </c>
      <c r="O28" s="8">
        <v>12104</v>
      </c>
      <c r="P28" s="8">
        <v>5.5587999999999997</v>
      </c>
      <c r="Q28" s="8">
        <v>1228647</v>
      </c>
      <c r="R28" s="8">
        <f t="shared" si="0"/>
        <v>1.7311725825237029E-3</v>
      </c>
      <c r="S28" s="22">
        <f t="shared" si="1"/>
        <v>35367</v>
      </c>
      <c r="T28">
        <f t="shared" si="2"/>
        <v>38</v>
      </c>
      <c r="U28">
        <f t="shared" si="3"/>
        <v>43791.666666666664</v>
      </c>
    </row>
    <row r="29" spans="1:21" x14ac:dyDescent="0.3">
      <c r="A29" s="17" t="s">
        <v>105</v>
      </c>
      <c r="B29" s="18" t="s">
        <v>33</v>
      </c>
      <c r="C29" s="19">
        <v>45720</v>
      </c>
      <c r="D29" s="18" t="s">
        <v>74</v>
      </c>
      <c r="E29" s="18" t="s">
        <v>85</v>
      </c>
      <c r="F29" s="9">
        <v>432</v>
      </c>
      <c r="G29" s="9">
        <v>624</v>
      </c>
      <c r="H29" s="9">
        <v>123</v>
      </c>
      <c r="I29" s="9">
        <v>6912</v>
      </c>
      <c r="J29" s="9">
        <v>6259</v>
      </c>
      <c r="K29" s="9">
        <v>79</v>
      </c>
      <c r="L29" s="18" t="s">
        <v>62</v>
      </c>
      <c r="M29" s="18" t="s">
        <v>38</v>
      </c>
      <c r="N29" s="9">
        <v>58311</v>
      </c>
      <c r="O29" s="9">
        <v>10307</v>
      </c>
      <c r="P29" s="9">
        <v>5.7155999999999993</v>
      </c>
      <c r="Q29" s="9">
        <v>1164373</v>
      </c>
      <c r="R29" s="9">
        <f t="shared" si="0"/>
        <v>4.3886280427320114E-4</v>
      </c>
      <c r="S29" s="23">
        <f t="shared" si="1"/>
        <v>48004</v>
      </c>
      <c r="T29">
        <f t="shared" si="2"/>
        <v>10</v>
      </c>
      <c r="U29">
        <f t="shared" si="3"/>
        <v>48004</v>
      </c>
    </row>
    <row r="30" spans="1:21" x14ac:dyDescent="0.3">
      <c r="A30" s="13" t="s">
        <v>107</v>
      </c>
      <c r="B30" s="14" t="s">
        <v>33</v>
      </c>
      <c r="C30" s="15">
        <v>45688</v>
      </c>
      <c r="D30" s="14" t="s">
        <v>45</v>
      </c>
      <c r="E30" s="14" t="s">
        <v>88</v>
      </c>
      <c r="F30" s="8">
        <v>2566</v>
      </c>
      <c r="G30" s="8">
        <v>118</v>
      </c>
      <c r="H30" s="8">
        <v>37</v>
      </c>
      <c r="I30" s="8">
        <v>12830</v>
      </c>
      <c r="J30" s="8">
        <v>12264</v>
      </c>
      <c r="K30" s="8">
        <v>221</v>
      </c>
      <c r="L30" s="14" t="s">
        <v>62</v>
      </c>
      <c r="M30" s="14" t="s">
        <v>31</v>
      </c>
      <c r="N30" s="8">
        <v>58311</v>
      </c>
      <c r="O30" s="8">
        <v>10307</v>
      </c>
      <c r="P30" s="8">
        <v>5.7155999999999993</v>
      </c>
      <c r="Q30" s="8">
        <v>1164373</v>
      </c>
      <c r="R30" s="8">
        <f t="shared" si="0"/>
        <v>2.393562887493956E-3</v>
      </c>
      <c r="S30" s="22">
        <f t="shared" si="1"/>
        <v>48004</v>
      </c>
      <c r="T30">
        <f t="shared" si="2"/>
        <v>5</v>
      </c>
      <c r="U30">
        <f t="shared" si="3"/>
        <v>48004</v>
      </c>
    </row>
    <row r="31" spans="1:21" x14ac:dyDescent="0.3">
      <c r="A31" s="17" t="s">
        <v>109</v>
      </c>
      <c r="B31" s="18" t="s">
        <v>33</v>
      </c>
      <c r="C31" s="19">
        <v>45713</v>
      </c>
      <c r="D31" s="18" t="s">
        <v>74</v>
      </c>
      <c r="E31" s="18" t="s">
        <v>85</v>
      </c>
      <c r="F31" s="9">
        <v>3095</v>
      </c>
      <c r="G31" s="9">
        <v>39</v>
      </c>
      <c r="H31" s="9">
        <v>78</v>
      </c>
      <c r="I31" s="9">
        <v>55710</v>
      </c>
      <c r="J31" s="9">
        <v>54808</v>
      </c>
      <c r="K31" s="9">
        <v>93</v>
      </c>
      <c r="L31" s="18" t="s">
        <v>37</v>
      </c>
      <c r="M31" s="18"/>
      <c r="N31" s="9">
        <v>58311</v>
      </c>
      <c r="O31" s="9">
        <v>10307</v>
      </c>
      <c r="P31" s="9">
        <v>5.7155999999999993</v>
      </c>
      <c r="Q31" s="9">
        <v>1164373</v>
      </c>
      <c r="R31" s="9">
        <f t="shared" si="0"/>
        <v>2.737954246620284E-3</v>
      </c>
      <c r="S31" s="23">
        <f t="shared" si="1"/>
        <v>48004</v>
      </c>
      <c r="T31">
        <f t="shared" si="2"/>
        <v>9</v>
      </c>
      <c r="U31">
        <f t="shared" si="3"/>
        <v>45728.333333333336</v>
      </c>
    </row>
    <row r="32" spans="1:21" x14ac:dyDescent="0.3">
      <c r="A32" s="13" t="s">
        <v>111</v>
      </c>
      <c r="B32" s="14" t="s">
        <v>33</v>
      </c>
      <c r="C32" s="15">
        <v>45642</v>
      </c>
      <c r="D32" s="14" t="s">
        <v>22</v>
      </c>
      <c r="E32" s="14" t="s">
        <v>113</v>
      </c>
      <c r="F32" s="8">
        <v>438</v>
      </c>
      <c r="G32" s="8">
        <v>153</v>
      </c>
      <c r="H32" s="8">
        <v>275</v>
      </c>
      <c r="I32" s="8">
        <v>3066</v>
      </c>
      <c r="J32" s="8">
        <v>2701</v>
      </c>
      <c r="K32" s="8">
        <v>282</v>
      </c>
      <c r="L32" s="14" t="s">
        <v>30</v>
      </c>
      <c r="M32" s="14" t="s">
        <v>25</v>
      </c>
      <c r="N32" s="8">
        <v>58311</v>
      </c>
      <c r="O32" s="8">
        <v>10307</v>
      </c>
      <c r="P32" s="8">
        <v>5.7155999999999993</v>
      </c>
      <c r="Q32" s="8">
        <v>1164373</v>
      </c>
      <c r="R32" s="8">
        <f t="shared" si="0"/>
        <v>6.1835855005225988E-4</v>
      </c>
      <c r="S32" s="22">
        <f t="shared" si="1"/>
        <v>48004</v>
      </c>
      <c r="T32">
        <f t="shared" si="2"/>
        <v>51</v>
      </c>
      <c r="U32">
        <f t="shared" si="3"/>
        <v>41579.333333333336</v>
      </c>
    </row>
    <row r="33" spans="1:21" x14ac:dyDescent="0.3">
      <c r="A33" s="17" t="s">
        <v>114</v>
      </c>
      <c r="B33" s="18" t="s">
        <v>14</v>
      </c>
      <c r="C33" s="19">
        <v>45504</v>
      </c>
      <c r="D33" s="18" t="s">
        <v>45</v>
      </c>
      <c r="E33" s="18" t="s">
        <v>49</v>
      </c>
      <c r="F33" s="9">
        <v>2278</v>
      </c>
      <c r="G33" s="9">
        <v>10</v>
      </c>
      <c r="H33" s="9">
        <v>321</v>
      </c>
      <c r="I33" s="9">
        <v>13668</v>
      </c>
      <c r="J33" s="9">
        <v>12676</v>
      </c>
      <c r="K33" s="9">
        <v>275</v>
      </c>
      <c r="L33" s="18" t="s">
        <v>37</v>
      </c>
      <c r="M33" s="18" t="s">
        <v>19</v>
      </c>
      <c r="N33" s="9">
        <v>53484</v>
      </c>
      <c r="O33" s="9">
        <v>12307</v>
      </c>
      <c r="P33" s="9">
        <v>5.6557999999999993</v>
      </c>
      <c r="Q33" s="9">
        <v>1060357</v>
      </c>
      <c r="R33" s="9">
        <f t="shared" si="0"/>
        <v>2.4076796776934563E-3</v>
      </c>
      <c r="S33" s="23">
        <f t="shared" si="1"/>
        <v>41177</v>
      </c>
      <c r="T33">
        <f t="shared" si="2"/>
        <v>31</v>
      </c>
      <c r="U33">
        <f t="shared" si="3"/>
        <v>37430.333333333336</v>
      </c>
    </row>
    <row r="34" spans="1:21" x14ac:dyDescent="0.3">
      <c r="A34" s="13" t="s">
        <v>116</v>
      </c>
      <c r="B34" s="14" t="s">
        <v>43</v>
      </c>
      <c r="C34" s="15">
        <v>45525</v>
      </c>
      <c r="D34" s="14" t="s">
        <v>52</v>
      </c>
      <c r="E34" s="14" t="s">
        <v>59</v>
      </c>
      <c r="F34" s="8">
        <v>1407</v>
      </c>
      <c r="G34" s="8">
        <v>400</v>
      </c>
      <c r="H34" s="8">
        <v>351</v>
      </c>
      <c r="I34" s="8">
        <v>16884</v>
      </c>
      <c r="J34" s="8">
        <v>15954</v>
      </c>
      <c r="K34" s="8">
        <v>113</v>
      </c>
      <c r="L34" s="14" t="s">
        <v>30</v>
      </c>
      <c r="M34" s="14" t="s">
        <v>19</v>
      </c>
      <c r="N34" s="8">
        <v>50862</v>
      </c>
      <c r="O34" s="8">
        <v>15305</v>
      </c>
      <c r="P34" s="8">
        <v>5.6486000000000001</v>
      </c>
      <c r="Q34" s="8">
        <v>1379539</v>
      </c>
      <c r="R34" s="8">
        <f t="shared" si="0"/>
        <v>1.1018173462294288E-3</v>
      </c>
      <c r="S34" s="22">
        <f t="shared" si="1"/>
        <v>35557</v>
      </c>
      <c r="T34">
        <f t="shared" si="2"/>
        <v>34</v>
      </c>
      <c r="U34">
        <f t="shared" si="3"/>
        <v>39706</v>
      </c>
    </row>
    <row r="35" spans="1:21" x14ac:dyDescent="0.3">
      <c r="A35" s="17" t="s">
        <v>118</v>
      </c>
      <c r="B35" s="18" t="s">
        <v>43</v>
      </c>
      <c r="C35" s="19">
        <v>45742</v>
      </c>
      <c r="D35" s="18" t="s">
        <v>22</v>
      </c>
      <c r="E35" s="18" t="s">
        <v>56</v>
      </c>
      <c r="F35" s="9">
        <v>1652</v>
      </c>
      <c r="G35" s="9">
        <v>89</v>
      </c>
      <c r="H35" s="9">
        <v>357</v>
      </c>
      <c r="I35" s="9">
        <v>29736</v>
      </c>
      <c r="J35" s="9">
        <v>28771</v>
      </c>
      <c r="K35" s="9">
        <v>215</v>
      </c>
      <c r="L35" s="18" t="s">
        <v>30</v>
      </c>
      <c r="M35" s="18" t="s">
        <v>31</v>
      </c>
      <c r="N35" s="9">
        <v>50862</v>
      </c>
      <c r="O35" s="9">
        <v>15305</v>
      </c>
      <c r="P35" s="9">
        <v>5.6486000000000001</v>
      </c>
      <c r="Q35" s="9">
        <v>1379539</v>
      </c>
      <c r="R35" s="9">
        <f t="shared" si="0"/>
        <v>1.3533506482962788E-3</v>
      </c>
      <c r="S35" s="23">
        <f t="shared" si="1"/>
        <v>35557</v>
      </c>
      <c r="T35">
        <f t="shared" si="2"/>
        <v>13</v>
      </c>
      <c r="U35">
        <f t="shared" si="3"/>
        <v>43855</v>
      </c>
    </row>
    <row r="36" spans="1:21" x14ac:dyDescent="0.3">
      <c r="A36" s="13" t="s">
        <v>120</v>
      </c>
      <c r="B36" s="14" t="s">
        <v>33</v>
      </c>
      <c r="C36" s="15">
        <v>45626</v>
      </c>
      <c r="D36" s="14" t="s">
        <v>74</v>
      </c>
      <c r="E36" s="14" t="s">
        <v>85</v>
      </c>
      <c r="F36" s="8">
        <v>3775</v>
      </c>
      <c r="G36" s="8">
        <v>16</v>
      </c>
      <c r="H36" s="8">
        <v>239</v>
      </c>
      <c r="I36" s="8">
        <v>33975</v>
      </c>
      <c r="J36" s="8">
        <v>33310</v>
      </c>
      <c r="K36" s="8">
        <v>271</v>
      </c>
      <c r="L36" s="14" t="s">
        <v>62</v>
      </c>
      <c r="M36" s="14" t="s">
        <v>25</v>
      </c>
      <c r="N36" s="8">
        <v>58311</v>
      </c>
      <c r="O36" s="8">
        <v>10307</v>
      </c>
      <c r="P36" s="8">
        <v>5.7155999999999993</v>
      </c>
      <c r="Q36" s="8">
        <v>1164373</v>
      </c>
      <c r="R36" s="8">
        <f t="shared" si="0"/>
        <v>3.4748315187658938E-3</v>
      </c>
      <c r="S36" s="22">
        <f t="shared" si="1"/>
        <v>48004</v>
      </c>
      <c r="T36">
        <f t="shared" si="2"/>
        <v>48</v>
      </c>
      <c r="U36">
        <f t="shared" si="3"/>
        <v>43855</v>
      </c>
    </row>
    <row r="37" spans="1:21" x14ac:dyDescent="0.3">
      <c r="A37" s="17" t="s">
        <v>122</v>
      </c>
      <c r="B37" s="18" t="s">
        <v>33</v>
      </c>
      <c r="C37" s="19">
        <v>45766</v>
      </c>
      <c r="D37" s="18" t="s">
        <v>35</v>
      </c>
      <c r="E37" s="18" t="s">
        <v>36</v>
      </c>
      <c r="F37" s="9">
        <v>4518</v>
      </c>
      <c r="G37" s="9">
        <v>285</v>
      </c>
      <c r="H37" s="9">
        <v>383</v>
      </c>
      <c r="I37" s="9">
        <v>67770</v>
      </c>
      <c r="J37" s="9">
        <v>67621</v>
      </c>
      <c r="K37" s="9">
        <v>31</v>
      </c>
      <c r="L37" s="18" t="s">
        <v>37</v>
      </c>
      <c r="M37" s="18" t="s">
        <v>25</v>
      </c>
      <c r="N37" s="9">
        <v>58311</v>
      </c>
      <c r="O37" s="9">
        <v>10307</v>
      </c>
      <c r="P37" s="9">
        <v>5.7155999999999993</v>
      </c>
      <c r="Q37" s="9">
        <v>1164373</v>
      </c>
      <c r="R37" s="9">
        <f t="shared" si="0"/>
        <v>3.9068236724829584E-3</v>
      </c>
      <c r="S37" s="23">
        <f t="shared" si="1"/>
        <v>48004</v>
      </c>
      <c r="T37">
        <f t="shared" si="2"/>
        <v>16</v>
      </c>
      <c r="U37">
        <f t="shared" si="3"/>
        <v>39642.666666666664</v>
      </c>
    </row>
    <row r="38" spans="1:21" x14ac:dyDescent="0.3">
      <c r="A38" s="13" t="s">
        <v>124</v>
      </c>
      <c r="B38" s="14" t="s">
        <v>43</v>
      </c>
      <c r="C38" s="15">
        <v>45663</v>
      </c>
      <c r="D38" s="14" t="s">
        <v>45</v>
      </c>
      <c r="E38" s="14" t="s">
        <v>46</v>
      </c>
      <c r="F38" s="8">
        <v>3024</v>
      </c>
      <c r="G38" s="8">
        <v>925</v>
      </c>
      <c r="H38" s="8">
        <v>350</v>
      </c>
      <c r="I38" s="8">
        <v>24192</v>
      </c>
      <c r="J38" s="8">
        <v>23518</v>
      </c>
      <c r="K38" s="8">
        <v>36</v>
      </c>
      <c r="L38" s="14" t="s">
        <v>37</v>
      </c>
      <c r="M38" s="14" t="s">
        <v>25</v>
      </c>
      <c r="N38" s="8">
        <v>50862</v>
      </c>
      <c r="O38" s="8">
        <v>15305</v>
      </c>
      <c r="P38" s="8">
        <v>5.6486000000000001</v>
      </c>
      <c r="Q38" s="8">
        <v>1379539</v>
      </c>
      <c r="R38" s="8">
        <f t="shared" si="0"/>
        <v>2.2181322891197714E-3</v>
      </c>
      <c r="S38" s="22">
        <f t="shared" si="1"/>
        <v>35557</v>
      </c>
      <c r="T38">
        <f t="shared" si="2"/>
        <v>2</v>
      </c>
      <c r="U38">
        <f t="shared" si="3"/>
        <v>35493.666666666664</v>
      </c>
    </row>
    <row r="39" spans="1:21" x14ac:dyDescent="0.3">
      <c r="A39" s="17" t="s">
        <v>126</v>
      </c>
      <c r="B39" s="18" t="s">
        <v>27</v>
      </c>
      <c r="C39" s="19">
        <v>45705</v>
      </c>
      <c r="D39" s="18" t="s">
        <v>16</v>
      </c>
      <c r="E39" s="18" t="s">
        <v>29</v>
      </c>
      <c r="F39" s="9">
        <v>3138</v>
      </c>
      <c r="G39" s="9">
        <v>123</v>
      </c>
      <c r="H39" s="9">
        <v>291</v>
      </c>
      <c r="I39" s="9">
        <v>28242</v>
      </c>
      <c r="J39" s="9">
        <v>27550</v>
      </c>
      <c r="K39" s="9">
        <v>87</v>
      </c>
      <c r="L39" s="18" t="s">
        <v>30</v>
      </c>
      <c r="M39" s="18" t="s">
        <v>38</v>
      </c>
      <c r="N39" s="9">
        <v>47471</v>
      </c>
      <c r="O39" s="9">
        <v>12104</v>
      </c>
      <c r="P39" s="9">
        <v>5.5587999999999997</v>
      </c>
      <c r="Q39" s="9">
        <v>1228647</v>
      </c>
      <c r="R39" s="9">
        <f t="shared" si="0"/>
        <v>2.6248385419082943E-3</v>
      </c>
      <c r="S39" s="23">
        <f t="shared" si="1"/>
        <v>35367</v>
      </c>
      <c r="T39">
        <f t="shared" si="2"/>
        <v>8</v>
      </c>
      <c r="U39">
        <f t="shared" si="3"/>
        <v>37367</v>
      </c>
    </row>
    <row r="40" spans="1:21" x14ac:dyDescent="0.3">
      <c r="A40" s="13" t="s">
        <v>128</v>
      </c>
      <c r="B40" s="14" t="s">
        <v>43</v>
      </c>
      <c r="C40" s="15">
        <v>45621</v>
      </c>
      <c r="D40" s="14" t="s">
        <v>52</v>
      </c>
      <c r="E40" s="14" t="s">
        <v>59</v>
      </c>
      <c r="F40" s="8">
        <v>3564</v>
      </c>
      <c r="G40" s="8">
        <v>629</v>
      </c>
      <c r="H40" s="8">
        <v>177</v>
      </c>
      <c r="I40" s="8">
        <v>60588</v>
      </c>
      <c r="J40" s="8">
        <v>59627</v>
      </c>
      <c r="K40" s="8">
        <v>92</v>
      </c>
      <c r="L40" s="14" t="s">
        <v>30</v>
      </c>
      <c r="M40" s="14"/>
      <c r="N40" s="8">
        <v>50862</v>
      </c>
      <c r="O40" s="8">
        <v>15305</v>
      </c>
      <c r="P40" s="8">
        <v>5.6486000000000001</v>
      </c>
      <c r="Q40" s="8">
        <v>1379539</v>
      </c>
      <c r="R40" s="8">
        <f t="shared" si="0"/>
        <v>2.6501606696149945E-3</v>
      </c>
      <c r="S40" s="22">
        <f t="shared" si="1"/>
        <v>35557</v>
      </c>
      <c r="T40">
        <f t="shared" si="2"/>
        <v>48</v>
      </c>
      <c r="U40">
        <f t="shared" si="3"/>
        <v>41579.333333333336</v>
      </c>
    </row>
    <row r="41" spans="1:21" x14ac:dyDescent="0.3">
      <c r="A41" s="17" t="s">
        <v>130</v>
      </c>
      <c r="B41" s="18" t="s">
        <v>14</v>
      </c>
      <c r="C41" s="19">
        <v>45723</v>
      </c>
      <c r="D41" s="18" t="s">
        <v>52</v>
      </c>
      <c r="E41" s="18" t="s">
        <v>132</v>
      </c>
      <c r="F41" s="9">
        <v>4750</v>
      </c>
      <c r="G41" s="9">
        <v>151</v>
      </c>
      <c r="H41" s="9">
        <v>415</v>
      </c>
      <c r="I41" s="9">
        <v>38000</v>
      </c>
      <c r="J41" s="9">
        <v>37792</v>
      </c>
      <c r="K41" s="9">
        <v>299</v>
      </c>
      <c r="L41" s="18" t="s">
        <v>37</v>
      </c>
      <c r="M41" s="18" t="s">
        <v>38</v>
      </c>
      <c r="N41" s="9">
        <v>53484</v>
      </c>
      <c r="O41" s="9">
        <v>12307</v>
      </c>
      <c r="P41" s="9">
        <v>5.6557999999999993</v>
      </c>
      <c r="Q41" s="9">
        <v>1060357</v>
      </c>
      <c r="R41" s="9">
        <f t="shared" si="0"/>
        <v>4.7616038749213711E-3</v>
      </c>
      <c r="S41" s="23">
        <f t="shared" si="1"/>
        <v>41177</v>
      </c>
      <c r="T41">
        <f t="shared" si="2"/>
        <v>10</v>
      </c>
      <c r="U41">
        <f t="shared" si="3"/>
        <v>41516</v>
      </c>
    </row>
    <row r="42" spans="1:21" x14ac:dyDescent="0.3">
      <c r="A42" s="13" t="s">
        <v>133</v>
      </c>
      <c r="B42" s="14" t="s">
        <v>33</v>
      </c>
      <c r="C42" s="15">
        <v>45724</v>
      </c>
      <c r="D42" s="14" t="s">
        <v>16</v>
      </c>
      <c r="E42" s="14" t="s">
        <v>82</v>
      </c>
      <c r="F42" s="8">
        <v>456</v>
      </c>
      <c r="G42" s="8">
        <v>629</v>
      </c>
      <c r="H42" s="8">
        <v>428</v>
      </c>
      <c r="I42" s="8">
        <v>8208</v>
      </c>
      <c r="J42" s="8">
        <v>7377</v>
      </c>
      <c r="K42" s="8">
        <v>205</v>
      </c>
      <c r="L42" s="14" t="s">
        <v>62</v>
      </c>
      <c r="M42" s="14" t="s">
        <v>38</v>
      </c>
      <c r="N42" s="8">
        <v>58311</v>
      </c>
      <c r="O42" s="8">
        <v>10307</v>
      </c>
      <c r="P42" s="8">
        <v>5.7155999999999993</v>
      </c>
      <c r="Q42" s="8">
        <v>1164373</v>
      </c>
      <c r="R42" s="8">
        <f t="shared" si="0"/>
        <v>5.6768750220075525E-4</v>
      </c>
      <c r="S42" s="22">
        <f t="shared" si="1"/>
        <v>48004</v>
      </c>
      <c r="T42">
        <f t="shared" si="2"/>
        <v>10</v>
      </c>
      <c r="U42">
        <f t="shared" si="3"/>
        <v>43791.666666666664</v>
      </c>
    </row>
    <row r="43" spans="1:21" x14ac:dyDescent="0.3">
      <c r="A43" s="17" t="s">
        <v>135</v>
      </c>
      <c r="B43" s="18" t="s">
        <v>27</v>
      </c>
      <c r="C43" s="19">
        <v>45721</v>
      </c>
      <c r="D43" s="18" t="s">
        <v>16</v>
      </c>
      <c r="E43" s="18" t="s">
        <v>29</v>
      </c>
      <c r="F43" s="9">
        <v>1543</v>
      </c>
      <c r="G43" s="9">
        <v>820</v>
      </c>
      <c r="H43" s="9">
        <v>333</v>
      </c>
      <c r="I43" s="9">
        <v>12344</v>
      </c>
      <c r="J43" s="9">
        <v>11496</v>
      </c>
      <c r="K43" s="9">
        <v>241</v>
      </c>
      <c r="L43" s="18" t="s">
        <v>37</v>
      </c>
      <c r="M43" s="18"/>
      <c r="N43" s="9">
        <v>47471</v>
      </c>
      <c r="O43" s="9">
        <v>12104</v>
      </c>
      <c r="P43" s="9">
        <v>5.5587999999999997</v>
      </c>
      <c r="Q43" s="9">
        <v>1228647</v>
      </c>
      <c r="R43" s="9">
        <f t="shared" si="0"/>
        <v>1.4520037081439991E-3</v>
      </c>
      <c r="S43" s="23">
        <f t="shared" si="1"/>
        <v>35367</v>
      </c>
      <c r="T43">
        <f t="shared" si="2"/>
        <v>10</v>
      </c>
      <c r="U43">
        <f t="shared" si="3"/>
        <v>41516</v>
      </c>
    </row>
    <row r="44" spans="1:21" x14ac:dyDescent="0.3">
      <c r="A44" s="13" t="s">
        <v>137</v>
      </c>
      <c r="B44" s="14" t="s">
        <v>33</v>
      </c>
      <c r="C44" s="15">
        <v>45640</v>
      </c>
      <c r="D44" s="14" t="s">
        <v>45</v>
      </c>
      <c r="E44" s="14" t="s">
        <v>88</v>
      </c>
      <c r="F44" s="8">
        <v>2174</v>
      </c>
      <c r="G44" s="8">
        <v>658</v>
      </c>
      <c r="H44" s="8">
        <v>15</v>
      </c>
      <c r="I44" s="8">
        <v>13044</v>
      </c>
      <c r="J44" s="8">
        <v>12206</v>
      </c>
      <c r="K44" s="8">
        <v>137</v>
      </c>
      <c r="L44" s="14" t="s">
        <v>30</v>
      </c>
      <c r="M44" s="14" t="s">
        <v>31</v>
      </c>
      <c r="N44" s="8">
        <v>58311</v>
      </c>
      <c r="O44" s="8">
        <v>10307</v>
      </c>
      <c r="P44" s="8">
        <v>5.7155999999999993</v>
      </c>
      <c r="Q44" s="8">
        <v>1164373</v>
      </c>
      <c r="R44" s="8">
        <f t="shared" si="0"/>
        <v>1.9847591794038507E-3</v>
      </c>
      <c r="S44" s="22">
        <f t="shared" si="1"/>
        <v>48004</v>
      </c>
      <c r="T44">
        <f t="shared" si="2"/>
        <v>50</v>
      </c>
      <c r="U44">
        <f t="shared" si="3"/>
        <v>41579.333333333336</v>
      </c>
    </row>
    <row r="45" spans="1:21" x14ac:dyDescent="0.3">
      <c r="A45" s="17" t="s">
        <v>139</v>
      </c>
      <c r="B45" s="18" t="s">
        <v>14</v>
      </c>
      <c r="C45" s="19">
        <v>45718</v>
      </c>
      <c r="D45" s="18" t="s">
        <v>52</v>
      </c>
      <c r="E45" s="18" t="s">
        <v>132</v>
      </c>
      <c r="F45" s="9">
        <v>2358</v>
      </c>
      <c r="G45" s="9">
        <v>784</v>
      </c>
      <c r="H45" s="9">
        <v>344</v>
      </c>
      <c r="I45" s="9">
        <v>35370</v>
      </c>
      <c r="J45" s="9">
        <v>34475</v>
      </c>
      <c r="K45" s="9">
        <v>216</v>
      </c>
      <c r="L45" s="18" t="s">
        <v>30</v>
      </c>
      <c r="M45" s="18"/>
      <c r="N45" s="9">
        <v>53484</v>
      </c>
      <c r="O45" s="9">
        <v>12307</v>
      </c>
      <c r="P45" s="9">
        <v>5.6557999999999993</v>
      </c>
      <c r="Q45" s="9">
        <v>1060357</v>
      </c>
      <c r="R45" s="9">
        <f t="shared" si="0"/>
        <v>2.427484328391287E-3</v>
      </c>
      <c r="S45" s="23">
        <f t="shared" si="1"/>
        <v>41177</v>
      </c>
      <c r="T45">
        <f t="shared" si="2"/>
        <v>10</v>
      </c>
      <c r="U45">
        <f t="shared" si="3"/>
        <v>39303.666666666664</v>
      </c>
    </row>
    <row r="46" spans="1:21" x14ac:dyDescent="0.3">
      <c r="A46" s="13" t="s">
        <v>141</v>
      </c>
      <c r="B46" s="14" t="s">
        <v>43</v>
      </c>
      <c r="C46" s="15">
        <v>45597</v>
      </c>
      <c r="D46" s="14" t="s">
        <v>74</v>
      </c>
      <c r="E46" s="14" t="s">
        <v>75</v>
      </c>
      <c r="F46" s="8">
        <v>3371</v>
      </c>
      <c r="G46" s="8">
        <v>106</v>
      </c>
      <c r="H46" s="8">
        <v>327</v>
      </c>
      <c r="I46" s="8">
        <v>50565</v>
      </c>
      <c r="J46" s="8">
        <v>49816</v>
      </c>
      <c r="K46" s="8">
        <v>176</v>
      </c>
      <c r="L46" s="14" t="s">
        <v>62</v>
      </c>
      <c r="M46" s="14" t="s">
        <v>19</v>
      </c>
      <c r="N46" s="8">
        <v>50862</v>
      </c>
      <c r="O46" s="8">
        <v>15305</v>
      </c>
      <c r="P46" s="8">
        <v>5.6486000000000001</v>
      </c>
      <c r="Q46" s="8">
        <v>1379539</v>
      </c>
      <c r="R46" s="8">
        <f t="shared" si="0"/>
        <v>2.571148767813016E-3</v>
      </c>
      <c r="S46" s="22">
        <f t="shared" si="1"/>
        <v>35557</v>
      </c>
      <c r="T46">
        <f t="shared" si="2"/>
        <v>44</v>
      </c>
      <c r="U46">
        <f t="shared" si="3"/>
        <v>39303.666666666664</v>
      </c>
    </row>
    <row r="47" spans="1:21" x14ac:dyDescent="0.3">
      <c r="A47" s="17" t="s">
        <v>143</v>
      </c>
      <c r="B47" s="18" t="s">
        <v>14</v>
      </c>
      <c r="C47" s="19">
        <v>45779</v>
      </c>
      <c r="D47" s="18" t="s">
        <v>74</v>
      </c>
      <c r="E47" s="18" t="s">
        <v>145</v>
      </c>
      <c r="F47" s="9">
        <v>1108</v>
      </c>
      <c r="G47" s="9">
        <v>177</v>
      </c>
      <c r="H47" s="9">
        <v>212</v>
      </c>
      <c r="I47" s="9">
        <v>8864</v>
      </c>
      <c r="J47" s="9">
        <v>8710</v>
      </c>
      <c r="K47" s="9">
        <v>97</v>
      </c>
      <c r="L47" s="18" t="s">
        <v>30</v>
      </c>
      <c r="M47" s="18" t="s">
        <v>38</v>
      </c>
      <c r="N47" s="9">
        <v>53484</v>
      </c>
      <c r="O47" s="9">
        <v>12307</v>
      </c>
      <c r="P47" s="9">
        <v>5.6557999999999993</v>
      </c>
      <c r="Q47" s="9">
        <v>1060357</v>
      </c>
      <c r="R47" s="9">
        <f t="shared" si="0"/>
        <v>1.1364097186136368E-3</v>
      </c>
      <c r="S47" s="23">
        <f t="shared" si="1"/>
        <v>41177</v>
      </c>
      <c r="T47">
        <f t="shared" si="2"/>
        <v>18</v>
      </c>
      <c r="U47">
        <f t="shared" si="3"/>
        <v>41177</v>
      </c>
    </row>
    <row r="48" spans="1:21" x14ac:dyDescent="0.3">
      <c r="A48" s="13" t="s">
        <v>146</v>
      </c>
      <c r="B48" s="14" t="s">
        <v>14</v>
      </c>
      <c r="C48" s="15">
        <v>45712</v>
      </c>
      <c r="D48" s="14" t="s">
        <v>45</v>
      </c>
      <c r="E48" s="14" t="s">
        <v>49</v>
      </c>
      <c r="F48" s="8">
        <v>2704</v>
      </c>
      <c r="G48" s="8">
        <v>752</v>
      </c>
      <c r="H48" s="8">
        <v>153</v>
      </c>
      <c r="I48" s="8">
        <v>21632</v>
      </c>
      <c r="J48" s="8">
        <v>20792</v>
      </c>
      <c r="K48" s="8">
        <v>127</v>
      </c>
      <c r="L48" s="14" t="s">
        <v>62</v>
      </c>
      <c r="M48" s="14"/>
      <c r="N48" s="8">
        <v>53484</v>
      </c>
      <c r="O48" s="8">
        <v>12307</v>
      </c>
      <c r="P48" s="8">
        <v>5.6557999999999993</v>
      </c>
      <c r="Q48" s="8">
        <v>1060357</v>
      </c>
      <c r="R48" s="8">
        <f t="shared" si="0"/>
        <v>2.6698555297885525E-3</v>
      </c>
      <c r="S48" s="22">
        <f t="shared" si="1"/>
        <v>41177</v>
      </c>
      <c r="T48">
        <f t="shared" si="2"/>
        <v>9</v>
      </c>
      <c r="U48">
        <f t="shared" si="3"/>
        <v>41177</v>
      </c>
    </row>
    <row r="49" spans="1:21" x14ac:dyDescent="0.3">
      <c r="A49" s="17" t="s">
        <v>148</v>
      </c>
      <c r="B49" s="18" t="s">
        <v>14</v>
      </c>
      <c r="C49" s="19">
        <v>45727</v>
      </c>
      <c r="D49" s="18" t="s">
        <v>35</v>
      </c>
      <c r="E49" s="18" t="s">
        <v>149</v>
      </c>
      <c r="F49" s="9">
        <v>1950</v>
      </c>
      <c r="G49" s="9">
        <v>295</v>
      </c>
      <c r="H49" s="9">
        <v>478</v>
      </c>
      <c r="I49" s="9">
        <v>37050</v>
      </c>
      <c r="J49" s="9">
        <v>36272</v>
      </c>
      <c r="K49" s="9">
        <v>119</v>
      </c>
      <c r="L49" s="18" t="s">
        <v>30</v>
      </c>
      <c r="M49" s="18"/>
      <c r="N49" s="9">
        <v>53484</v>
      </c>
      <c r="O49" s="9">
        <v>12307</v>
      </c>
      <c r="P49" s="9">
        <v>5.6557999999999993</v>
      </c>
      <c r="Q49" s="9">
        <v>1060357</v>
      </c>
      <c r="R49" s="9">
        <f t="shared" si="0"/>
        <v>1.951229633038684E-3</v>
      </c>
      <c r="S49" s="23">
        <f t="shared" si="1"/>
        <v>41177</v>
      </c>
      <c r="T49">
        <f t="shared" si="2"/>
        <v>11</v>
      </c>
      <c r="U49">
        <f t="shared" si="3"/>
        <v>39240.333333333336</v>
      </c>
    </row>
    <row r="50" spans="1:21" x14ac:dyDescent="0.3">
      <c r="A50" s="13" t="s">
        <v>150</v>
      </c>
      <c r="B50" s="14" t="s">
        <v>14</v>
      </c>
      <c r="C50" s="15">
        <v>45453</v>
      </c>
      <c r="D50" s="14" t="s">
        <v>35</v>
      </c>
      <c r="E50" s="14" t="s">
        <v>149</v>
      </c>
      <c r="F50" s="8">
        <v>2164</v>
      </c>
      <c r="G50" s="8">
        <v>549</v>
      </c>
      <c r="H50" s="8">
        <v>274</v>
      </c>
      <c r="I50" s="8">
        <v>28132</v>
      </c>
      <c r="J50" s="8">
        <v>27361</v>
      </c>
      <c r="K50" s="8">
        <v>177</v>
      </c>
      <c r="L50" s="14" t="s">
        <v>30</v>
      </c>
      <c r="M50" s="14" t="s">
        <v>38</v>
      </c>
      <c r="N50" s="8">
        <v>53484</v>
      </c>
      <c r="O50" s="8">
        <v>12307</v>
      </c>
      <c r="P50" s="8">
        <v>5.6557999999999993</v>
      </c>
      <c r="Q50" s="8">
        <v>1060357</v>
      </c>
      <c r="R50" s="8">
        <f t="shared" si="0"/>
        <v>2.2077470135058288E-3</v>
      </c>
      <c r="S50" s="22">
        <f t="shared" si="1"/>
        <v>41177</v>
      </c>
      <c r="T50">
        <f t="shared" si="2"/>
        <v>24</v>
      </c>
      <c r="U50">
        <f t="shared" si="3"/>
        <v>37367</v>
      </c>
    </row>
    <row r="51" spans="1:21" x14ac:dyDescent="0.3">
      <c r="A51" s="17" t="s">
        <v>152</v>
      </c>
      <c r="B51" s="18" t="s">
        <v>27</v>
      </c>
      <c r="C51" s="19">
        <v>45476</v>
      </c>
      <c r="D51" s="18" t="s">
        <v>35</v>
      </c>
      <c r="E51" s="18" t="s">
        <v>154</v>
      </c>
      <c r="F51" s="9">
        <v>2754</v>
      </c>
      <c r="G51" s="9">
        <v>130</v>
      </c>
      <c r="H51" s="9">
        <v>90</v>
      </c>
      <c r="I51" s="9">
        <v>22032</v>
      </c>
      <c r="J51" s="9">
        <v>21288</v>
      </c>
      <c r="K51" s="9">
        <v>112</v>
      </c>
      <c r="L51" s="18" t="s">
        <v>30</v>
      </c>
      <c r="M51" s="18" t="s">
        <v>31</v>
      </c>
      <c r="N51" s="9">
        <v>47471</v>
      </c>
      <c r="O51" s="9">
        <v>12104</v>
      </c>
      <c r="P51" s="9">
        <v>5.5587999999999997</v>
      </c>
      <c r="Q51" s="9">
        <v>1228647</v>
      </c>
      <c r="R51" s="9">
        <f t="shared" si="0"/>
        <v>2.3326472127470298E-3</v>
      </c>
      <c r="S51" s="23">
        <f t="shared" si="1"/>
        <v>35367</v>
      </c>
      <c r="T51">
        <f t="shared" si="2"/>
        <v>27</v>
      </c>
      <c r="U51">
        <f t="shared" si="3"/>
        <v>35493.666666666664</v>
      </c>
    </row>
    <row r="52" spans="1:21" x14ac:dyDescent="0.3">
      <c r="A52" s="13" t="s">
        <v>155</v>
      </c>
      <c r="B52" s="14" t="s">
        <v>43</v>
      </c>
      <c r="C52" s="15">
        <v>45456</v>
      </c>
      <c r="D52" s="14" t="s">
        <v>45</v>
      </c>
      <c r="E52" s="14" t="s">
        <v>46</v>
      </c>
      <c r="F52" s="8">
        <v>2200</v>
      </c>
      <c r="G52" s="8">
        <v>504</v>
      </c>
      <c r="H52" s="8">
        <v>239</v>
      </c>
      <c r="I52" s="8">
        <v>37400</v>
      </c>
      <c r="J52" s="8">
        <v>36938</v>
      </c>
      <c r="K52" s="8">
        <v>225</v>
      </c>
      <c r="L52" s="14" t="s">
        <v>62</v>
      </c>
      <c r="M52" s="14" t="s">
        <v>25</v>
      </c>
      <c r="N52" s="8">
        <v>50862</v>
      </c>
      <c r="O52" s="8">
        <v>15305</v>
      </c>
      <c r="P52" s="8">
        <v>5.6486000000000001</v>
      </c>
      <c r="Q52" s="8">
        <v>1379539</v>
      </c>
      <c r="R52" s="8">
        <f t="shared" si="0"/>
        <v>1.7578335951357663E-3</v>
      </c>
      <c r="S52" s="22">
        <f t="shared" si="1"/>
        <v>35557</v>
      </c>
      <c r="T52">
        <f t="shared" si="2"/>
        <v>24</v>
      </c>
      <c r="U52">
        <f t="shared" si="3"/>
        <v>35493.666666666664</v>
      </c>
    </row>
    <row r="53" spans="1:21" x14ac:dyDescent="0.3">
      <c r="A53" s="17" t="s">
        <v>157</v>
      </c>
      <c r="B53" s="18" t="s">
        <v>43</v>
      </c>
      <c r="C53" s="19">
        <v>45660</v>
      </c>
      <c r="D53" s="18" t="s">
        <v>52</v>
      </c>
      <c r="E53" s="18" t="s">
        <v>59</v>
      </c>
      <c r="F53" s="9">
        <v>947</v>
      </c>
      <c r="G53" s="9">
        <v>338</v>
      </c>
      <c r="H53" s="9">
        <v>350</v>
      </c>
      <c r="I53" s="9">
        <v>10417</v>
      </c>
      <c r="J53" s="9">
        <v>9730</v>
      </c>
      <c r="K53" s="9">
        <v>34</v>
      </c>
      <c r="L53" s="18" t="s">
        <v>30</v>
      </c>
      <c r="M53" s="18" t="s">
        <v>38</v>
      </c>
      <c r="N53" s="9">
        <v>50862</v>
      </c>
      <c r="O53" s="9">
        <v>15305</v>
      </c>
      <c r="P53" s="9">
        <v>5.6486000000000001</v>
      </c>
      <c r="Q53" s="9">
        <v>1379539</v>
      </c>
      <c r="R53" s="9">
        <f t="shared" si="0"/>
        <v>7.1110711621780902E-4</v>
      </c>
      <c r="S53" s="23">
        <f t="shared" si="1"/>
        <v>35557</v>
      </c>
      <c r="T53">
        <f t="shared" si="2"/>
        <v>1</v>
      </c>
      <c r="U53">
        <f t="shared" si="3"/>
        <v>35430.333333333336</v>
      </c>
    </row>
    <row r="54" spans="1:21" x14ac:dyDescent="0.3">
      <c r="A54" s="13" t="s">
        <v>159</v>
      </c>
      <c r="B54" s="14" t="s">
        <v>27</v>
      </c>
      <c r="C54" s="15">
        <v>45712</v>
      </c>
      <c r="D54" s="14" t="s">
        <v>45</v>
      </c>
      <c r="E54" s="14" t="s">
        <v>68</v>
      </c>
      <c r="F54" s="8">
        <v>804</v>
      </c>
      <c r="G54" s="8">
        <v>639</v>
      </c>
      <c r="H54" s="8">
        <v>43</v>
      </c>
      <c r="I54" s="8">
        <v>4020</v>
      </c>
      <c r="J54" s="8">
        <v>3144</v>
      </c>
      <c r="K54" s="8">
        <v>11</v>
      </c>
      <c r="L54" s="14" t="s">
        <v>37</v>
      </c>
      <c r="M54" s="14"/>
      <c r="N54" s="8">
        <v>47471</v>
      </c>
      <c r="O54" s="8">
        <v>12104</v>
      </c>
      <c r="P54" s="8">
        <v>5.5587999999999997</v>
      </c>
      <c r="Q54" s="8">
        <v>1228647</v>
      </c>
      <c r="R54" s="8">
        <f t="shared" si="0"/>
        <v>6.6333129043573945E-4</v>
      </c>
      <c r="S54" s="22">
        <f t="shared" si="1"/>
        <v>35367</v>
      </c>
      <c r="T54">
        <f t="shared" si="2"/>
        <v>9</v>
      </c>
      <c r="U54">
        <f t="shared" si="3"/>
        <v>35430.333333333336</v>
      </c>
    </row>
    <row r="55" spans="1:21" x14ac:dyDescent="0.3">
      <c r="A55" s="17" t="s">
        <v>161</v>
      </c>
      <c r="B55" s="18" t="s">
        <v>27</v>
      </c>
      <c r="C55" s="19">
        <v>45729</v>
      </c>
      <c r="D55" s="18" t="s">
        <v>45</v>
      </c>
      <c r="E55" s="18" t="s">
        <v>68</v>
      </c>
      <c r="F55" s="9">
        <v>1686</v>
      </c>
      <c r="G55" s="9">
        <v>904</v>
      </c>
      <c r="H55" s="9">
        <v>472</v>
      </c>
      <c r="I55" s="9">
        <v>18546</v>
      </c>
      <c r="J55" s="9">
        <v>18171</v>
      </c>
      <c r="K55" s="9">
        <v>52</v>
      </c>
      <c r="L55" s="18" t="s">
        <v>62</v>
      </c>
      <c r="M55" s="18" t="s">
        <v>25</v>
      </c>
      <c r="N55" s="9">
        <v>47471</v>
      </c>
      <c r="O55" s="9">
        <v>12104</v>
      </c>
      <c r="P55" s="9">
        <v>5.5587999999999997</v>
      </c>
      <c r="Q55" s="9">
        <v>1228647</v>
      </c>
      <c r="R55" s="9">
        <f t="shared" si="0"/>
        <v>1.4145641506470125E-3</v>
      </c>
      <c r="S55" s="23">
        <f t="shared" si="1"/>
        <v>35367</v>
      </c>
      <c r="T55">
        <f t="shared" si="2"/>
        <v>11</v>
      </c>
      <c r="U55">
        <f t="shared" si="3"/>
        <v>35493.666666666664</v>
      </c>
    </row>
    <row r="56" spans="1:21" x14ac:dyDescent="0.3">
      <c r="A56" s="13" t="s">
        <v>163</v>
      </c>
      <c r="B56" s="14" t="s">
        <v>43</v>
      </c>
      <c r="C56" s="15">
        <v>45460</v>
      </c>
      <c r="D56" s="14" t="s">
        <v>52</v>
      </c>
      <c r="E56" s="14" t="s">
        <v>59</v>
      </c>
      <c r="F56" s="8">
        <v>1226</v>
      </c>
      <c r="G56" s="8">
        <v>119</v>
      </c>
      <c r="H56" s="8">
        <v>7</v>
      </c>
      <c r="I56" s="8">
        <v>14712</v>
      </c>
      <c r="J56" s="8">
        <v>14049</v>
      </c>
      <c r="K56" s="8">
        <v>123</v>
      </c>
      <c r="L56" s="14" t="s">
        <v>37</v>
      </c>
      <c r="M56" s="14" t="s">
        <v>38</v>
      </c>
      <c r="N56" s="8">
        <v>50862</v>
      </c>
      <c r="O56" s="8">
        <v>15305</v>
      </c>
      <c r="P56" s="8">
        <v>5.6486000000000001</v>
      </c>
      <c r="Q56" s="8">
        <v>1379539</v>
      </c>
      <c r="R56" s="8">
        <f t="shared" si="0"/>
        <v>9.7786289477861808E-4</v>
      </c>
      <c r="S56" s="22">
        <f t="shared" si="1"/>
        <v>35557</v>
      </c>
      <c r="T56">
        <f t="shared" si="2"/>
        <v>25</v>
      </c>
      <c r="U56">
        <f t="shared" si="3"/>
        <v>37430.333333333336</v>
      </c>
    </row>
    <row r="57" spans="1:21" x14ac:dyDescent="0.3">
      <c r="A57" s="17" t="s">
        <v>165</v>
      </c>
      <c r="B57" s="18" t="s">
        <v>43</v>
      </c>
      <c r="C57" s="19">
        <v>45644</v>
      </c>
      <c r="D57" s="18" t="s">
        <v>45</v>
      </c>
      <c r="E57" s="18" t="s">
        <v>46</v>
      </c>
      <c r="F57" s="9">
        <v>2946</v>
      </c>
      <c r="G57" s="9">
        <v>498</v>
      </c>
      <c r="H57" s="9">
        <v>367</v>
      </c>
      <c r="I57" s="9">
        <v>29460</v>
      </c>
      <c r="J57" s="9">
        <v>28527</v>
      </c>
      <c r="K57" s="9">
        <v>60</v>
      </c>
      <c r="L57" s="18" t="s">
        <v>62</v>
      </c>
      <c r="M57" s="18" t="s">
        <v>31</v>
      </c>
      <c r="N57" s="9">
        <v>50862</v>
      </c>
      <c r="O57" s="9">
        <v>15305</v>
      </c>
      <c r="P57" s="9">
        <v>5.6486000000000001</v>
      </c>
      <c r="Q57" s="9">
        <v>1379539</v>
      </c>
      <c r="R57" s="9">
        <f t="shared" si="0"/>
        <v>2.1789887781353046E-3</v>
      </c>
      <c r="S57" s="23">
        <f t="shared" si="1"/>
        <v>35557</v>
      </c>
      <c r="T57">
        <f t="shared" si="2"/>
        <v>51</v>
      </c>
      <c r="U57">
        <f t="shared" si="3"/>
        <v>41579.333333333336</v>
      </c>
    </row>
    <row r="58" spans="1:21" x14ac:dyDescent="0.3">
      <c r="A58" s="13" t="s">
        <v>167</v>
      </c>
      <c r="B58" s="14" t="s">
        <v>14</v>
      </c>
      <c r="C58" s="15">
        <v>45586</v>
      </c>
      <c r="D58" s="14" t="s">
        <v>74</v>
      </c>
      <c r="E58" s="14" t="s">
        <v>145</v>
      </c>
      <c r="F58" s="8">
        <v>2825</v>
      </c>
      <c r="G58" s="8">
        <v>535</v>
      </c>
      <c r="H58" s="8">
        <v>295</v>
      </c>
      <c r="I58" s="8">
        <v>45200</v>
      </c>
      <c r="J58" s="8">
        <v>44739</v>
      </c>
      <c r="K58" s="8">
        <v>169</v>
      </c>
      <c r="L58" s="14" t="s">
        <v>30</v>
      </c>
      <c r="M58" s="14" t="s">
        <v>19</v>
      </c>
      <c r="N58" s="8">
        <v>53484</v>
      </c>
      <c r="O58" s="8">
        <v>12307</v>
      </c>
      <c r="P58" s="8">
        <v>5.6557999999999993</v>
      </c>
      <c r="Q58" s="8">
        <v>1060357</v>
      </c>
      <c r="R58" s="8">
        <f t="shared" si="0"/>
        <v>2.8235773423479073E-3</v>
      </c>
      <c r="S58" s="22">
        <f t="shared" si="1"/>
        <v>41177</v>
      </c>
      <c r="T58">
        <f t="shared" si="2"/>
        <v>43</v>
      </c>
      <c r="U58">
        <f t="shared" si="3"/>
        <v>45728.333333333336</v>
      </c>
    </row>
    <row r="59" spans="1:21" x14ac:dyDescent="0.3">
      <c r="A59" s="17" t="s">
        <v>169</v>
      </c>
      <c r="B59" s="18" t="s">
        <v>33</v>
      </c>
      <c r="C59" s="19">
        <v>45762</v>
      </c>
      <c r="D59" s="18" t="s">
        <v>16</v>
      </c>
      <c r="E59" s="18" t="s">
        <v>82</v>
      </c>
      <c r="F59" s="9">
        <v>103</v>
      </c>
      <c r="G59" s="9">
        <v>770</v>
      </c>
      <c r="H59" s="9">
        <v>19</v>
      </c>
      <c r="I59" s="9">
        <v>1030</v>
      </c>
      <c r="J59" s="9">
        <v>410</v>
      </c>
      <c r="K59" s="9">
        <v>262</v>
      </c>
      <c r="L59" s="18" t="s">
        <v>30</v>
      </c>
      <c r="M59" s="18" t="s">
        <v>38</v>
      </c>
      <c r="N59" s="9">
        <v>58311</v>
      </c>
      <c r="O59" s="9">
        <v>10307</v>
      </c>
      <c r="P59" s="9">
        <v>5.7155999999999993</v>
      </c>
      <c r="Q59" s="9">
        <v>1164373</v>
      </c>
      <c r="R59" s="9">
        <f t="shared" si="0"/>
        <v>3.1347343162371511E-4</v>
      </c>
      <c r="S59" s="23">
        <f t="shared" si="1"/>
        <v>48004</v>
      </c>
      <c r="T59">
        <f t="shared" si="2"/>
        <v>16</v>
      </c>
      <c r="U59">
        <f t="shared" si="3"/>
        <v>48004</v>
      </c>
    </row>
    <row r="60" spans="1:21" x14ac:dyDescent="0.3">
      <c r="A60" s="13" t="s">
        <v>171</v>
      </c>
      <c r="B60" s="14" t="s">
        <v>33</v>
      </c>
      <c r="C60" s="15">
        <v>45465</v>
      </c>
      <c r="D60" s="14" t="s">
        <v>22</v>
      </c>
      <c r="E60" s="14" t="s">
        <v>113</v>
      </c>
      <c r="F60" s="8">
        <v>2180</v>
      </c>
      <c r="G60" s="8">
        <v>263</v>
      </c>
      <c r="H60" s="8">
        <v>387</v>
      </c>
      <c r="I60" s="8">
        <v>30520</v>
      </c>
      <c r="J60" s="8">
        <v>30059</v>
      </c>
      <c r="K60" s="8">
        <v>174</v>
      </c>
      <c r="L60" s="14" t="s">
        <v>37</v>
      </c>
      <c r="M60" s="14"/>
      <c r="N60" s="8">
        <v>58311</v>
      </c>
      <c r="O60" s="8">
        <v>10307</v>
      </c>
      <c r="P60" s="8">
        <v>5.7155999999999993</v>
      </c>
      <c r="Q60" s="8">
        <v>1164373</v>
      </c>
      <c r="R60" s="8">
        <f t="shared" si="0"/>
        <v>2.021688926143083E-3</v>
      </c>
      <c r="S60" s="22">
        <f t="shared" si="1"/>
        <v>48004</v>
      </c>
      <c r="T60">
        <f t="shared" si="2"/>
        <v>25</v>
      </c>
      <c r="U60">
        <f t="shared" si="3"/>
        <v>45728.333333333336</v>
      </c>
    </row>
    <row r="61" spans="1:21" x14ac:dyDescent="0.3">
      <c r="A61" s="17" t="s">
        <v>173</v>
      </c>
      <c r="B61" s="18" t="s">
        <v>33</v>
      </c>
      <c r="C61" s="19">
        <v>45685</v>
      </c>
      <c r="D61" s="18" t="s">
        <v>74</v>
      </c>
      <c r="E61" s="18" t="s">
        <v>85</v>
      </c>
      <c r="F61" s="9">
        <v>904</v>
      </c>
      <c r="G61" s="9">
        <v>973</v>
      </c>
      <c r="H61" s="9">
        <v>63</v>
      </c>
      <c r="I61" s="9">
        <v>11752</v>
      </c>
      <c r="J61" s="9">
        <v>11580</v>
      </c>
      <c r="K61" s="9">
        <v>84</v>
      </c>
      <c r="L61" s="18" t="s">
        <v>37</v>
      </c>
      <c r="M61" s="18" t="s">
        <v>31</v>
      </c>
      <c r="N61" s="9">
        <v>58311</v>
      </c>
      <c r="O61" s="9">
        <v>10307</v>
      </c>
      <c r="P61" s="9">
        <v>5.7155999999999993</v>
      </c>
      <c r="Q61" s="9">
        <v>1164373</v>
      </c>
      <c r="R61" s="9">
        <f t="shared" si="0"/>
        <v>8.4852534368282334E-4</v>
      </c>
      <c r="S61" s="23">
        <f t="shared" si="1"/>
        <v>48004</v>
      </c>
      <c r="T61">
        <f t="shared" si="2"/>
        <v>5</v>
      </c>
      <c r="U61">
        <f t="shared" si="3"/>
        <v>43452.666666666664</v>
      </c>
    </row>
    <row r="62" spans="1:21" x14ac:dyDescent="0.3">
      <c r="A62" s="13" t="s">
        <v>176</v>
      </c>
      <c r="B62" s="14" t="s">
        <v>14</v>
      </c>
      <c r="C62" s="15">
        <v>45540</v>
      </c>
      <c r="D62" s="14" t="s">
        <v>74</v>
      </c>
      <c r="E62" s="14" t="s">
        <v>145</v>
      </c>
      <c r="F62" s="8">
        <v>4886</v>
      </c>
      <c r="G62" s="8">
        <v>983</v>
      </c>
      <c r="H62" s="8">
        <v>409</v>
      </c>
      <c r="I62" s="8">
        <v>43974</v>
      </c>
      <c r="J62" s="8">
        <v>43239</v>
      </c>
      <c r="K62" s="8">
        <v>65</v>
      </c>
      <c r="L62" s="14" t="s">
        <v>30</v>
      </c>
      <c r="M62" s="14" t="s">
        <v>19</v>
      </c>
      <c r="N62" s="8">
        <v>53484</v>
      </c>
      <c r="O62" s="8">
        <v>12307</v>
      </c>
      <c r="P62" s="8">
        <v>5.6557999999999993</v>
      </c>
      <c r="Q62" s="8">
        <v>1060357</v>
      </c>
      <c r="R62" s="8">
        <f t="shared" si="0"/>
        <v>4.6691821716648265E-3</v>
      </c>
      <c r="S62" s="22">
        <f t="shared" si="1"/>
        <v>41177</v>
      </c>
      <c r="T62">
        <f t="shared" si="2"/>
        <v>36</v>
      </c>
      <c r="U62">
        <f t="shared" si="3"/>
        <v>41177</v>
      </c>
    </row>
    <row r="63" spans="1:21" x14ac:dyDescent="0.3">
      <c r="A63" s="17" t="s">
        <v>178</v>
      </c>
      <c r="B63" s="18" t="s">
        <v>14</v>
      </c>
      <c r="C63" s="19">
        <v>45618</v>
      </c>
      <c r="D63" s="18" t="s">
        <v>45</v>
      </c>
      <c r="E63" s="18" t="s">
        <v>49</v>
      </c>
      <c r="F63" s="9">
        <v>53</v>
      </c>
      <c r="G63" s="9">
        <v>81</v>
      </c>
      <c r="H63" s="9">
        <v>379</v>
      </c>
      <c r="I63" s="9">
        <v>954</v>
      </c>
      <c r="J63" s="9">
        <v>7</v>
      </c>
      <c r="K63" s="9">
        <v>148</v>
      </c>
      <c r="L63" s="18" t="s">
        <v>30</v>
      </c>
      <c r="M63" s="18" t="s">
        <v>31</v>
      </c>
      <c r="N63" s="9">
        <v>53484</v>
      </c>
      <c r="O63" s="9">
        <v>12307</v>
      </c>
      <c r="P63" s="9">
        <v>5.6557999999999993</v>
      </c>
      <c r="Q63" s="9">
        <v>1060357</v>
      </c>
      <c r="R63" s="9">
        <f t="shared" si="0"/>
        <v>1.8955879953638257E-4</v>
      </c>
      <c r="S63" s="23">
        <f t="shared" si="1"/>
        <v>41177</v>
      </c>
      <c r="T63">
        <f t="shared" si="2"/>
        <v>47</v>
      </c>
      <c r="U63">
        <f t="shared" si="3"/>
        <v>39303.666666666664</v>
      </c>
    </row>
    <row r="64" spans="1:21" x14ac:dyDescent="0.3">
      <c r="A64" s="13" t="s">
        <v>180</v>
      </c>
      <c r="B64" s="14" t="s">
        <v>14</v>
      </c>
      <c r="C64" s="15">
        <v>45504</v>
      </c>
      <c r="D64" s="14" t="s">
        <v>45</v>
      </c>
      <c r="E64" s="14" t="s">
        <v>49</v>
      </c>
      <c r="F64" s="8">
        <v>4507</v>
      </c>
      <c r="G64" s="8">
        <v>217</v>
      </c>
      <c r="H64" s="8">
        <v>13</v>
      </c>
      <c r="I64" s="8">
        <v>90140</v>
      </c>
      <c r="J64" s="8">
        <v>89591</v>
      </c>
      <c r="K64" s="8">
        <v>125</v>
      </c>
      <c r="L64" s="14" t="s">
        <v>62</v>
      </c>
      <c r="M64" s="14" t="s">
        <v>31</v>
      </c>
      <c r="N64" s="8">
        <v>53484</v>
      </c>
      <c r="O64" s="8">
        <v>12307</v>
      </c>
      <c r="P64" s="8">
        <v>5.6557999999999993</v>
      </c>
      <c r="Q64" s="8">
        <v>1060357</v>
      </c>
      <c r="R64" s="8">
        <f t="shared" si="0"/>
        <v>4.3683400967787266E-3</v>
      </c>
      <c r="S64" s="22">
        <f t="shared" si="1"/>
        <v>41177</v>
      </c>
      <c r="T64">
        <f t="shared" si="2"/>
        <v>31</v>
      </c>
      <c r="U64">
        <f t="shared" si="3"/>
        <v>41579.333333333336</v>
      </c>
    </row>
    <row r="65" spans="1:21" x14ac:dyDescent="0.3">
      <c r="A65" s="17" t="s">
        <v>181</v>
      </c>
      <c r="B65" s="18" t="s">
        <v>43</v>
      </c>
      <c r="C65" s="19">
        <v>45521</v>
      </c>
      <c r="D65" s="18" t="s">
        <v>52</v>
      </c>
      <c r="E65" s="18" t="s">
        <v>59</v>
      </c>
      <c r="F65" s="9">
        <v>2878</v>
      </c>
      <c r="G65" s="9">
        <v>248</v>
      </c>
      <c r="H65" s="9">
        <v>416</v>
      </c>
      <c r="I65" s="9">
        <v>43170</v>
      </c>
      <c r="J65" s="9">
        <v>42667</v>
      </c>
      <c r="K65" s="9">
        <v>75</v>
      </c>
      <c r="L65" s="18" t="s">
        <v>62</v>
      </c>
      <c r="M65" s="18" t="s">
        <v>31</v>
      </c>
      <c r="N65" s="9">
        <v>50862</v>
      </c>
      <c r="O65" s="9">
        <v>15305</v>
      </c>
      <c r="P65" s="9">
        <v>5.6486000000000001</v>
      </c>
      <c r="Q65" s="9">
        <v>1379539</v>
      </c>
      <c r="R65" s="9">
        <f t="shared" si="0"/>
        <v>2.1405701469838839E-3</v>
      </c>
      <c r="S65" s="23">
        <f t="shared" si="1"/>
        <v>35557</v>
      </c>
      <c r="T65">
        <f t="shared" si="2"/>
        <v>33</v>
      </c>
      <c r="U65">
        <f t="shared" si="3"/>
        <v>41579.333333333336</v>
      </c>
    </row>
    <row r="66" spans="1:21" x14ac:dyDescent="0.3">
      <c r="A66" s="13" t="s">
        <v>183</v>
      </c>
      <c r="B66" s="14" t="s">
        <v>33</v>
      </c>
      <c r="C66" s="15">
        <v>45744</v>
      </c>
      <c r="D66" s="14" t="s">
        <v>35</v>
      </c>
      <c r="E66" s="14" t="s">
        <v>36</v>
      </c>
      <c r="F66" s="8">
        <v>1881</v>
      </c>
      <c r="G66" s="8">
        <v>501</v>
      </c>
      <c r="H66" s="8">
        <v>99</v>
      </c>
      <c r="I66" s="8">
        <v>20691</v>
      </c>
      <c r="J66" s="8">
        <v>19987</v>
      </c>
      <c r="K66" s="8">
        <v>289</v>
      </c>
      <c r="L66" s="14" t="s">
        <v>37</v>
      </c>
      <c r="M66" s="14"/>
      <c r="N66" s="8">
        <v>58311</v>
      </c>
      <c r="O66" s="8">
        <v>10307</v>
      </c>
      <c r="P66" s="8">
        <v>5.7155999999999993</v>
      </c>
      <c r="Q66" s="8">
        <v>1164373</v>
      </c>
      <c r="R66" s="8">
        <f t="shared" si="0"/>
        <v>1.8636639633519499E-3</v>
      </c>
      <c r="S66" s="22">
        <f t="shared" si="1"/>
        <v>48004</v>
      </c>
      <c r="T66">
        <f t="shared" si="2"/>
        <v>13</v>
      </c>
      <c r="U66">
        <f t="shared" si="3"/>
        <v>41579.333333333336</v>
      </c>
    </row>
    <row r="67" spans="1:21" x14ac:dyDescent="0.3">
      <c r="A67" s="17" t="s">
        <v>185</v>
      </c>
      <c r="B67" s="18" t="s">
        <v>14</v>
      </c>
      <c r="C67" s="19">
        <v>45499</v>
      </c>
      <c r="D67" s="18" t="s">
        <v>45</v>
      </c>
      <c r="E67" s="18" t="s">
        <v>49</v>
      </c>
      <c r="F67" s="9">
        <v>432</v>
      </c>
      <c r="G67" s="9">
        <v>171</v>
      </c>
      <c r="H67" s="9">
        <v>280</v>
      </c>
      <c r="I67" s="9">
        <v>3024</v>
      </c>
      <c r="J67" s="9">
        <v>2285</v>
      </c>
      <c r="K67" s="9">
        <v>184</v>
      </c>
      <c r="L67" s="18" t="s">
        <v>37</v>
      </c>
      <c r="M67" s="18" t="s">
        <v>19</v>
      </c>
      <c r="N67" s="9">
        <v>53484</v>
      </c>
      <c r="O67" s="9">
        <v>12307</v>
      </c>
      <c r="P67" s="9">
        <v>5.6557999999999993</v>
      </c>
      <c r="Q67" s="9">
        <v>1060357</v>
      </c>
      <c r="R67" s="9">
        <f t="shared" ref="R67:R130" si="4">(F67+K67)/Q67</f>
        <v>5.8093642046970972E-4</v>
      </c>
      <c r="S67" s="23">
        <f t="shared" ref="S67:S130" si="5">N67-O67</f>
        <v>41177</v>
      </c>
      <c r="T67">
        <f t="shared" ref="T67:T130" si="6">WEEKNUM(C67)</f>
        <v>30</v>
      </c>
      <c r="U67">
        <f t="shared" ref="U67:U130" si="7">AVERAGE(S67:S69)</f>
        <v>41579.333333333336</v>
      </c>
    </row>
    <row r="68" spans="1:21" x14ac:dyDescent="0.3">
      <c r="A68" s="13" t="s">
        <v>187</v>
      </c>
      <c r="B68" s="14" t="s">
        <v>43</v>
      </c>
      <c r="C68" s="15">
        <v>45745</v>
      </c>
      <c r="D68" s="14" t="s">
        <v>45</v>
      </c>
      <c r="E68" s="14" t="s">
        <v>46</v>
      </c>
      <c r="F68" s="8">
        <v>4712</v>
      </c>
      <c r="G68" s="8">
        <v>568</v>
      </c>
      <c r="H68" s="8">
        <v>127</v>
      </c>
      <c r="I68" s="8">
        <v>84816</v>
      </c>
      <c r="J68" s="8">
        <v>84691</v>
      </c>
      <c r="K68" s="8">
        <v>100</v>
      </c>
      <c r="L68" s="14" t="s">
        <v>37</v>
      </c>
      <c r="M68" s="14" t="s">
        <v>31</v>
      </c>
      <c r="N68" s="8">
        <v>50862</v>
      </c>
      <c r="O68" s="8">
        <v>15305</v>
      </c>
      <c r="P68" s="8">
        <v>5.6486000000000001</v>
      </c>
      <c r="Q68" s="8">
        <v>1379539</v>
      </c>
      <c r="R68" s="8">
        <f t="shared" si="4"/>
        <v>3.4881217566157972E-3</v>
      </c>
      <c r="S68" s="22">
        <f t="shared" si="5"/>
        <v>35557</v>
      </c>
      <c r="T68">
        <f t="shared" si="6"/>
        <v>13</v>
      </c>
      <c r="U68">
        <f t="shared" si="7"/>
        <v>41579.333333333336</v>
      </c>
    </row>
    <row r="69" spans="1:21" x14ac:dyDescent="0.3">
      <c r="A69" s="17" t="s">
        <v>189</v>
      </c>
      <c r="B69" s="18" t="s">
        <v>33</v>
      </c>
      <c r="C69" s="19">
        <v>45634</v>
      </c>
      <c r="D69" s="18" t="s">
        <v>35</v>
      </c>
      <c r="E69" s="18" t="s">
        <v>36</v>
      </c>
      <c r="F69" s="9">
        <v>2610</v>
      </c>
      <c r="G69" s="9">
        <v>126</v>
      </c>
      <c r="H69" s="9">
        <v>288</v>
      </c>
      <c r="I69" s="9">
        <v>15660</v>
      </c>
      <c r="J69" s="9">
        <v>15145</v>
      </c>
      <c r="K69" s="9">
        <v>73</v>
      </c>
      <c r="L69" s="18" t="s">
        <v>37</v>
      </c>
      <c r="M69" s="18"/>
      <c r="N69" s="9">
        <v>58311</v>
      </c>
      <c r="O69" s="9">
        <v>10307</v>
      </c>
      <c r="P69" s="9">
        <v>5.7155999999999993</v>
      </c>
      <c r="Q69" s="9">
        <v>1164373</v>
      </c>
      <c r="R69" s="9">
        <f t="shared" si="4"/>
        <v>2.304244430264185E-3</v>
      </c>
      <c r="S69" s="23">
        <f t="shared" si="5"/>
        <v>48004</v>
      </c>
      <c r="T69">
        <f t="shared" si="6"/>
        <v>50</v>
      </c>
      <c r="U69">
        <f t="shared" si="7"/>
        <v>41579.333333333336</v>
      </c>
    </row>
    <row r="70" spans="1:21" x14ac:dyDescent="0.3">
      <c r="A70" s="13" t="s">
        <v>191</v>
      </c>
      <c r="B70" s="14" t="s">
        <v>14</v>
      </c>
      <c r="C70" s="15">
        <v>45724</v>
      </c>
      <c r="D70" s="14" t="s">
        <v>22</v>
      </c>
      <c r="E70" s="14" t="s">
        <v>23</v>
      </c>
      <c r="F70" s="8">
        <v>1292</v>
      </c>
      <c r="G70" s="8">
        <v>626</v>
      </c>
      <c r="H70" s="8">
        <v>496</v>
      </c>
      <c r="I70" s="8">
        <v>25840</v>
      </c>
      <c r="J70" s="8">
        <v>24916</v>
      </c>
      <c r="K70" s="8">
        <v>149</v>
      </c>
      <c r="L70" s="14" t="s">
        <v>62</v>
      </c>
      <c r="M70" s="14" t="s">
        <v>31</v>
      </c>
      <c r="N70" s="8">
        <v>53484</v>
      </c>
      <c r="O70" s="8">
        <v>12307</v>
      </c>
      <c r="P70" s="8">
        <v>5.6557999999999993</v>
      </c>
      <c r="Q70" s="8">
        <v>1060357</v>
      </c>
      <c r="R70" s="8">
        <f t="shared" si="4"/>
        <v>1.358976269313071E-3</v>
      </c>
      <c r="S70" s="22">
        <f t="shared" si="5"/>
        <v>41177</v>
      </c>
      <c r="T70">
        <f t="shared" si="6"/>
        <v>10</v>
      </c>
      <c r="U70">
        <f t="shared" si="7"/>
        <v>37367</v>
      </c>
    </row>
    <row r="71" spans="1:21" x14ac:dyDescent="0.3">
      <c r="A71" s="17" t="s">
        <v>192</v>
      </c>
      <c r="B71" s="18" t="s">
        <v>43</v>
      </c>
      <c r="C71" s="19">
        <v>45749</v>
      </c>
      <c r="D71" s="18" t="s">
        <v>74</v>
      </c>
      <c r="E71" s="18" t="s">
        <v>75</v>
      </c>
      <c r="F71" s="9">
        <v>199</v>
      </c>
      <c r="G71" s="9">
        <v>772</v>
      </c>
      <c r="H71" s="9">
        <v>400</v>
      </c>
      <c r="I71" s="9">
        <v>3582</v>
      </c>
      <c r="J71" s="9">
        <v>2988</v>
      </c>
      <c r="K71" s="9">
        <v>43</v>
      </c>
      <c r="L71" s="18" t="s">
        <v>30</v>
      </c>
      <c r="M71" s="18"/>
      <c r="N71" s="9">
        <v>50862</v>
      </c>
      <c r="O71" s="9">
        <v>15305</v>
      </c>
      <c r="P71" s="9">
        <v>5.6486000000000001</v>
      </c>
      <c r="Q71" s="9">
        <v>1379539</v>
      </c>
      <c r="R71" s="9">
        <f t="shared" si="4"/>
        <v>1.754209195970538E-4</v>
      </c>
      <c r="S71" s="23">
        <f t="shared" si="5"/>
        <v>35557</v>
      </c>
      <c r="T71">
        <f t="shared" si="6"/>
        <v>14</v>
      </c>
      <c r="U71">
        <f t="shared" si="7"/>
        <v>35430.333333333336</v>
      </c>
    </row>
    <row r="72" spans="1:21" x14ac:dyDescent="0.3">
      <c r="A72" s="13" t="s">
        <v>194</v>
      </c>
      <c r="B72" s="14" t="s">
        <v>27</v>
      </c>
      <c r="C72" s="15">
        <v>45537</v>
      </c>
      <c r="D72" s="14" t="s">
        <v>45</v>
      </c>
      <c r="E72" s="14" t="s">
        <v>68</v>
      </c>
      <c r="F72" s="8">
        <v>2551</v>
      </c>
      <c r="G72" s="8">
        <v>915</v>
      </c>
      <c r="H72" s="8">
        <v>205</v>
      </c>
      <c r="I72" s="8">
        <v>30612</v>
      </c>
      <c r="J72" s="8">
        <v>30360</v>
      </c>
      <c r="K72" s="8">
        <v>227</v>
      </c>
      <c r="L72" s="14" t="s">
        <v>30</v>
      </c>
      <c r="M72" s="14" t="s">
        <v>25</v>
      </c>
      <c r="N72" s="8">
        <v>47471</v>
      </c>
      <c r="O72" s="8">
        <v>12104</v>
      </c>
      <c r="P72" s="8">
        <v>5.5587999999999997</v>
      </c>
      <c r="Q72" s="8">
        <v>1228647</v>
      </c>
      <c r="R72" s="8">
        <f t="shared" si="4"/>
        <v>2.2610237114484471E-3</v>
      </c>
      <c r="S72" s="22">
        <f t="shared" si="5"/>
        <v>35367</v>
      </c>
      <c r="T72">
        <f t="shared" si="6"/>
        <v>36</v>
      </c>
      <c r="U72">
        <f t="shared" si="7"/>
        <v>35430.333333333336</v>
      </c>
    </row>
    <row r="73" spans="1:21" x14ac:dyDescent="0.3">
      <c r="A73" s="17" t="s">
        <v>196</v>
      </c>
      <c r="B73" s="18" t="s">
        <v>27</v>
      </c>
      <c r="C73" s="19">
        <v>45719</v>
      </c>
      <c r="D73" s="18" t="s">
        <v>16</v>
      </c>
      <c r="E73" s="18" t="s">
        <v>29</v>
      </c>
      <c r="F73" s="9">
        <v>296</v>
      </c>
      <c r="G73" s="9">
        <v>60</v>
      </c>
      <c r="H73" s="9">
        <v>141</v>
      </c>
      <c r="I73" s="9">
        <v>5624</v>
      </c>
      <c r="J73" s="9">
        <v>5239</v>
      </c>
      <c r="K73" s="9">
        <v>88</v>
      </c>
      <c r="L73" s="18" t="s">
        <v>37</v>
      </c>
      <c r="M73" s="18" t="s">
        <v>25</v>
      </c>
      <c r="N73" s="9">
        <v>47471</v>
      </c>
      <c r="O73" s="9">
        <v>12104</v>
      </c>
      <c r="P73" s="9">
        <v>5.5587999999999997</v>
      </c>
      <c r="Q73" s="9">
        <v>1228647</v>
      </c>
      <c r="R73" s="9">
        <f t="shared" si="4"/>
        <v>3.1253891475745274E-4</v>
      </c>
      <c r="S73" s="23">
        <f t="shared" si="5"/>
        <v>35367</v>
      </c>
      <c r="T73">
        <f t="shared" si="6"/>
        <v>10</v>
      </c>
      <c r="U73">
        <f t="shared" si="7"/>
        <v>35430.333333333336</v>
      </c>
    </row>
    <row r="74" spans="1:21" x14ac:dyDescent="0.3">
      <c r="A74" s="13" t="s">
        <v>198</v>
      </c>
      <c r="B74" s="14" t="s">
        <v>43</v>
      </c>
      <c r="C74" s="15">
        <v>45583</v>
      </c>
      <c r="D74" s="14" t="s">
        <v>35</v>
      </c>
      <c r="E74" s="14" t="s">
        <v>71</v>
      </c>
      <c r="F74" s="8">
        <v>4126</v>
      </c>
      <c r="G74" s="8">
        <v>426</v>
      </c>
      <c r="H74" s="8">
        <v>486</v>
      </c>
      <c r="I74" s="8">
        <v>78394</v>
      </c>
      <c r="J74" s="8">
        <v>77798</v>
      </c>
      <c r="K74" s="8">
        <v>88</v>
      </c>
      <c r="L74" s="14" t="s">
        <v>62</v>
      </c>
      <c r="M74" s="14" t="s">
        <v>38</v>
      </c>
      <c r="N74" s="8">
        <v>50862</v>
      </c>
      <c r="O74" s="8">
        <v>15305</v>
      </c>
      <c r="P74" s="8">
        <v>5.6486000000000001</v>
      </c>
      <c r="Q74" s="8">
        <v>1379539</v>
      </c>
      <c r="R74" s="8">
        <f t="shared" si="4"/>
        <v>3.0546436164544822E-3</v>
      </c>
      <c r="S74" s="22">
        <f t="shared" si="5"/>
        <v>35557</v>
      </c>
      <c r="T74">
        <f t="shared" si="6"/>
        <v>42</v>
      </c>
      <c r="U74">
        <f t="shared" si="7"/>
        <v>39642.666666666664</v>
      </c>
    </row>
    <row r="75" spans="1:21" x14ac:dyDescent="0.3">
      <c r="A75" s="17" t="s">
        <v>200</v>
      </c>
      <c r="B75" s="18" t="s">
        <v>27</v>
      </c>
      <c r="C75" s="19">
        <v>45593</v>
      </c>
      <c r="D75" s="18" t="s">
        <v>16</v>
      </c>
      <c r="E75" s="18" t="s">
        <v>29</v>
      </c>
      <c r="F75" s="9">
        <v>1855</v>
      </c>
      <c r="G75" s="9">
        <v>200</v>
      </c>
      <c r="H75" s="9">
        <v>174</v>
      </c>
      <c r="I75" s="9">
        <v>16695</v>
      </c>
      <c r="J75" s="9">
        <v>16330</v>
      </c>
      <c r="K75" s="9">
        <v>123</v>
      </c>
      <c r="L75" s="18" t="s">
        <v>30</v>
      </c>
      <c r="M75" s="18" t="s">
        <v>31</v>
      </c>
      <c r="N75" s="9">
        <v>47471</v>
      </c>
      <c r="O75" s="9">
        <v>12104</v>
      </c>
      <c r="P75" s="9">
        <v>5.5587999999999997</v>
      </c>
      <c r="Q75" s="9">
        <v>1228647</v>
      </c>
      <c r="R75" s="9">
        <f t="shared" si="4"/>
        <v>1.6099009723704206E-3</v>
      </c>
      <c r="S75" s="23">
        <f t="shared" si="5"/>
        <v>35367</v>
      </c>
      <c r="T75">
        <f t="shared" si="6"/>
        <v>44</v>
      </c>
      <c r="U75">
        <f t="shared" si="7"/>
        <v>41516</v>
      </c>
    </row>
    <row r="76" spans="1:21" x14ac:dyDescent="0.3">
      <c r="A76" s="13" t="s">
        <v>202</v>
      </c>
      <c r="B76" s="14" t="s">
        <v>33</v>
      </c>
      <c r="C76" s="15">
        <v>45505</v>
      </c>
      <c r="D76" s="14" t="s">
        <v>16</v>
      </c>
      <c r="E76" s="14" t="s">
        <v>82</v>
      </c>
      <c r="F76" s="8">
        <v>1674</v>
      </c>
      <c r="G76" s="8">
        <v>929</v>
      </c>
      <c r="H76" s="8">
        <v>37</v>
      </c>
      <c r="I76" s="8">
        <v>21762</v>
      </c>
      <c r="J76" s="8">
        <v>20998</v>
      </c>
      <c r="K76" s="8">
        <v>255</v>
      </c>
      <c r="L76" s="14" t="s">
        <v>30</v>
      </c>
      <c r="M76" s="14" t="s">
        <v>38</v>
      </c>
      <c r="N76" s="8">
        <v>58311</v>
      </c>
      <c r="O76" s="8">
        <v>10307</v>
      </c>
      <c r="P76" s="8">
        <v>5.7155999999999993</v>
      </c>
      <c r="Q76" s="8">
        <v>1164373</v>
      </c>
      <c r="R76" s="8">
        <f t="shared" si="4"/>
        <v>1.6566856153483463E-3</v>
      </c>
      <c r="S76" s="22">
        <f t="shared" si="5"/>
        <v>48004</v>
      </c>
      <c r="T76">
        <f t="shared" si="6"/>
        <v>31</v>
      </c>
      <c r="U76">
        <f t="shared" si="7"/>
        <v>41579.333333333336</v>
      </c>
    </row>
    <row r="77" spans="1:21" x14ac:dyDescent="0.3">
      <c r="A77" s="17" t="s">
        <v>204</v>
      </c>
      <c r="B77" s="18" t="s">
        <v>14</v>
      </c>
      <c r="C77" s="19">
        <v>45603</v>
      </c>
      <c r="D77" s="18" t="s">
        <v>35</v>
      </c>
      <c r="E77" s="18" t="s">
        <v>149</v>
      </c>
      <c r="F77" s="9">
        <v>1121</v>
      </c>
      <c r="G77" s="9">
        <v>135</v>
      </c>
      <c r="H77" s="9">
        <v>18</v>
      </c>
      <c r="I77" s="9">
        <v>15694</v>
      </c>
      <c r="J77" s="9">
        <v>14957</v>
      </c>
      <c r="K77" s="9">
        <v>99</v>
      </c>
      <c r="L77" s="18" t="s">
        <v>30</v>
      </c>
      <c r="M77" s="18" t="s">
        <v>38</v>
      </c>
      <c r="N77" s="9">
        <v>53484</v>
      </c>
      <c r="O77" s="9">
        <v>12307</v>
      </c>
      <c r="P77" s="9">
        <v>5.6557999999999993</v>
      </c>
      <c r="Q77" s="9">
        <v>1060357</v>
      </c>
      <c r="R77" s="9">
        <f t="shared" si="4"/>
        <v>1.150555897683516E-3</v>
      </c>
      <c r="S77" s="23">
        <f t="shared" si="5"/>
        <v>41177</v>
      </c>
      <c r="T77">
        <f t="shared" si="6"/>
        <v>45</v>
      </c>
      <c r="U77">
        <f t="shared" si="7"/>
        <v>39303.666666666664</v>
      </c>
    </row>
    <row r="78" spans="1:21" x14ac:dyDescent="0.3">
      <c r="A78" s="13" t="s">
        <v>206</v>
      </c>
      <c r="B78" s="14" t="s">
        <v>43</v>
      </c>
      <c r="C78" s="15">
        <v>45720</v>
      </c>
      <c r="D78" s="14" t="s">
        <v>35</v>
      </c>
      <c r="E78" s="14" t="s">
        <v>71</v>
      </c>
      <c r="F78" s="8">
        <v>1249</v>
      </c>
      <c r="G78" s="8">
        <v>116</v>
      </c>
      <c r="H78" s="8">
        <v>420</v>
      </c>
      <c r="I78" s="8">
        <v>8743</v>
      </c>
      <c r="J78" s="8">
        <v>8538</v>
      </c>
      <c r="K78" s="8">
        <v>63</v>
      </c>
      <c r="L78" s="14" t="s">
        <v>30</v>
      </c>
      <c r="M78" s="14"/>
      <c r="N78" s="8">
        <v>50862</v>
      </c>
      <c r="O78" s="8">
        <v>15305</v>
      </c>
      <c r="P78" s="8">
        <v>5.6486000000000001</v>
      </c>
      <c r="Q78" s="8">
        <v>1379539</v>
      </c>
      <c r="R78" s="8">
        <f t="shared" si="4"/>
        <v>9.5104234095592802E-4</v>
      </c>
      <c r="S78" s="22">
        <f t="shared" si="5"/>
        <v>35557</v>
      </c>
      <c r="T78">
        <f t="shared" si="6"/>
        <v>10</v>
      </c>
      <c r="U78">
        <f t="shared" si="7"/>
        <v>41579.333333333336</v>
      </c>
    </row>
    <row r="79" spans="1:21" x14ac:dyDescent="0.3">
      <c r="A79" s="17" t="s">
        <v>207</v>
      </c>
      <c r="B79" s="18" t="s">
        <v>14</v>
      </c>
      <c r="C79" s="19">
        <v>45460</v>
      </c>
      <c r="D79" s="18" t="s">
        <v>52</v>
      </c>
      <c r="E79" s="18" t="s">
        <v>132</v>
      </c>
      <c r="F79" s="9">
        <v>954</v>
      </c>
      <c r="G79" s="9">
        <v>324</v>
      </c>
      <c r="H79" s="9">
        <v>288</v>
      </c>
      <c r="I79" s="9">
        <v>19080</v>
      </c>
      <c r="J79" s="9">
        <v>18859</v>
      </c>
      <c r="K79" s="9">
        <v>21</v>
      </c>
      <c r="L79" s="18" t="s">
        <v>62</v>
      </c>
      <c r="M79" s="18" t="s">
        <v>38</v>
      </c>
      <c r="N79" s="9">
        <v>53484</v>
      </c>
      <c r="O79" s="9">
        <v>12307</v>
      </c>
      <c r="P79" s="9">
        <v>5.6557999999999993</v>
      </c>
      <c r="Q79" s="9">
        <v>1060357</v>
      </c>
      <c r="R79" s="9">
        <f t="shared" si="4"/>
        <v>9.1950163954215424E-4</v>
      </c>
      <c r="S79" s="23">
        <f t="shared" si="5"/>
        <v>41177</v>
      </c>
      <c r="T79">
        <f t="shared" si="6"/>
        <v>25</v>
      </c>
      <c r="U79">
        <f t="shared" si="7"/>
        <v>45728.333333333336</v>
      </c>
    </row>
    <row r="80" spans="1:21" x14ac:dyDescent="0.3">
      <c r="A80" s="13" t="s">
        <v>208</v>
      </c>
      <c r="B80" s="14" t="s">
        <v>33</v>
      </c>
      <c r="C80" s="15">
        <v>45574</v>
      </c>
      <c r="D80" s="14" t="s">
        <v>45</v>
      </c>
      <c r="E80" s="14" t="s">
        <v>88</v>
      </c>
      <c r="F80" s="8">
        <v>3068</v>
      </c>
      <c r="G80" s="8">
        <v>137</v>
      </c>
      <c r="H80" s="8">
        <v>329</v>
      </c>
      <c r="I80" s="8">
        <v>39884</v>
      </c>
      <c r="J80" s="8">
        <v>39404</v>
      </c>
      <c r="K80" s="8">
        <v>266</v>
      </c>
      <c r="L80" s="14" t="s">
        <v>37</v>
      </c>
      <c r="M80" s="14" t="s">
        <v>25</v>
      </c>
      <c r="N80" s="8">
        <v>58311</v>
      </c>
      <c r="O80" s="8">
        <v>10307</v>
      </c>
      <c r="P80" s="8">
        <v>5.7155999999999993</v>
      </c>
      <c r="Q80" s="8">
        <v>1164373</v>
      </c>
      <c r="R80" s="8">
        <f t="shared" si="4"/>
        <v>2.86334361926977E-3</v>
      </c>
      <c r="S80" s="22">
        <f t="shared" si="5"/>
        <v>48004</v>
      </c>
      <c r="T80">
        <f t="shared" si="6"/>
        <v>41</v>
      </c>
      <c r="U80">
        <f t="shared" si="7"/>
        <v>48004</v>
      </c>
    </row>
    <row r="81" spans="1:21" x14ac:dyDescent="0.3">
      <c r="A81" s="17" t="s">
        <v>210</v>
      </c>
      <c r="B81" s="18" t="s">
        <v>33</v>
      </c>
      <c r="C81" s="19">
        <v>45456</v>
      </c>
      <c r="D81" s="18" t="s">
        <v>35</v>
      </c>
      <c r="E81" s="18" t="s">
        <v>36</v>
      </c>
      <c r="F81" s="9">
        <v>2103</v>
      </c>
      <c r="G81" s="9">
        <v>892</v>
      </c>
      <c r="H81" s="9">
        <v>103</v>
      </c>
      <c r="I81" s="9">
        <v>39957</v>
      </c>
      <c r="J81" s="9">
        <v>39466</v>
      </c>
      <c r="K81" s="9">
        <v>28</v>
      </c>
      <c r="L81" s="18" t="s">
        <v>62</v>
      </c>
      <c r="M81" s="18"/>
      <c r="N81" s="9">
        <v>58311</v>
      </c>
      <c r="O81" s="9">
        <v>10307</v>
      </c>
      <c r="P81" s="9">
        <v>5.7155999999999993</v>
      </c>
      <c r="Q81" s="9">
        <v>1164373</v>
      </c>
      <c r="R81" s="9">
        <f t="shared" si="4"/>
        <v>1.8301695418907859E-3</v>
      </c>
      <c r="S81" s="23">
        <f t="shared" si="5"/>
        <v>48004</v>
      </c>
      <c r="T81">
        <f t="shared" si="6"/>
        <v>24</v>
      </c>
      <c r="U81">
        <f t="shared" si="7"/>
        <v>48004</v>
      </c>
    </row>
    <row r="82" spans="1:21" x14ac:dyDescent="0.3">
      <c r="A82" s="13" t="s">
        <v>211</v>
      </c>
      <c r="B82" s="14" t="s">
        <v>33</v>
      </c>
      <c r="C82" s="15">
        <v>45584</v>
      </c>
      <c r="D82" s="14" t="s">
        <v>35</v>
      </c>
      <c r="E82" s="14" t="s">
        <v>36</v>
      </c>
      <c r="F82" s="8">
        <v>1816</v>
      </c>
      <c r="G82" s="8">
        <v>29</v>
      </c>
      <c r="H82" s="8">
        <v>41</v>
      </c>
      <c r="I82" s="8">
        <v>19976</v>
      </c>
      <c r="J82" s="8">
        <v>19262</v>
      </c>
      <c r="K82" s="8">
        <v>283</v>
      </c>
      <c r="L82" s="14" t="s">
        <v>30</v>
      </c>
      <c r="M82" s="14" t="s">
        <v>31</v>
      </c>
      <c r="N82" s="8">
        <v>58311</v>
      </c>
      <c r="O82" s="8">
        <v>10307</v>
      </c>
      <c r="P82" s="8">
        <v>5.7155999999999993</v>
      </c>
      <c r="Q82" s="8">
        <v>1164373</v>
      </c>
      <c r="R82" s="8">
        <f t="shared" si="4"/>
        <v>1.802686939666241E-3</v>
      </c>
      <c r="S82" s="22">
        <f t="shared" si="5"/>
        <v>48004</v>
      </c>
      <c r="T82">
        <f t="shared" si="6"/>
        <v>42</v>
      </c>
      <c r="U82">
        <f t="shared" si="7"/>
        <v>43791.666666666664</v>
      </c>
    </row>
    <row r="83" spans="1:21" x14ac:dyDescent="0.3">
      <c r="A83" s="17" t="s">
        <v>213</v>
      </c>
      <c r="B83" s="18" t="s">
        <v>33</v>
      </c>
      <c r="C83" s="19">
        <v>45497</v>
      </c>
      <c r="D83" s="18" t="s">
        <v>52</v>
      </c>
      <c r="E83" s="18" t="s">
        <v>215</v>
      </c>
      <c r="F83" s="9">
        <v>725</v>
      </c>
      <c r="G83" s="9">
        <v>88</v>
      </c>
      <c r="H83" s="9">
        <v>428</v>
      </c>
      <c r="I83" s="9">
        <v>14500</v>
      </c>
      <c r="J83" s="9">
        <v>13637</v>
      </c>
      <c r="K83" s="9">
        <v>200</v>
      </c>
      <c r="L83" s="18" t="s">
        <v>62</v>
      </c>
      <c r="M83" s="18" t="s">
        <v>31</v>
      </c>
      <c r="N83" s="9">
        <v>58311</v>
      </c>
      <c r="O83" s="9">
        <v>10307</v>
      </c>
      <c r="P83" s="9">
        <v>5.7155999999999993</v>
      </c>
      <c r="Q83" s="9">
        <v>1164373</v>
      </c>
      <c r="R83" s="9">
        <f t="shared" si="4"/>
        <v>7.9441897055325058E-4</v>
      </c>
      <c r="S83" s="23">
        <f t="shared" si="5"/>
        <v>48004</v>
      </c>
      <c r="T83">
        <f t="shared" si="6"/>
        <v>30</v>
      </c>
      <c r="U83">
        <f t="shared" si="7"/>
        <v>39642.666666666664</v>
      </c>
    </row>
    <row r="84" spans="1:21" x14ac:dyDescent="0.3">
      <c r="A84" s="13" t="s">
        <v>217</v>
      </c>
      <c r="B84" s="14" t="s">
        <v>27</v>
      </c>
      <c r="C84" s="15">
        <v>45580</v>
      </c>
      <c r="D84" s="14" t="s">
        <v>74</v>
      </c>
      <c r="E84" s="14" t="s">
        <v>219</v>
      </c>
      <c r="F84" s="8">
        <v>1094</v>
      </c>
      <c r="G84" s="8">
        <v>472</v>
      </c>
      <c r="H84" s="8">
        <v>21</v>
      </c>
      <c r="I84" s="8">
        <v>9846</v>
      </c>
      <c r="J84" s="8">
        <v>9609</v>
      </c>
      <c r="K84" s="8">
        <v>112</v>
      </c>
      <c r="L84" s="14" t="s">
        <v>37</v>
      </c>
      <c r="M84" s="14"/>
      <c r="N84" s="8">
        <v>47471</v>
      </c>
      <c r="O84" s="8">
        <v>12104</v>
      </c>
      <c r="P84" s="8">
        <v>5.5587999999999997</v>
      </c>
      <c r="Q84" s="8">
        <v>1228647</v>
      </c>
      <c r="R84" s="8">
        <f t="shared" si="4"/>
        <v>9.8156752916012482E-4</v>
      </c>
      <c r="S84" s="22">
        <f t="shared" si="5"/>
        <v>35367</v>
      </c>
      <c r="T84">
        <f t="shared" si="6"/>
        <v>42</v>
      </c>
      <c r="U84">
        <f t="shared" si="7"/>
        <v>39642.666666666664</v>
      </c>
    </row>
    <row r="85" spans="1:21" x14ac:dyDescent="0.3">
      <c r="A85" s="17" t="s">
        <v>220</v>
      </c>
      <c r="B85" s="18" t="s">
        <v>43</v>
      </c>
      <c r="C85" s="19">
        <v>45635</v>
      </c>
      <c r="D85" s="18" t="s">
        <v>52</v>
      </c>
      <c r="E85" s="18" t="s">
        <v>59</v>
      </c>
      <c r="F85" s="9">
        <v>1841</v>
      </c>
      <c r="G85" s="9">
        <v>851</v>
      </c>
      <c r="H85" s="9">
        <v>342</v>
      </c>
      <c r="I85" s="9">
        <v>34979</v>
      </c>
      <c r="J85" s="9">
        <v>34154</v>
      </c>
      <c r="K85" s="9">
        <v>255</v>
      </c>
      <c r="L85" s="18" t="s">
        <v>62</v>
      </c>
      <c r="M85" s="18" t="s">
        <v>38</v>
      </c>
      <c r="N85" s="9">
        <v>50862</v>
      </c>
      <c r="O85" s="9">
        <v>15305</v>
      </c>
      <c r="P85" s="9">
        <v>5.6486000000000001</v>
      </c>
      <c r="Q85" s="9">
        <v>1379539</v>
      </c>
      <c r="R85" s="9">
        <f t="shared" si="4"/>
        <v>1.5193481300637387E-3</v>
      </c>
      <c r="S85" s="23">
        <f t="shared" si="5"/>
        <v>35557</v>
      </c>
      <c r="T85">
        <f t="shared" si="6"/>
        <v>50</v>
      </c>
      <c r="U85">
        <f t="shared" si="7"/>
        <v>39642.666666666664</v>
      </c>
    </row>
    <row r="86" spans="1:21" x14ac:dyDescent="0.3">
      <c r="A86" s="13" t="s">
        <v>222</v>
      </c>
      <c r="B86" s="14" t="s">
        <v>33</v>
      </c>
      <c r="C86" s="15">
        <v>45766</v>
      </c>
      <c r="D86" s="14" t="s">
        <v>52</v>
      </c>
      <c r="E86" s="14" t="s">
        <v>215</v>
      </c>
      <c r="F86" s="8">
        <v>4177</v>
      </c>
      <c r="G86" s="8">
        <v>569</v>
      </c>
      <c r="H86" s="8">
        <v>55</v>
      </c>
      <c r="I86" s="8">
        <v>25062</v>
      </c>
      <c r="J86" s="8">
        <v>24847</v>
      </c>
      <c r="K86" s="8">
        <v>230</v>
      </c>
      <c r="L86" s="14" t="s">
        <v>62</v>
      </c>
      <c r="M86" s="14" t="s">
        <v>19</v>
      </c>
      <c r="N86" s="8">
        <v>58311</v>
      </c>
      <c r="O86" s="8">
        <v>10307</v>
      </c>
      <c r="P86" s="8">
        <v>5.7155999999999993</v>
      </c>
      <c r="Q86" s="8">
        <v>1164373</v>
      </c>
      <c r="R86" s="8">
        <f t="shared" si="4"/>
        <v>3.7848696251115408E-3</v>
      </c>
      <c r="S86" s="22">
        <f t="shared" si="5"/>
        <v>48004</v>
      </c>
      <c r="T86">
        <f t="shared" si="6"/>
        <v>16</v>
      </c>
      <c r="U86">
        <f t="shared" si="7"/>
        <v>41516</v>
      </c>
    </row>
    <row r="87" spans="1:21" x14ac:dyDescent="0.3">
      <c r="A87" s="17" t="s">
        <v>223</v>
      </c>
      <c r="B87" s="18" t="s">
        <v>27</v>
      </c>
      <c r="C87" s="19">
        <v>45684</v>
      </c>
      <c r="D87" s="18" t="s">
        <v>22</v>
      </c>
      <c r="E87" s="18" t="s">
        <v>104</v>
      </c>
      <c r="F87" s="9">
        <v>3428</v>
      </c>
      <c r="G87" s="9">
        <v>305</v>
      </c>
      <c r="H87" s="9">
        <v>85</v>
      </c>
      <c r="I87" s="9">
        <v>58276</v>
      </c>
      <c r="J87" s="9">
        <v>58052</v>
      </c>
      <c r="K87" s="9">
        <v>242</v>
      </c>
      <c r="L87" s="18" t="s">
        <v>37</v>
      </c>
      <c r="M87" s="18" t="s">
        <v>38</v>
      </c>
      <c r="N87" s="9">
        <v>47471</v>
      </c>
      <c r="O87" s="9">
        <v>12104</v>
      </c>
      <c r="P87" s="9">
        <v>5.5587999999999997</v>
      </c>
      <c r="Q87" s="9">
        <v>1228647</v>
      </c>
      <c r="R87" s="9">
        <f t="shared" si="4"/>
        <v>2.9870255655204464E-3</v>
      </c>
      <c r="S87" s="23">
        <f t="shared" si="5"/>
        <v>35367</v>
      </c>
      <c r="T87">
        <f t="shared" si="6"/>
        <v>5</v>
      </c>
      <c r="U87">
        <f t="shared" si="7"/>
        <v>37367</v>
      </c>
    </row>
    <row r="88" spans="1:21" x14ac:dyDescent="0.3">
      <c r="A88" s="13" t="s">
        <v>225</v>
      </c>
      <c r="B88" s="14" t="s">
        <v>14</v>
      </c>
      <c r="C88" s="15">
        <v>45449</v>
      </c>
      <c r="D88" s="14" t="s">
        <v>74</v>
      </c>
      <c r="E88" s="14" t="s">
        <v>145</v>
      </c>
      <c r="F88" s="8">
        <v>1436</v>
      </c>
      <c r="G88" s="8">
        <v>765</v>
      </c>
      <c r="H88" s="8">
        <v>496</v>
      </c>
      <c r="I88" s="8">
        <v>12924</v>
      </c>
      <c r="J88" s="8">
        <v>12701</v>
      </c>
      <c r="K88" s="8">
        <v>197</v>
      </c>
      <c r="L88" s="14" t="s">
        <v>62</v>
      </c>
      <c r="M88" s="14" t="s">
        <v>31</v>
      </c>
      <c r="N88" s="8">
        <v>53484</v>
      </c>
      <c r="O88" s="8">
        <v>12307</v>
      </c>
      <c r="P88" s="8">
        <v>5.6557999999999993</v>
      </c>
      <c r="Q88" s="8">
        <v>1060357</v>
      </c>
      <c r="R88" s="8">
        <f t="shared" si="4"/>
        <v>1.540047361407526E-3</v>
      </c>
      <c r="S88" s="22">
        <f t="shared" si="5"/>
        <v>41177</v>
      </c>
      <c r="T88">
        <f t="shared" si="6"/>
        <v>23</v>
      </c>
      <c r="U88">
        <f t="shared" si="7"/>
        <v>39303.666666666664</v>
      </c>
    </row>
    <row r="89" spans="1:21" x14ac:dyDescent="0.3">
      <c r="A89" s="17" t="s">
        <v>227</v>
      </c>
      <c r="B89" s="18" t="s">
        <v>43</v>
      </c>
      <c r="C89" s="19">
        <v>45480</v>
      </c>
      <c r="D89" s="18" t="s">
        <v>35</v>
      </c>
      <c r="E89" s="18" t="s">
        <v>71</v>
      </c>
      <c r="F89" s="9">
        <v>302</v>
      </c>
      <c r="G89" s="9">
        <v>47</v>
      </c>
      <c r="H89" s="9">
        <v>430</v>
      </c>
      <c r="I89" s="9">
        <v>5738</v>
      </c>
      <c r="J89" s="9">
        <v>4890</v>
      </c>
      <c r="K89" s="9">
        <v>25</v>
      </c>
      <c r="L89" s="18" t="s">
        <v>30</v>
      </c>
      <c r="M89" s="18" t="s">
        <v>38</v>
      </c>
      <c r="N89" s="9">
        <v>50862</v>
      </c>
      <c r="O89" s="9">
        <v>15305</v>
      </c>
      <c r="P89" s="9">
        <v>5.6486000000000001</v>
      </c>
      <c r="Q89" s="9">
        <v>1379539</v>
      </c>
      <c r="R89" s="9">
        <f t="shared" si="4"/>
        <v>2.3703570540593632E-4</v>
      </c>
      <c r="S89" s="23">
        <f t="shared" si="5"/>
        <v>35557</v>
      </c>
      <c r="T89">
        <f t="shared" si="6"/>
        <v>28</v>
      </c>
      <c r="U89">
        <f t="shared" si="7"/>
        <v>41579.333333333336</v>
      </c>
    </row>
    <row r="90" spans="1:21" x14ac:dyDescent="0.3">
      <c r="A90" s="13" t="s">
        <v>229</v>
      </c>
      <c r="B90" s="14" t="s">
        <v>14</v>
      </c>
      <c r="C90" s="15">
        <v>45667</v>
      </c>
      <c r="D90" s="14" t="s">
        <v>52</v>
      </c>
      <c r="E90" s="14" t="s">
        <v>132</v>
      </c>
      <c r="F90" s="8">
        <v>2214</v>
      </c>
      <c r="G90" s="8">
        <v>249</v>
      </c>
      <c r="H90" s="8">
        <v>152</v>
      </c>
      <c r="I90" s="8">
        <v>15498</v>
      </c>
      <c r="J90" s="8">
        <v>14800</v>
      </c>
      <c r="K90" s="8">
        <v>180</v>
      </c>
      <c r="L90" s="14" t="s">
        <v>37</v>
      </c>
      <c r="M90" s="14"/>
      <c r="N90" s="8">
        <v>53484</v>
      </c>
      <c r="O90" s="8">
        <v>12307</v>
      </c>
      <c r="P90" s="8">
        <v>5.6557999999999993</v>
      </c>
      <c r="Q90" s="8">
        <v>1060357</v>
      </c>
      <c r="R90" s="8">
        <f t="shared" si="4"/>
        <v>2.2577301795527354E-3</v>
      </c>
      <c r="S90" s="22">
        <f t="shared" si="5"/>
        <v>41177</v>
      </c>
      <c r="T90">
        <f t="shared" si="6"/>
        <v>2</v>
      </c>
      <c r="U90">
        <f t="shared" si="7"/>
        <v>41579.333333333336</v>
      </c>
    </row>
    <row r="91" spans="1:21" x14ac:dyDescent="0.3">
      <c r="A91" s="17" t="s">
        <v>231</v>
      </c>
      <c r="B91" s="18" t="s">
        <v>33</v>
      </c>
      <c r="C91" s="19">
        <v>45446</v>
      </c>
      <c r="D91" s="18" t="s">
        <v>52</v>
      </c>
      <c r="E91" s="18" t="s">
        <v>215</v>
      </c>
      <c r="F91" s="9">
        <v>3861</v>
      </c>
      <c r="G91" s="9">
        <v>960</v>
      </c>
      <c r="H91" s="9">
        <v>101</v>
      </c>
      <c r="I91" s="9">
        <v>69498</v>
      </c>
      <c r="J91" s="9">
        <v>68817</v>
      </c>
      <c r="K91" s="9">
        <v>297</v>
      </c>
      <c r="L91" s="18" t="s">
        <v>30</v>
      </c>
      <c r="M91" s="18" t="s">
        <v>38</v>
      </c>
      <c r="N91" s="9">
        <v>58311</v>
      </c>
      <c r="O91" s="9">
        <v>10307</v>
      </c>
      <c r="P91" s="9">
        <v>5.7155999999999993</v>
      </c>
      <c r="Q91" s="9">
        <v>1164373</v>
      </c>
      <c r="R91" s="9">
        <f t="shared" si="4"/>
        <v>3.5710206265518007E-3</v>
      </c>
      <c r="S91" s="23">
        <f t="shared" si="5"/>
        <v>48004</v>
      </c>
      <c r="T91">
        <f t="shared" si="6"/>
        <v>23</v>
      </c>
      <c r="U91">
        <f t="shared" si="7"/>
        <v>41579.333333333336</v>
      </c>
    </row>
    <row r="92" spans="1:21" x14ac:dyDescent="0.3">
      <c r="A92" s="13" t="s">
        <v>233</v>
      </c>
      <c r="B92" s="14" t="s">
        <v>43</v>
      </c>
      <c r="C92" s="15">
        <v>45740</v>
      </c>
      <c r="D92" s="14" t="s">
        <v>52</v>
      </c>
      <c r="E92" s="14" t="s">
        <v>59</v>
      </c>
      <c r="F92" s="8">
        <v>1263</v>
      </c>
      <c r="G92" s="8">
        <v>397</v>
      </c>
      <c r="H92" s="8">
        <v>357</v>
      </c>
      <c r="I92" s="8">
        <v>25260</v>
      </c>
      <c r="J92" s="8">
        <v>24615</v>
      </c>
      <c r="K92" s="8">
        <v>137</v>
      </c>
      <c r="L92" s="14" t="s">
        <v>37</v>
      </c>
      <c r="M92" s="14" t="s">
        <v>38</v>
      </c>
      <c r="N92" s="8">
        <v>50862</v>
      </c>
      <c r="O92" s="8">
        <v>15305</v>
      </c>
      <c r="P92" s="8">
        <v>5.6486000000000001</v>
      </c>
      <c r="Q92" s="8">
        <v>1379539</v>
      </c>
      <c r="R92" s="8">
        <f t="shared" si="4"/>
        <v>1.0148317662639476E-3</v>
      </c>
      <c r="S92" s="22">
        <f t="shared" si="5"/>
        <v>35557</v>
      </c>
      <c r="T92">
        <f t="shared" si="6"/>
        <v>13</v>
      </c>
      <c r="U92">
        <f t="shared" si="7"/>
        <v>41579.333333333336</v>
      </c>
    </row>
    <row r="93" spans="1:21" x14ac:dyDescent="0.3">
      <c r="A93" s="17" t="s">
        <v>235</v>
      </c>
      <c r="B93" s="18" t="s">
        <v>14</v>
      </c>
      <c r="C93" s="19">
        <v>45586</v>
      </c>
      <c r="D93" s="18" t="s">
        <v>35</v>
      </c>
      <c r="E93" s="18" t="s">
        <v>149</v>
      </c>
      <c r="F93" s="9">
        <v>3801</v>
      </c>
      <c r="G93" s="9">
        <v>967</v>
      </c>
      <c r="H93" s="9">
        <v>401</v>
      </c>
      <c r="I93" s="9">
        <v>38010</v>
      </c>
      <c r="J93" s="9">
        <v>37625</v>
      </c>
      <c r="K93" s="9">
        <v>236</v>
      </c>
      <c r="L93" s="18" t="s">
        <v>62</v>
      </c>
      <c r="M93" s="18" t="s">
        <v>31</v>
      </c>
      <c r="N93" s="9">
        <v>53484</v>
      </c>
      <c r="O93" s="9">
        <v>12307</v>
      </c>
      <c r="P93" s="9">
        <v>5.6557999999999993</v>
      </c>
      <c r="Q93" s="9">
        <v>1060357</v>
      </c>
      <c r="R93" s="9">
        <f t="shared" si="4"/>
        <v>3.8072083270068477E-3</v>
      </c>
      <c r="S93" s="23">
        <f t="shared" si="5"/>
        <v>41177</v>
      </c>
      <c r="T93">
        <f t="shared" si="6"/>
        <v>43</v>
      </c>
      <c r="U93">
        <f t="shared" si="7"/>
        <v>45728.333333333336</v>
      </c>
    </row>
    <row r="94" spans="1:21" x14ac:dyDescent="0.3">
      <c r="A94" s="13" t="s">
        <v>236</v>
      </c>
      <c r="B94" s="14" t="s">
        <v>33</v>
      </c>
      <c r="C94" s="15">
        <v>45637</v>
      </c>
      <c r="D94" s="14" t="s">
        <v>74</v>
      </c>
      <c r="E94" s="14" t="s">
        <v>85</v>
      </c>
      <c r="F94" s="8">
        <v>1431</v>
      </c>
      <c r="G94" s="8">
        <v>951</v>
      </c>
      <c r="H94" s="8">
        <v>26</v>
      </c>
      <c r="I94" s="8">
        <v>8586</v>
      </c>
      <c r="J94" s="8">
        <v>8396</v>
      </c>
      <c r="K94" s="8">
        <v>150</v>
      </c>
      <c r="L94" s="14" t="s">
        <v>37</v>
      </c>
      <c r="M94" s="14" t="s">
        <v>31</v>
      </c>
      <c r="N94" s="8">
        <v>58311</v>
      </c>
      <c r="O94" s="8">
        <v>10307</v>
      </c>
      <c r="P94" s="8">
        <v>5.7155999999999993</v>
      </c>
      <c r="Q94" s="8">
        <v>1164373</v>
      </c>
      <c r="R94" s="8">
        <f t="shared" si="4"/>
        <v>1.3578123161564206E-3</v>
      </c>
      <c r="S94" s="22">
        <f t="shared" si="5"/>
        <v>48004</v>
      </c>
      <c r="T94">
        <f t="shared" si="6"/>
        <v>50</v>
      </c>
      <c r="U94">
        <f t="shared" si="7"/>
        <v>48004</v>
      </c>
    </row>
    <row r="95" spans="1:21" x14ac:dyDescent="0.3">
      <c r="A95" s="17" t="s">
        <v>238</v>
      </c>
      <c r="B95" s="18" t="s">
        <v>33</v>
      </c>
      <c r="C95" s="19">
        <v>45603</v>
      </c>
      <c r="D95" s="18" t="s">
        <v>52</v>
      </c>
      <c r="E95" s="18" t="s">
        <v>215</v>
      </c>
      <c r="F95" s="9">
        <v>2647</v>
      </c>
      <c r="G95" s="9">
        <v>304</v>
      </c>
      <c r="H95" s="9">
        <v>170</v>
      </c>
      <c r="I95" s="9">
        <v>18529</v>
      </c>
      <c r="J95" s="9">
        <v>17841</v>
      </c>
      <c r="K95" s="9">
        <v>46</v>
      </c>
      <c r="L95" s="18" t="s">
        <v>62</v>
      </c>
      <c r="M95" s="18" t="s">
        <v>31</v>
      </c>
      <c r="N95" s="9">
        <v>58311</v>
      </c>
      <c r="O95" s="9">
        <v>10307</v>
      </c>
      <c r="P95" s="9">
        <v>5.7155999999999993</v>
      </c>
      <c r="Q95" s="9">
        <v>1164373</v>
      </c>
      <c r="R95" s="9">
        <f t="shared" si="4"/>
        <v>2.3128327434593552E-3</v>
      </c>
      <c r="S95" s="23">
        <f t="shared" si="5"/>
        <v>48004</v>
      </c>
      <c r="T95">
        <f t="shared" si="6"/>
        <v>45</v>
      </c>
      <c r="U95">
        <f t="shared" si="7"/>
        <v>45728.333333333336</v>
      </c>
    </row>
    <row r="96" spans="1:21" x14ac:dyDescent="0.3">
      <c r="A96" s="13" t="s">
        <v>239</v>
      </c>
      <c r="B96" s="14" t="s">
        <v>33</v>
      </c>
      <c r="C96" s="15">
        <v>45604</v>
      </c>
      <c r="D96" s="14" t="s">
        <v>22</v>
      </c>
      <c r="E96" s="14" t="s">
        <v>113</v>
      </c>
      <c r="F96" s="8">
        <v>3182</v>
      </c>
      <c r="G96" s="8">
        <v>559</v>
      </c>
      <c r="H96" s="8">
        <v>160</v>
      </c>
      <c r="I96" s="8">
        <v>57276</v>
      </c>
      <c r="J96" s="8">
        <v>56890</v>
      </c>
      <c r="K96" s="8">
        <v>163</v>
      </c>
      <c r="L96" s="14" t="s">
        <v>62</v>
      </c>
      <c r="M96" s="14" t="s">
        <v>38</v>
      </c>
      <c r="N96" s="8">
        <v>58311</v>
      </c>
      <c r="O96" s="8">
        <v>10307</v>
      </c>
      <c r="P96" s="8">
        <v>5.7155999999999993</v>
      </c>
      <c r="Q96" s="8">
        <v>1164373</v>
      </c>
      <c r="R96" s="8">
        <f t="shared" si="4"/>
        <v>2.8727907637844572E-3</v>
      </c>
      <c r="S96" s="22">
        <f t="shared" si="5"/>
        <v>48004</v>
      </c>
      <c r="T96">
        <f t="shared" si="6"/>
        <v>45</v>
      </c>
      <c r="U96">
        <f t="shared" si="7"/>
        <v>45728.333333333336</v>
      </c>
    </row>
    <row r="97" spans="1:21" x14ac:dyDescent="0.3">
      <c r="A97" s="17" t="s">
        <v>241</v>
      </c>
      <c r="B97" s="18" t="s">
        <v>14</v>
      </c>
      <c r="C97" s="19">
        <v>45545</v>
      </c>
      <c r="D97" s="18" t="s">
        <v>52</v>
      </c>
      <c r="E97" s="18" t="s">
        <v>132</v>
      </c>
      <c r="F97" s="9">
        <v>1238</v>
      </c>
      <c r="G97" s="9">
        <v>366</v>
      </c>
      <c r="H97" s="9">
        <v>444</v>
      </c>
      <c r="I97" s="9">
        <v>19808</v>
      </c>
      <c r="J97" s="9">
        <v>19334</v>
      </c>
      <c r="K97" s="9">
        <v>123</v>
      </c>
      <c r="L97" s="18" t="s">
        <v>62</v>
      </c>
      <c r="M97" s="18"/>
      <c r="N97" s="9">
        <v>53484</v>
      </c>
      <c r="O97" s="9">
        <v>12307</v>
      </c>
      <c r="P97" s="9">
        <v>5.6557999999999993</v>
      </c>
      <c r="Q97" s="9">
        <v>1060357</v>
      </c>
      <c r="R97" s="9">
        <f t="shared" si="4"/>
        <v>1.2835299809403815E-3</v>
      </c>
      <c r="S97" s="23">
        <f t="shared" si="5"/>
        <v>41177</v>
      </c>
      <c r="T97">
        <f t="shared" si="6"/>
        <v>37</v>
      </c>
      <c r="U97">
        <f t="shared" si="7"/>
        <v>43452.666666666664</v>
      </c>
    </row>
    <row r="98" spans="1:21" x14ac:dyDescent="0.3">
      <c r="A98" s="13" t="s">
        <v>243</v>
      </c>
      <c r="B98" s="14" t="s">
        <v>33</v>
      </c>
      <c r="C98" s="15">
        <v>45517</v>
      </c>
      <c r="D98" s="14" t="s">
        <v>52</v>
      </c>
      <c r="E98" s="14" t="s">
        <v>215</v>
      </c>
      <c r="F98" s="8">
        <v>4739</v>
      </c>
      <c r="G98" s="8">
        <v>527</v>
      </c>
      <c r="H98" s="8">
        <v>135</v>
      </c>
      <c r="I98" s="8">
        <v>61607</v>
      </c>
      <c r="J98" s="8">
        <v>61333</v>
      </c>
      <c r="K98" s="8">
        <v>36</v>
      </c>
      <c r="L98" s="14" t="s">
        <v>30</v>
      </c>
      <c r="M98" s="14" t="s">
        <v>25</v>
      </c>
      <c r="N98" s="8">
        <v>58311</v>
      </c>
      <c r="O98" s="8">
        <v>10307</v>
      </c>
      <c r="P98" s="8">
        <v>5.7155999999999993</v>
      </c>
      <c r="Q98" s="8">
        <v>1164373</v>
      </c>
      <c r="R98" s="8">
        <f t="shared" si="4"/>
        <v>4.1009195506938071E-3</v>
      </c>
      <c r="S98" s="22">
        <f t="shared" si="5"/>
        <v>48004</v>
      </c>
      <c r="T98">
        <f t="shared" si="6"/>
        <v>33</v>
      </c>
      <c r="U98">
        <f t="shared" si="7"/>
        <v>41516</v>
      </c>
    </row>
    <row r="99" spans="1:21" x14ac:dyDescent="0.3">
      <c r="A99" s="17" t="s">
        <v>245</v>
      </c>
      <c r="B99" s="18" t="s">
        <v>14</v>
      </c>
      <c r="C99" s="19">
        <v>45453</v>
      </c>
      <c r="D99" s="18" t="s">
        <v>35</v>
      </c>
      <c r="E99" s="18" t="s">
        <v>149</v>
      </c>
      <c r="F99" s="9">
        <v>1575</v>
      </c>
      <c r="G99" s="9">
        <v>771</v>
      </c>
      <c r="H99" s="9">
        <v>486</v>
      </c>
      <c r="I99" s="9">
        <v>25200</v>
      </c>
      <c r="J99" s="9">
        <v>24826</v>
      </c>
      <c r="K99" s="9">
        <v>17</v>
      </c>
      <c r="L99" s="18" t="s">
        <v>62</v>
      </c>
      <c r="M99" s="18" t="s">
        <v>38</v>
      </c>
      <c r="N99" s="9">
        <v>53484</v>
      </c>
      <c r="O99" s="9">
        <v>12307</v>
      </c>
      <c r="P99" s="9">
        <v>5.6557999999999993</v>
      </c>
      <c r="Q99" s="9">
        <v>1060357</v>
      </c>
      <c r="R99" s="9">
        <f t="shared" si="4"/>
        <v>1.5013811386165225E-3</v>
      </c>
      <c r="S99" s="23">
        <f t="shared" si="5"/>
        <v>41177</v>
      </c>
      <c r="T99">
        <f t="shared" si="6"/>
        <v>24</v>
      </c>
      <c r="U99">
        <f t="shared" si="7"/>
        <v>37303.666666666664</v>
      </c>
    </row>
    <row r="100" spans="1:21" x14ac:dyDescent="0.3">
      <c r="A100" s="13" t="s">
        <v>246</v>
      </c>
      <c r="B100" s="14" t="s">
        <v>27</v>
      </c>
      <c r="C100" s="15">
        <v>45475</v>
      </c>
      <c r="D100" s="14" t="s">
        <v>45</v>
      </c>
      <c r="E100" s="14" t="s">
        <v>68</v>
      </c>
      <c r="F100" s="8">
        <v>4171</v>
      </c>
      <c r="G100" s="8">
        <v>548</v>
      </c>
      <c r="H100" s="8">
        <v>86</v>
      </c>
      <c r="I100" s="8">
        <v>66736</v>
      </c>
      <c r="J100" s="8">
        <v>66634</v>
      </c>
      <c r="K100" s="8">
        <v>173</v>
      </c>
      <c r="L100" s="14" t="s">
        <v>62</v>
      </c>
      <c r="M100" s="14" t="s">
        <v>31</v>
      </c>
      <c r="N100" s="8">
        <v>47471</v>
      </c>
      <c r="O100" s="8">
        <v>12104</v>
      </c>
      <c r="P100" s="8">
        <v>5.5587999999999997</v>
      </c>
      <c r="Q100" s="8">
        <v>1228647</v>
      </c>
      <c r="R100" s="8">
        <f t="shared" si="4"/>
        <v>3.5355964731936837E-3</v>
      </c>
      <c r="S100" s="22">
        <f t="shared" si="5"/>
        <v>35367</v>
      </c>
      <c r="T100">
        <f t="shared" si="6"/>
        <v>27</v>
      </c>
      <c r="U100">
        <f t="shared" si="7"/>
        <v>35367</v>
      </c>
    </row>
    <row r="101" spans="1:21" x14ac:dyDescent="0.3">
      <c r="A101" s="17" t="s">
        <v>248</v>
      </c>
      <c r="B101" s="18" t="s">
        <v>27</v>
      </c>
      <c r="C101" s="19">
        <v>45698</v>
      </c>
      <c r="D101" s="18" t="s">
        <v>74</v>
      </c>
      <c r="E101" s="18" t="s">
        <v>219</v>
      </c>
      <c r="F101" s="9">
        <v>1766</v>
      </c>
      <c r="G101" s="9">
        <v>92</v>
      </c>
      <c r="H101" s="9">
        <v>424</v>
      </c>
      <c r="I101" s="9">
        <v>24724</v>
      </c>
      <c r="J101" s="9">
        <v>24333</v>
      </c>
      <c r="K101" s="9">
        <v>52</v>
      </c>
      <c r="L101" s="18" t="s">
        <v>37</v>
      </c>
      <c r="M101" s="18"/>
      <c r="N101" s="9">
        <v>47471</v>
      </c>
      <c r="O101" s="9">
        <v>12104</v>
      </c>
      <c r="P101" s="9">
        <v>5.5587999999999997</v>
      </c>
      <c r="Q101" s="9">
        <v>1228647</v>
      </c>
      <c r="R101" s="9">
        <f t="shared" si="4"/>
        <v>1.4796764245548152E-3</v>
      </c>
      <c r="S101" s="23">
        <f t="shared" si="5"/>
        <v>35367</v>
      </c>
      <c r="T101">
        <f t="shared" si="6"/>
        <v>7</v>
      </c>
      <c r="U101">
        <f t="shared" si="7"/>
        <v>37303.666666666664</v>
      </c>
    </row>
    <row r="102" spans="1:21" x14ac:dyDescent="0.3">
      <c r="A102" s="13" t="s">
        <v>250</v>
      </c>
      <c r="B102" s="14" t="s">
        <v>27</v>
      </c>
      <c r="C102" s="15">
        <v>45583</v>
      </c>
      <c r="D102" s="14" t="s">
        <v>74</v>
      </c>
      <c r="E102" s="14" t="s">
        <v>219</v>
      </c>
      <c r="F102" s="8">
        <v>4450</v>
      </c>
      <c r="G102" s="8">
        <v>983</v>
      </c>
      <c r="H102" s="8">
        <v>143</v>
      </c>
      <c r="I102" s="8">
        <v>75650</v>
      </c>
      <c r="J102" s="8">
        <v>75008</v>
      </c>
      <c r="K102" s="8">
        <v>12</v>
      </c>
      <c r="L102" s="14" t="s">
        <v>62</v>
      </c>
      <c r="M102" s="14" t="s">
        <v>31</v>
      </c>
      <c r="N102" s="8">
        <v>47471</v>
      </c>
      <c r="O102" s="8">
        <v>12104</v>
      </c>
      <c r="P102" s="8">
        <v>5.5587999999999997</v>
      </c>
      <c r="Q102" s="8">
        <v>1228647</v>
      </c>
      <c r="R102" s="8">
        <f t="shared" si="4"/>
        <v>3.6316370772076926E-3</v>
      </c>
      <c r="S102" s="22">
        <f t="shared" si="5"/>
        <v>35367</v>
      </c>
      <c r="T102">
        <f t="shared" si="6"/>
        <v>42</v>
      </c>
      <c r="U102">
        <f t="shared" si="7"/>
        <v>37367</v>
      </c>
    </row>
    <row r="103" spans="1:21" x14ac:dyDescent="0.3">
      <c r="A103" s="17" t="s">
        <v>251</v>
      </c>
      <c r="B103" s="18" t="s">
        <v>14</v>
      </c>
      <c r="C103" s="19">
        <v>45553</v>
      </c>
      <c r="D103" s="18" t="s">
        <v>16</v>
      </c>
      <c r="E103" s="18" t="s">
        <v>17</v>
      </c>
      <c r="F103" s="9">
        <v>1000</v>
      </c>
      <c r="G103" s="9">
        <v>978</v>
      </c>
      <c r="H103" s="9">
        <v>162</v>
      </c>
      <c r="I103" s="9">
        <v>6000</v>
      </c>
      <c r="J103" s="9">
        <v>5221</v>
      </c>
      <c r="K103" s="9">
        <v>223</v>
      </c>
      <c r="L103" s="18" t="s">
        <v>37</v>
      </c>
      <c r="M103" s="18" t="s">
        <v>25</v>
      </c>
      <c r="N103" s="9">
        <v>53484</v>
      </c>
      <c r="O103" s="9">
        <v>12307</v>
      </c>
      <c r="P103" s="9">
        <v>5.6557999999999993</v>
      </c>
      <c r="Q103" s="9">
        <v>1060357</v>
      </c>
      <c r="R103" s="9">
        <f t="shared" si="4"/>
        <v>1.153385133497492E-3</v>
      </c>
      <c r="S103" s="23">
        <f t="shared" si="5"/>
        <v>41177</v>
      </c>
      <c r="T103">
        <f t="shared" si="6"/>
        <v>38</v>
      </c>
      <c r="U103">
        <f t="shared" si="7"/>
        <v>37367</v>
      </c>
    </row>
    <row r="104" spans="1:21" x14ac:dyDescent="0.3">
      <c r="A104" s="13" t="s">
        <v>253</v>
      </c>
      <c r="B104" s="14" t="s">
        <v>43</v>
      </c>
      <c r="C104" s="15">
        <v>45454</v>
      </c>
      <c r="D104" s="14" t="s">
        <v>52</v>
      </c>
      <c r="E104" s="14" t="s">
        <v>59</v>
      </c>
      <c r="F104" s="8">
        <v>3689</v>
      </c>
      <c r="G104" s="8">
        <v>48</v>
      </c>
      <c r="H104" s="8">
        <v>306</v>
      </c>
      <c r="I104" s="8">
        <v>40579</v>
      </c>
      <c r="J104" s="8">
        <v>39588</v>
      </c>
      <c r="K104" s="8">
        <v>212</v>
      </c>
      <c r="L104" s="14" t="s">
        <v>37</v>
      </c>
      <c r="M104" s="14" t="s">
        <v>25</v>
      </c>
      <c r="N104" s="8">
        <v>50862</v>
      </c>
      <c r="O104" s="8">
        <v>15305</v>
      </c>
      <c r="P104" s="8">
        <v>5.6486000000000001</v>
      </c>
      <c r="Q104" s="8">
        <v>1379539</v>
      </c>
      <c r="R104" s="8">
        <f t="shared" si="4"/>
        <v>2.8277562287111853E-3</v>
      </c>
      <c r="S104" s="22">
        <f t="shared" si="5"/>
        <v>35557</v>
      </c>
      <c r="T104">
        <f t="shared" si="6"/>
        <v>24</v>
      </c>
      <c r="U104">
        <f t="shared" si="7"/>
        <v>39642.666666666664</v>
      </c>
    </row>
    <row r="105" spans="1:21" x14ac:dyDescent="0.3">
      <c r="A105" s="17" t="s">
        <v>255</v>
      </c>
      <c r="B105" s="18" t="s">
        <v>27</v>
      </c>
      <c r="C105" s="19">
        <v>45739</v>
      </c>
      <c r="D105" s="18" t="s">
        <v>35</v>
      </c>
      <c r="E105" s="18" t="s">
        <v>154</v>
      </c>
      <c r="F105" s="9">
        <v>3655</v>
      </c>
      <c r="G105" s="9">
        <v>568</v>
      </c>
      <c r="H105" s="9">
        <v>286</v>
      </c>
      <c r="I105" s="9">
        <v>32895</v>
      </c>
      <c r="J105" s="9">
        <v>32015</v>
      </c>
      <c r="K105" s="9">
        <v>199</v>
      </c>
      <c r="L105" s="18" t="s">
        <v>30</v>
      </c>
      <c r="M105" s="18" t="s">
        <v>31</v>
      </c>
      <c r="N105" s="9">
        <v>47471</v>
      </c>
      <c r="O105" s="9">
        <v>12104</v>
      </c>
      <c r="P105" s="9">
        <v>5.5587999999999997</v>
      </c>
      <c r="Q105" s="9">
        <v>1228647</v>
      </c>
      <c r="R105" s="9">
        <f t="shared" si="4"/>
        <v>3.1367837955083924E-3</v>
      </c>
      <c r="S105" s="23">
        <f t="shared" si="5"/>
        <v>35367</v>
      </c>
      <c r="T105">
        <f t="shared" si="6"/>
        <v>13</v>
      </c>
      <c r="U105">
        <f t="shared" si="7"/>
        <v>43791.666666666664</v>
      </c>
    </row>
    <row r="106" spans="1:21" x14ac:dyDescent="0.3">
      <c r="A106" s="13" t="s">
        <v>257</v>
      </c>
      <c r="B106" s="14" t="s">
        <v>33</v>
      </c>
      <c r="C106" s="15">
        <v>45457</v>
      </c>
      <c r="D106" s="14" t="s">
        <v>45</v>
      </c>
      <c r="E106" s="14" t="s">
        <v>88</v>
      </c>
      <c r="F106" s="8">
        <v>498</v>
      </c>
      <c r="G106" s="8">
        <v>38</v>
      </c>
      <c r="H106" s="8">
        <v>42</v>
      </c>
      <c r="I106" s="8">
        <v>4482</v>
      </c>
      <c r="J106" s="8">
        <v>3647</v>
      </c>
      <c r="K106" s="8">
        <v>32</v>
      </c>
      <c r="L106" s="14" t="s">
        <v>62</v>
      </c>
      <c r="M106" s="14" t="s">
        <v>19</v>
      </c>
      <c r="N106" s="8">
        <v>58311</v>
      </c>
      <c r="O106" s="8">
        <v>10307</v>
      </c>
      <c r="P106" s="8">
        <v>5.7155999999999993</v>
      </c>
      <c r="Q106" s="8">
        <v>1164373</v>
      </c>
      <c r="R106" s="8">
        <f t="shared" si="4"/>
        <v>4.5518059934402462E-4</v>
      </c>
      <c r="S106" s="22">
        <f t="shared" si="5"/>
        <v>48004</v>
      </c>
      <c r="T106">
        <f t="shared" si="6"/>
        <v>24</v>
      </c>
      <c r="U106">
        <f t="shared" si="7"/>
        <v>43791.666666666664</v>
      </c>
    </row>
    <row r="107" spans="1:21" x14ac:dyDescent="0.3">
      <c r="A107" s="17" t="s">
        <v>259</v>
      </c>
      <c r="B107" s="18" t="s">
        <v>33</v>
      </c>
      <c r="C107" s="19">
        <v>45692</v>
      </c>
      <c r="D107" s="18" t="s">
        <v>52</v>
      </c>
      <c r="E107" s="18" t="s">
        <v>215</v>
      </c>
      <c r="F107" s="9">
        <v>4619</v>
      </c>
      <c r="G107" s="9">
        <v>821</v>
      </c>
      <c r="H107" s="9">
        <v>499</v>
      </c>
      <c r="I107" s="9">
        <v>69285</v>
      </c>
      <c r="J107" s="9">
        <v>69141</v>
      </c>
      <c r="K107" s="9">
        <v>298</v>
      </c>
      <c r="L107" s="18" t="s">
        <v>30</v>
      </c>
      <c r="M107" s="18" t="s">
        <v>38</v>
      </c>
      <c r="N107" s="9">
        <v>58311</v>
      </c>
      <c r="O107" s="9">
        <v>10307</v>
      </c>
      <c r="P107" s="9">
        <v>5.7155999999999993</v>
      </c>
      <c r="Q107" s="9">
        <v>1164373</v>
      </c>
      <c r="R107" s="9">
        <f t="shared" si="4"/>
        <v>4.2228735980652252E-3</v>
      </c>
      <c r="S107" s="23">
        <f t="shared" si="5"/>
        <v>48004</v>
      </c>
      <c r="T107">
        <f t="shared" si="6"/>
        <v>6</v>
      </c>
      <c r="U107">
        <f t="shared" si="7"/>
        <v>41516</v>
      </c>
    </row>
    <row r="108" spans="1:21" x14ac:dyDescent="0.3">
      <c r="A108" s="13" t="s">
        <v>261</v>
      </c>
      <c r="B108" s="14" t="s">
        <v>27</v>
      </c>
      <c r="C108" s="15">
        <v>45464</v>
      </c>
      <c r="D108" s="14" t="s">
        <v>52</v>
      </c>
      <c r="E108" s="14" t="s">
        <v>53</v>
      </c>
      <c r="F108" s="8">
        <v>4832</v>
      </c>
      <c r="G108" s="8">
        <v>893</v>
      </c>
      <c r="H108" s="8">
        <v>10</v>
      </c>
      <c r="I108" s="8">
        <v>91808</v>
      </c>
      <c r="J108" s="8">
        <v>91296</v>
      </c>
      <c r="K108" s="8">
        <v>182</v>
      </c>
      <c r="L108" s="14" t="s">
        <v>30</v>
      </c>
      <c r="M108" s="14"/>
      <c r="N108" s="8">
        <v>47471</v>
      </c>
      <c r="O108" s="8">
        <v>12104</v>
      </c>
      <c r="P108" s="8">
        <v>5.5587999999999997</v>
      </c>
      <c r="Q108" s="8">
        <v>1228647</v>
      </c>
      <c r="R108" s="8">
        <f t="shared" si="4"/>
        <v>4.0809117671715307E-3</v>
      </c>
      <c r="S108" s="22">
        <f t="shared" si="5"/>
        <v>35367</v>
      </c>
      <c r="T108">
        <f t="shared" si="6"/>
        <v>25</v>
      </c>
      <c r="U108">
        <f t="shared" si="7"/>
        <v>39240.333333333336</v>
      </c>
    </row>
    <row r="109" spans="1:21" x14ac:dyDescent="0.3">
      <c r="A109" s="17" t="s">
        <v>263</v>
      </c>
      <c r="B109" s="18" t="s">
        <v>14</v>
      </c>
      <c r="C109" s="19">
        <v>45741</v>
      </c>
      <c r="D109" s="18" t="s">
        <v>74</v>
      </c>
      <c r="E109" s="18" t="s">
        <v>145</v>
      </c>
      <c r="F109" s="9">
        <v>4050</v>
      </c>
      <c r="G109" s="9">
        <v>871</v>
      </c>
      <c r="H109" s="9">
        <v>347</v>
      </c>
      <c r="I109" s="9">
        <v>52650</v>
      </c>
      <c r="J109" s="9">
        <v>51755</v>
      </c>
      <c r="K109" s="9">
        <v>209</v>
      </c>
      <c r="L109" s="18" t="s">
        <v>30</v>
      </c>
      <c r="M109" s="18" t="s">
        <v>25</v>
      </c>
      <c r="N109" s="9">
        <v>53484</v>
      </c>
      <c r="O109" s="9">
        <v>12307</v>
      </c>
      <c r="P109" s="9">
        <v>5.6557999999999993</v>
      </c>
      <c r="Q109" s="9">
        <v>1060357</v>
      </c>
      <c r="R109" s="9">
        <f t="shared" si="4"/>
        <v>4.0165717772410615E-3</v>
      </c>
      <c r="S109" s="23">
        <f t="shared" si="5"/>
        <v>41177</v>
      </c>
      <c r="T109">
        <f t="shared" si="6"/>
        <v>13</v>
      </c>
      <c r="U109">
        <f t="shared" si="7"/>
        <v>43452.666666666664</v>
      </c>
    </row>
    <row r="110" spans="1:21" x14ac:dyDescent="0.3">
      <c r="A110" s="13" t="s">
        <v>265</v>
      </c>
      <c r="B110" s="14" t="s">
        <v>14</v>
      </c>
      <c r="C110" s="15">
        <v>45512</v>
      </c>
      <c r="D110" s="14" t="s">
        <v>35</v>
      </c>
      <c r="E110" s="14" t="s">
        <v>149</v>
      </c>
      <c r="F110" s="8">
        <v>3649</v>
      </c>
      <c r="G110" s="8">
        <v>215</v>
      </c>
      <c r="H110" s="8">
        <v>413</v>
      </c>
      <c r="I110" s="8">
        <v>25543</v>
      </c>
      <c r="J110" s="8">
        <v>24963</v>
      </c>
      <c r="K110" s="8">
        <v>167</v>
      </c>
      <c r="L110" s="14" t="s">
        <v>62</v>
      </c>
      <c r="M110" s="14" t="s">
        <v>31</v>
      </c>
      <c r="N110" s="8">
        <v>53484</v>
      </c>
      <c r="O110" s="8">
        <v>12307</v>
      </c>
      <c r="P110" s="8">
        <v>5.6557999999999993</v>
      </c>
      <c r="Q110" s="8">
        <v>1060357</v>
      </c>
      <c r="R110" s="8">
        <f t="shared" si="4"/>
        <v>3.5987879553772929E-3</v>
      </c>
      <c r="S110" s="22">
        <f t="shared" si="5"/>
        <v>41177</v>
      </c>
      <c r="T110">
        <f t="shared" si="6"/>
        <v>32</v>
      </c>
      <c r="U110">
        <f t="shared" si="7"/>
        <v>41516</v>
      </c>
    </row>
    <row r="111" spans="1:21" x14ac:dyDescent="0.3">
      <c r="A111" s="17" t="s">
        <v>267</v>
      </c>
      <c r="B111" s="18" t="s">
        <v>33</v>
      </c>
      <c r="C111" s="19">
        <v>45502</v>
      </c>
      <c r="D111" s="18" t="s">
        <v>16</v>
      </c>
      <c r="E111" s="18" t="s">
        <v>82</v>
      </c>
      <c r="F111" s="9">
        <v>3523</v>
      </c>
      <c r="G111" s="9">
        <v>753</v>
      </c>
      <c r="H111" s="9">
        <v>482</v>
      </c>
      <c r="I111" s="9">
        <v>38753</v>
      </c>
      <c r="J111" s="9">
        <v>38579</v>
      </c>
      <c r="K111" s="9">
        <v>270</v>
      </c>
      <c r="L111" s="18" t="s">
        <v>37</v>
      </c>
      <c r="M111" s="18" t="s">
        <v>25</v>
      </c>
      <c r="N111" s="9">
        <v>58311</v>
      </c>
      <c r="O111" s="9">
        <v>10307</v>
      </c>
      <c r="P111" s="9">
        <v>5.7155999999999993</v>
      </c>
      <c r="Q111" s="9">
        <v>1164373</v>
      </c>
      <c r="R111" s="9">
        <f t="shared" si="4"/>
        <v>3.2575471949280858E-3</v>
      </c>
      <c r="S111" s="23">
        <f t="shared" si="5"/>
        <v>48004</v>
      </c>
      <c r="T111">
        <f t="shared" si="6"/>
        <v>31</v>
      </c>
      <c r="U111">
        <f t="shared" si="7"/>
        <v>41516</v>
      </c>
    </row>
    <row r="112" spans="1:21" x14ac:dyDescent="0.3">
      <c r="A112" s="13" t="s">
        <v>269</v>
      </c>
      <c r="B112" s="14" t="s">
        <v>27</v>
      </c>
      <c r="C112" s="15">
        <v>45619</v>
      </c>
      <c r="D112" s="14" t="s">
        <v>52</v>
      </c>
      <c r="E112" s="14" t="s">
        <v>53</v>
      </c>
      <c r="F112" s="8">
        <v>2719</v>
      </c>
      <c r="G112" s="8">
        <v>17</v>
      </c>
      <c r="H112" s="8">
        <v>285</v>
      </c>
      <c r="I112" s="8">
        <v>40785</v>
      </c>
      <c r="J112" s="8">
        <v>40281</v>
      </c>
      <c r="K112" s="8">
        <v>40</v>
      </c>
      <c r="L112" s="14" t="s">
        <v>30</v>
      </c>
      <c r="M112" s="14" t="s">
        <v>25</v>
      </c>
      <c r="N112" s="8">
        <v>47471</v>
      </c>
      <c r="O112" s="8">
        <v>12104</v>
      </c>
      <c r="P112" s="8">
        <v>5.5587999999999997</v>
      </c>
      <c r="Q112" s="8">
        <v>1228647</v>
      </c>
      <c r="R112" s="8">
        <f t="shared" si="4"/>
        <v>2.2455595463953437E-3</v>
      </c>
      <c r="S112" s="22">
        <f t="shared" si="5"/>
        <v>35367</v>
      </c>
      <c r="T112">
        <f t="shared" si="6"/>
        <v>47</v>
      </c>
      <c r="U112">
        <f t="shared" si="7"/>
        <v>39240.333333333336</v>
      </c>
    </row>
    <row r="113" spans="1:21" x14ac:dyDescent="0.3">
      <c r="A113" s="17" t="s">
        <v>271</v>
      </c>
      <c r="B113" s="18" t="s">
        <v>14</v>
      </c>
      <c r="C113" s="19">
        <v>45570</v>
      </c>
      <c r="D113" s="18" t="s">
        <v>35</v>
      </c>
      <c r="E113" s="18" t="s">
        <v>149</v>
      </c>
      <c r="F113" s="9">
        <v>1957</v>
      </c>
      <c r="G113" s="9">
        <v>877</v>
      </c>
      <c r="H113" s="9">
        <v>238</v>
      </c>
      <c r="I113" s="9">
        <v>17613</v>
      </c>
      <c r="J113" s="9">
        <v>16865</v>
      </c>
      <c r="K113" s="9">
        <v>297</v>
      </c>
      <c r="L113" s="18" t="s">
        <v>62</v>
      </c>
      <c r="M113" s="18" t="s">
        <v>31</v>
      </c>
      <c r="N113" s="9">
        <v>53484</v>
      </c>
      <c r="O113" s="9">
        <v>12307</v>
      </c>
      <c r="P113" s="9">
        <v>5.6557999999999993</v>
      </c>
      <c r="Q113" s="9">
        <v>1060357</v>
      </c>
      <c r="R113" s="9">
        <f t="shared" si="4"/>
        <v>2.1256991749005289E-3</v>
      </c>
      <c r="S113" s="23">
        <f t="shared" si="5"/>
        <v>41177</v>
      </c>
      <c r="T113">
        <f t="shared" si="6"/>
        <v>40</v>
      </c>
      <c r="U113">
        <f t="shared" si="7"/>
        <v>41177</v>
      </c>
    </row>
    <row r="114" spans="1:21" x14ac:dyDescent="0.3">
      <c r="A114" s="13" t="s">
        <v>273</v>
      </c>
      <c r="B114" s="14" t="s">
        <v>14</v>
      </c>
      <c r="C114" s="15">
        <v>45567</v>
      </c>
      <c r="D114" s="14" t="s">
        <v>45</v>
      </c>
      <c r="E114" s="14" t="s">
        <v>49</v>
      </c>
      <c r="F114" s="8">
        <v>4419</v>
      </c>
      <c r="G114" s="8">
        <v>236</v>
      </c>
      <c r="H114" s="8">
        <v>369</v>
      </c>
      <c r="I114" s="8">
        <v>44190</v>
      </c>
      <c r="J114" s="8">
        <v>43582</v>
      </c>
      <c r="K114" s="8">
        <v>10</v>
      </c>
      <c r="L114" s="14" t="s">
        <v>37</v>
      </c>
      <c r="M114" s="14" t="s">
        <v>19</v>
      </c>
      <c r="N114" s="8">
        <v>53484</v>
      </c>
      <c r="O114" s="8">
        <v>12307</v>
      </c>
      <c r="P114" s="8">
        <v>5.6557999999999993</v>
      </c>
      <c r="Q114" s="8">
        <v>1060357</v>
      </c>
      <c r="R114" s="8">
        <f t="shared" si="4"/>
        <v>4.1768951400330268E-3</v>
      </c>
      <c r="S114" s="22">
        <f t="shared" si="5"/>
        <v>41177</v>
      </c>
      <c r="T114">
        <f t="shared" si="6"/>
        <v>40</v>
      </c>
      <c r="U114">
        <f t="shared" si="7"/>
        <v>41177</v>
      </c>
    </row>
    <row r="115" spans="1:21" x14ac:dyDescent="0.3">
      <c r="A115" s="17" t="s">
        <v>275</v>
      </c>
      <c r="B115" s="18" t="s">
        <v>14</v>
      </c>
      <c r="C115" s="19">
        <v>45610</v>
      </c>
      <c r="D115" s="18" t="s">
        <v>35</v>
      </c>
      <c r="E115" s="18" t="s">
        <v>149</v>
      </c>
      <c r="F115" s="9">
        <v>4000</v>
      </c>
      <c r="G115" s="9">
        <v>689</v>
      </c>
      <c r="H115" s="9">
        <v>488</v>
      </c>
      <c r="I115" s="9">
        <v>40000</v>
      </c>
      <c r="J115" s="9">
        <v>39569</v>
      </c>
      <c r="K115" s="9">
        <v>44</v>
      </c>
      <c r="L115" s="18" t="s">
        <v>62</v>
      </c>
      <c r="M115" s="18" t="s">
        <v>19</v>
      </c>
      <c r="N115" s="9">
        <v>53484</v>
      </c>
      <c r="O115" s="9">
        <v>12307</v>
      </c>
      <c r="P115" s="9">
        <v>5.6557999999999993</v>
      </c>
      <c r="Q115" s="9">
        <v>1060357</v>
      </c>
      <c r="R115" s="9">
        <f t="shared" si="4"/>
        <v>3.8138098772394582E-3</v>
      </c>
      <c r="S115" s="23">
        <f t="shared" si="5"/>
        <v>41177</v>
      </c>
      <c r="T115">
        <f t="shared" si="6"/>
        <v>46</v>
      </c>
      <c r="U115">
        <f t="shared" si="7"/>
        <v>39240.333333333336</v>
      </c>
    </row>
    <row r="116" spans="1:21" x14ac:dyDescent="0.3">
      <c r="A116" s="13" t="s">
        <v>277</v>
      </c>
      <c r="B116" s="14" t="s">
        <v>14</v>
      </c>
      <c r="C116" s="15">
        <v>45788</v>
      </c>
      <c r="D116" s="14" t="s">
        <v>52</v>
      </c>
      <c r="E116" s="14" t="s">
        <v>132</v>
      </c>
      <c r="F116" s="8">
        <v>2493</v>
      </c>
      <c r="G116" s="8">
        <v>97</v>
      </c>
      <c r="H116" s="8">
        <v>44</v>
      </c>
      <c r="I116" s="8">
        <v>42381</v>
      </c>
      <c r="J116" s="8">
        <v>41991</v>
      </c>
      <c r="K116" s="8">
        <v>242</v>
      </c>
      <c r="L116" s="14" t="s">
        <v>30</v>
      </c>
      <c r="M116" s="14" t="s">
        <v>38</v>
      </c>
      <c r="N116" s="8">
        <v>53484</v>
      </c>
      <c r="O116" s="8">
        <v>12307</v>
      </c>
      <c r="P116" s="8">
        <v>5.6557999999999993</v>
      </c>
      <c r="Q116" s="8">
        <v>1060357</v>
      </c>
      <c r="R116" s="8">
        <f t="shared" si="4"/>
        <v>2.579319983741325E-3</v>
      </c>
      <c r="S116" s="22">
        <f t="shared" si="5"/>
        <v>41177</v>
      </c>
      <c r="T116">
        <f t="shared" si="6"/>
        <v>20</v>
      </c>
      <c r="U116">
        <f t="shared" si="7"/>
        <v>39240.333333333336</v>
      </c>
    </row>
    <row r="117" spans="1:21" x14ac:dyDescent="0.3">
      <c r="A117" s="17" t="s">
        <v>279</v>
      </c>
      <c r="B117" s="18" t="s">
        <v>27</v>
      </c>
      <c r="C117" s="19">
        <v>45734</v>
      </c>
      <c r="D117" s="18" t="s">
        <v>16</v>
      </c>
      <c r="E117" s="18" t="s">
        <v>29</v>
      </c>
      <c r="F117" s="9">
        <v>3704</v>
      </c>
      <c r="G117" s="9">
        <v>186</v>
      </c>
      <c r="H117" s="9">
        <v>458</v>
      </c>
      <c r="I117" s="9">
        <v>25928</v>
      </c>
      <c r="J117" s="9">
        <v>25081</v>
      </c>
      <c r="K117" s="9">
        <v>131</v>
      </c>
      <c r="L117" s="18" t="s">
        <v>30</v>
      </c>
      <c r="M117" s="18"/>
      <c r="N117" s="9">
        <v>47471</v>
      </c>
      <c r="O117" s="9">
        <v>12104</v>
      </c>
      <c r="P117" s="9">
        <v>5.5587999999999997</v>
      </c>
      <c r="Q117" s="9">
        <v>1228647</v>
      </c>
      <c r="R117" s="9">
        <f t="shared" si="4"/>
        <v>3.1213196304552895E-3</v>
      </c>
      <c r="S117" s="23">
        <f t="shared" si="5"/>
        <v>35367</v>
      </c>
      <c r="T117">
        <f t="shared" si="6"/>
        <v>12</v>
      </c>
      <c r="U117">
        <f t="shared" si="7"/>
        <v>37367</v>
      </c>
    </row>
    <row r="118" spans="1:21" x14ac:dyDescent="0.3">
      <c r="A118" s="13" t="s">
        <v>281</v>
      </c>
      <c r="B118" s="14" t="s">
        <v>14</v>
      </c>
      <c r="C118" s="15">
        <v>45600</v>
      </c>
      <c r="D118" s="14" t="s">
        <v>52</v>
      </c>
      <c r="E118" s="14" t="s">
        <v>132</v>
      </c>
      <c r="F118" s="8">
        <v>1606</v>
      </c>
      <c r="G118" s="8">
        <v>451</v>
      </c>
      <c r="H118" s="8">
        <v>405</v>
      </c>
      <c r="I118" s="8">
        <v>20878</v>
      </c>
      <c r="J118" s="8">
        <v>20190</v>
      </c>
      <c r="K118" s="8">
        <v>219</v>
      </c>
      <c r="L118" s="14" t="s">
        <v>37</v>
      </c>
      <c r="M118" s="14" t="s">
        <v>38</v>
      </c>
      <c r="N118" s="8">
        <v>53484</v>
      </c>
      <c r="O118" s="8">
        <v>12307</v>
      </c>
      <c r="P118" s="8">
        <v>5.6557999999999993</v>
      </c>
      <c r="Q118" s="8">
        <v>1060357</v>
      </c>
      <c r="R118" s="8">
        <f t="shared" si="4"/>
        <v>1.721118453501981E-3</v>
      </c>
      <c r="S118" s="22">
        <f t="shared" si="5"/>
        <v>41177</v>
      </c>
      <c r="T118">
        <f t="shared" si="6"/>
        <v>45</v>
      </c>
      <c r="U118">
        <f t="shared" si="7"/>
        <v>41579.333333333336</v>
      </c>
    </row>
    <row r="119" spans="1:21" x14ac:dyDescent="0.3">
      <c r="A119" s="17" t="s">
        <v>283</v>
      </c>
      <c r="B119" s="18" t="s">
        <v>43</v>
      </c>
      <c r="C119" s="19">
        <v>45600</v>
      </c>
      <c r="D119" s="18" t="s">
        <v>52</v>
      </c>
      <c r="E119" s="18" t="s">
        <v>59</v>
      </c>
      <c r="F119" s="9">
        <v>4551</v>
      </c>
      <c r="G119" s="9">
        <v>714</v>
      </c>
      <c r="H119" s="9">
        <v>207</v>
      </c>
      <c r="I119" s="9">
        <v>68265</v>
      </c>
      <c r="J119" s="9">
        <v>67754</v>
      </c>
      <c r="K119" s="9">
        <v>57</v>
      </c>
      <c r="L119" s="18" t="s">
        <v>62</v>
      </c>
      <c r="M119" s="18" t="s">
        <v>31</v>
      </c>
      <c r="N119" s="9">
        <v>50862</v>
      </c>
      <c r="O119" s="9">
        <v>15305</v>
      </c>
      <c r="P119" s="9">
        <v>5.6486000000000001</v>
      </c>
      <c r="Q119" s="9">
        <v>1379539</v>
      </c>
      <c r="R119" s="9">
        <f t="shared" si="4"/>
        <v>3.3402462706744788E-3</v>
      </c>
      <c r="S119" s="23">
        <f t="shared" si="5"/>
        <v>35557</v>
      </c>
      <c r="T119">
        <f t="shared" si="6"/>
        <v>45</v>
      </c>
      <c r="U119">
        <f t="shared" si="7"/>
        <v>39706</v>
      </c>
    </row>
    <row r="120" spans="1:21" x14ac:dyDescent="0.3">
      <c r="A120" s="13" t="s">
        <v>284</v>
      </c>
      <c r="B120" s="14" t="s">
        <v>33</v>
      </c>
      <c r="C120" s="15">
        <v>45695</v>
      </c>
      <c r="D120" s="14" t="s">
        <v>16</v>
      </c>
      <c r="E120" s="14" t="s">
        <v>82</v>
      </c>
      <c r="F120" s="8">
        <v>1970</v>
      </c>
      <c r="G120" s="8">
        <v>675</v>
      </c>
      <c r="H120" s="8">
        <v>478</v>
      </c>
      <c r="I120" s="8">
        <v>9850</v>
      </c>
      <c r="J120" s="8">
        <v>8924</v>
      </c>
      <c r="K120" s="8">
        <v>117</v>
      </c>
      <c r="L120" s="14" t="s">
        <v>62</v>
      </c>
      <c r="M120" s="14"/>
      <c r="N120" s="8">
        <v>58311</v>
      </c>
      <c r="O120" s="8">
        <v>10307</v>
      </c>
      <c r="P120" s="8">
        <v>5.7155999999999993</v>
      </c>
      <c r="Q120" s="8">
        <v>1164373</v>
      </c>
      <c r="R120" s="8">
        <f t="shared" si="4"/>
        <v>1.7923809638320366E-3</v>
      </c>
      <c r="S120" s="22">
        <f t="shared" si="5"/>
        <v>48004</v>
      </c>
      <c r="T120">
        <f t="shared" si="6"/>
        <v>6</v>
      </c>
      <c r="U120">
        <f t="shared" si="7"/>
        <v>43855</v>
      </c>
    </row>
    <row r="121" spans="1:21" x14ac:dyDescent="0.3">
      <c r="A121" s="17" t="s">
        <v>286</v>
      </c>
      <c r="B121" s="18" t="s">
        <v>43</v>
      </c>
      <c r="C121" s="19">
        <v>45586</v>
      </c>
      <c r="D121" s="18" t="s">
        <v>35</v>
      </c>
      <c r="E121" s="18" t="s">
        <v>71</v>
      </c>
      <c r="F121" s="9">
        <v>780</v>
      </c>
      <c r="G121" s="9">
        <v>928</v>
      </c>
      <c r="H121" s="9">
        <v>301</v>
      </c>
      <c r="I121" s="9">
        <v>8580</v>
      </c>
      <c r="J121" s="9">
        <v>8081</v>
      </c>
      <c r="K121" s="9">
        <v>91</v>
      </c>
      <c r="L121" s="18" t="s">
        <v>37</v>
      </c>
      <c r="M121" s="18" t="s">
        <v>31</v>
      </c>
      <c r="N121" s="9">
        <v>50862</v>
      </c>
      <c r="O121" s="9">
        <v>15305</v>
      </c>
      <c r="P121" s="9">
        <v>5.6486000000000001</v>
      </c>
      <c r="Q121" s="9">
        <v>1379539</v>
      </c>
      <c r="R121" s="9">
        <f t="shared" si="4"/>
        <v>6.3137033458278457E-4</v>
      </c>
      <c r="S121" s="23">
        <f t="shared" si="5"/>
        <v>35557</v>
      </c>
      <c r="T121">
        <f t="shared" si="6"/>
        <v>43</v>
      </c>
      <c r="U121">
        <f t="shared" si="7"/>
        <v>43855</v>
      </c>
    </row>
    <row r="122" spans="1:21" x14ac:dyDescent="0.3">
      <c r="A122" s="13" t="s">
        <v>287</v>
      </c>
      <c r="B122" s="14" t="s">
        <v>33</v>
      </c>
      <c r="C122" s="15">
        <v>45502</v>
      </c>
      <c r="D122" s="14" t="s">
        <v>35</v>
      </c>
      <c r="E122" s="14" t="s">
        <v>36</v>
      </c>
      <c r="F122" s="8">
        <v>498</v>
      </c>
      <c r="G122" s="8">
        <v>701</v>
      </c>
      <c r="H122" s="8">
        <v>412</v>
      </c>
      <c r="I122" s="8">
        <v>4980</v>
      </c>
      <c r="J122" s="8">
        <v>4185</v>
      </c>
      <c r="K122" s="8">
        <v>185</v>
      </c>
      <c r="L122" s="14" t="s">
        <v>62</v>
      </c>
      <c r="M122" s="14"/>
      <c r="N122" s="8">
        <v>58311</v>
      </c>
      <c r="O122" s="8">
        <v>10307</v>
      </c>
      <c r="P122" s="8">
        <v>5.7155999999999993</v>
      </c>
      <c r="Q122" s="8">
        <v>1164373</v>
      </c>
      <c r="R122" s="8">
        <f t="shared" si="4"/>
        <v>5.8658179123012989E-4</v>
      </c>
      <c r="S122" s="22">
        <f t="shared" si="5"/>
        <v>48004</v>
      </c>
      <c r="T122">
        <f t="shared" si="6"/>
        <v>31</v>
      </c>
      <c r="U122">
        <f t="shared" si="7"/>
        <v>48004</v>
      </c>
    </row>
    <row r="123" spans="1:21" x14ac:dyDescent="0.3">
      <c r="A123" s="17" t="s">
        <v>288</v>
      </c>
      <c r="B123" s="18" t="s">
        <v>33</v>
      </c>
      <c r="C123" s="19">
        <v>45567</v>
      </c>
      <c r="D123" s="18" t="s">
        <v>22</v>
      </c>
      <c r="E123" s="18" t="s">
        <v>113</v>
      </c>
      <c r="F123" s="9">
        <v>3432</v>
      </c>
      <c r="G123" s="9">
        <v>869</v>
      </c>
      <c r="H123" s="9">
        <v>123</v>
      </c>
      <c r="I123" s="9">
        <v>54912</v>
      </c>
      <c r="J123" s="9">
        <v>53916</v>
      </c>
      <c r="K123" s="9">
        <v>264</v>
      </c>
      <c r="L123" s="18" t="s">
        <v>37</v>
      </c>
      <c r="M123" s="18" t="s">
        <v>25</v>
      </c>
      <c r="N123" s="9">
        <v>58311</v>
      </c>
      <c r="O123" s="9">
        <v>10307</v>
      </c>
      <c r="P123" s="9">
        <v>5.7155999999999993</v>
      </c>
      <c r="Q123" s="9">
        <v>1164373</v>
      </c>
      <c r="R123" s="9">
        <f t="shared" si="4"/>
        <v>3.174240556934934E-3</v>
      </c>
      <c r="S123" s="23">
        <f t="shared" si="5"/>
        <v>48004</v>
      </c>
      <c r="T123">
        <f t="shared" si="6"/>
        <v>40</v>
      </c>
      <c r="U123">
        <f t="shared" si="7"/>
        <v>43791.666666666664</v>
      </c>
    </row>
    <row r="124" spans="1:21" x14ac:dyDescent="0.3">
      <c r="A124" s="13" t="s">
        <v>289</v>
      </c>
      <c r="B124" s="14" t="s">
        <v>33</v>
      </c>
      <c r="C124" s="15">
        <v>45457</v>
      </c>
      <c r="D124" s="14" t="s">
        <v>35</v>
      </c>
      <c r="E124" s="14" t="s">
        <v>36</v>
      </c>
      <c r="F124" s="8">
        <v>4363</v>
      </c>
      <c r="G124" s="8">
        <v>649</v>
      </c>
      <c r="H124" s="8">
        <v>140</v>
      </c>
      <c r="I124" s="8">
        <v>21815</v>
      </c>
      <c r="J124" s="8">
        <v>21481</v>
      </c>
      <c r="K124" s="8">
        <v>157</v>
      </c>
      <c r="L124" s="14" t="s">
        <v>37</v>
      </c>
      <c r="M124" s="14" t="s">
        <v>19</v>
      </c>
      <c r="N124" s="8">
        <v>58311</v>
      </c>
      <c r="O124" s="8">
        <v>10307</v>
      </c>
      <c r="P124" s="8">
        <v>5.7155999999999993</v>
      </c>
      <c r="Q124" s="8">
        <v>1164373</v>
      </c>
      <c r="R124" s="8">
        <f t="shared" si="4"/>
        <v>3.8819175642169647E-3</v>
      </c>
      <c r="S124" s="22">
        <f t="shared" si="5"/>
        <v>48004</v>
      </c>
      <c r="T124">
        <f t="shared" si="6"/>
        <v>24</v>
      </c>
      <c r="U124">
        <f t="shared" si="7"/>
        <v>41516</v>
      </c>
    </row>
    <row r="125" spans="1:21" x14ac:dyDescent="0.3">
      <c r="A125" s="17" t="s">
        <v>290</v>
      </c>
      <c r="B125" s="18" t="s">
        <v>27</v>
      </c>
      <c r="C125" s="19">
        <v>45753</v>
      </c>
      <c r="D125" s="18" t="s">
        <v>45</v>
      </c>
      <c r="E125" s="18" t="s">
        <v>68</v>
      </c>
      <c r="F125" s="9">
        <v>736</v>
      </c>
      <c r="G125" s="9">
        <v>771</v>
      </c>
      <c r="H125" s="9">
        <v>225</v>
      </c>
      <c r="I125" s="9">
        <v>5152</v>
      </c>
      <c r="J125" s="9">
        <v>4706</v>
      </c>
      <c r="K125" s="9">
        <v>19</v>
      </c>
      <c r="L125" s="18" t="s">
        <v>37</v>
      </c>
      <c r="M125" s="18" t="s">
        <v>19</v>
      </c>
      <c r="N125" s="9">
        <v>47471</v>
      </c>
      <c r="O125" s="9">
        <v>12104</v>
      </c>
      <c r="P125" s="9">
        <v>5.5587999999999997</v>
      </c>
      <c r="Q125" s="9">
        <v>1228647</v>
      </c>
      <c r="R125" s="9">
        <f t="shared" si="4"/>
        <v>6.1449708500488744E-4</v>
      </c>
      <c r="S125" s="23">
        <f t="shared" si="5"/>
        <v>35367</v>
      </c>
      <c r="T125">
        <f t="shared" si="6"/>
        <v>15</v>
      </c>
      <c r="U125">
        <f t="shared" si="7"/>
        <v>41516</v>
      </c>
    </row>
    <row r="126" spans="1:21" x14ac:dyDescent="0.3">
      <c r="A126" s="13" t="s">
        <v>292</v>
      </c>
      <c r="B126" s="14" t="s">
        <v>14</v>
      </c>
      <c r="C126" s="15">
        <v>45543</v>
      </c>
      <c r="D126" s="14" t="s">
        <v>45</v>
      </c>
      <c r="E126" s="14" t="s">
        <v>49</v>
      </c>
      <c r="F126" s="8">
        <v>3811</v>
      </c>
      <c r="G126" s="8">
        <v>866</v>
      </c>
      <c r="H126" s="8">
        <v>216</v>
      </c>
      <c r="I126" s="8">
        <v>34299</v>
      </c>
      <c r="J126" s="8">
        <v>34088</v>
      </c>
      <c r="K126" s="8">
        <v>233</v>
      </c>
      <c r="L126" s="14" t="s">
        <v>30</v>
      </c>
      <c r="M126" s="14" t="s">
        <v>38</v>
      </c>
      <c r="N126" s="8">
        <v>53484</v>
      </c>
      <c r="O126" s="8">
        <v>12307</v>
      </c>
      <c r="P126" s="8">
        <v>5.6557999999999993</v>
      </c>
      <c r="Q126" s="8">
        <v>1060357</v>
      </c>
      <c r="R126" s="8">
        <f t="shared" si="4"/>
        <v>3.8138098772394582E-3</v>
      </c>
      <c r="S126" s="22">
        <f t="shared" si="5"/>
        <v>41177</v>
      </c>
      <c r="T126">
        <f t="shared" si="6"/>
        <v>37</v>
      </c>
      <c r="U126">
        <f t="shared" si="7"/>
        <v>41579.333333333336</v>
      </c>
    </row>
    <row r="127" spans="1:21" x14ac:dyDescent="0.3">
      <c r="A127" s="17" t="s">
        <v>294</v>
      </c>
      <c r="B127" s="18" t="s">
        <v>33</v>
      </c>
      <c r="C127" s="19">
        <v>45744</v>
      </c>
      <c r="D127" s="18" t="s">
        <v>45</v>
      </c>
      <c r="E127" s="18" t="s">
        <v>88</v>
      </c>
      <c r="F127" s="9">
        <v>4158</v>
      </c>
      <c r="G127" s="9">
        <v>167</v>
      </c>
      <c r="H127" s="9">
        <v>241</v>
      </c>
      <c r="I127" s="9">
        <v>45738</v>
      </c>
      <c r="J127" s="9">
        <v>45183</v>
      </c>
      <c r="K127" s="9">
        <v>142</v>
      </c>
      <c r="L127" s="18" t="s">
        <v>62</v>
      </c>
      <c r="M127" s="18"/>
      <c r="N127" s="9">
        <v>58311</v>
      </c>
      <c r="O127" s="9">
        <v>10307</v>
      </c>
      <c r="P127" s="9">
        <v>5.7155999999999993</v>
      </c>
      <c r="Q127" s="9">
        <v>1164373</v>
      </c>
      <c r="R127" s="9">
        <f t="shared" si="4"/>
        <v>3.6929746739232188E-3</v>
      </c>
      <c r="S127" s="23">
        <f t="shared" si="5"/>
        <v>48004</v>
      </c>
      <c r="T127">
        <f t="shared" si="6"/>
        <v>13</v>
      </c>
      <c r="U127">
        <f t="shared" si="7"/>
        <v>41579.333333333336</v>
      </c>
    </row>
    <row r="128" spans="1:21" x14ac:dyDescent="0.3">
      <c r="A128" s="13" t="s">
        <v>295</v>
      </c>
      <c r="B128" s="14" t="s">
        <v>43</v>
      </c>
      <c r="C128" s="15">
        <v>45684</v>
      </c>
      <c r="D128" s="14" t="s">
        <v>16</v>
      </c>
      <c r="E128" s="14" t="s">
        <v>65</v>
      </c>
      <c r="F128" s="8">
        <v>3452</v>
      </c>
      <c r="G128" s="8">
        <v>652</v>
      </c>
      <c r="H128" s="8">
        <v>442</v>
      </c>
      <c r="I128" s="8">
        <v>65588</v>
      </c>
      <c r="J128" s="8">
        <v>65049</v>
      </c>
      <c r="K128" s="8">
        <v>158</v>
      </c>
      <c r="L128" s="14" t="s">
        <v>62</v>
      </c>
      <c r="M128" s="14" t="s">
        <v>31</v>
      </c>
      <c r="N128" s="8">
        <v>50862</v>
      </c>
      <c r="O128" s="8">
        <v>15305</v>
      </c>
      <c r="P128" s="8">
        <v>5.6486000000000001</v>
      </c>
      <c r="Q128" s="8">
        <v>1379539</v>
      </c>
      <c r="R128" s="8">
        <f t="shared" si="4"/>
        <v>2.6168161972948936E-3</v>
      </c>
      <c r="S128" s="22">
        <f t="shared" si="5"/>
        <v>35557</v>
      </c>
      <c r="T128">
        <f t="shared" si="6"/>
        <v>5</v>
      </c>
      <c r="U128">
        <f t="shared" si="7"/>
        <v>39303.666666666664</v>
      </c>
    </row>
    <row r="129" spans="1:21" x14ac:dyDescent="0.3">
      <c r="A129" s="17" t="s">
        <v>296</v>
      </c>
      <c r="B129" s="18" t="s">
        <v>14</v>
      </c>
      <c r="C129" s="19">
        <v>45667</v>
      </c>
      <c r="D129" s="18" t="s">
        <v>52</v>
      </c>
      <c r="E129" s="18" t="s">
        <v>132</v>
      </c>
      <c r="F129" s="9">
        <v>3092</v>
      </c>
      <c r="G129" s="9">
        <v>106</v>
      </c>
      <c r="H129" s="9">
        <v>291</v>
      </c>
      <c r="I129" s="9">
        <v>27828</v>
      </c>
      <c r="J129" s="9">
        <v>27217</v>
      </c>
      <c r="K129" s="9">
        <v>102</v>
      </c>
      <c r="L129" s="18" t="s">
        <v>62</v>
      </c>
      <c r="M129" s="18"/>
      <c r="N129" s="9">
        <v>53484</v>
      </c>
      <c r="O129" s="9">
        <v>12307</v>
      </c>
      <c r="P129" s="9">
        <v>5.6557999999999993</v>
      </c>
      <c r="Q129" s="9">
        <v>1060357</v>
      </c>
      <c r="R129" s="9">
        <f t="shared" si="4"/>
        <v>3.0121930632796313E-3</v>
      </c>
      <c r="S129" s="23">
        <f t="shared" si="5"/>
        <v>41177</v>
      </c>
      <c r="T129">
        <f t="shared" si="6"/>
        <v>2</v>
      </c>
      <c r="U129">
        <f t="shared" si="7"/>
        <v>39240.333333333336</v>
      </c>
    </row>
    <row r="130" spans="1:21" x14ac:dyDescent="0.3">
      <c r="A130" s="13" t="s">
        <v>297</v>
      </c>
      <c r="B130" s="14" t="s">
        <v>14</v>
      </c>
      <c r="C130" s="15">
        <v>45494</v>
      </c>
      <c r="D130" s="14" t="s">
        <v>22</v>
      </c>
      <c r="E130" s="14" t="s">
        <v>23</v>
      </c>
      <c r="F130" s="8">
        <v>2147</v>
      </c>
      <c r="G130" s="8">
        <v>430</v>
      </c>
      <c r="H130" s="8">
        <v>393</v>
      </c>
      <c r="I130" s="8">
        <v>17176</v>
      </c>
      <c r="J130" s="8">
        <v>16483</v>
      </c>
      <c r="K130" s="8">
        <v>170</v>
      </c>
      <c r="L130" s="14" t="s">
        <v>30</v>
      </c>
      <c r="M130" s="14"/>
      <c r="N130" s="8">
        <v>53484</v>
      </c>
      <c r="O130" s="8">
        <v>12307</v>
      </c>
      <c r="P130" s="8">
        <v>5.6557999999999993</v>
      </c>
      <c r="Q130" s="8">
        <v>1060357</v>
      </c>
      <c r="R130" s="8">
        <f t="shared" si="4"/>
        <v>2.1851131269940219E-3</v>
      </c>
      <c r="S130" s="22">
        <f t="shared" si="5"/>
        <v>41177</v>
      </c>
      <c r="T130">
        <f t="shared" si="6"/>
        <v>30</v>
      </c>
      <c r="U130">
        <f t="shared" si="7"/>
        <v>41516</v>
      </c>
    </row>
    <row r="131" spans="1:21" x14ac:dyDescent="0.3">
      <c r="A131" s="17" t="s">
        <v>298</v>
      </c>
      <c r="B131" s="18" t="s">
        <v>27</v>
      </c>
      <c r="C131" s="19">
        <v>45564</v>
      </c>
      <c r="D131" s="18" t="s">
        <v>16</v>
      </c>
      <c r="E131" s="18" t="s">
        <v>29</v>
      </c>
      <c r="F131" s="9">
        <v>2936</v>
      </c>
      <c r="G131" s="9">
        <v>439</v>
      </c>
      <c r="H131" s="9">
        <v>44</v>
      </c>
      <c r="I131" s="9">
        <v>38168</v>
      </c>
      <c r="J131" s="9">
        <v>37571</v>
      </c>
      <c r="K131" s="9">
        <v>22</v>
      </c>
      <c r="L131" s="18" t="s">
        <v>37</v>
      </c>
      <c r="M131" s="18" t="s">
        <v>38</v>
      </c>
      <c r="N131" s="9">
        <v>47471</v>
      </c>
      <c r="O131" s="9">
        <v>12104</v>
      </c>
      <c r="P131" s="9">
        <v>5.5587999999999997</v>
      </c>
      <c r="Q131" s="9">
        <v>1228647</v>
      </c>
      <c r="R131" s="9">
        <f t="shared" ref="R131:R194" si="8">(F131+K131)/Q131</f>
        <v>2.4075263277410029E-3</v>
      </c>
      <c r="S131" s="23">
        <f t="shared" ref="S131:S194" si="9">N131-O131</f>
        <v>35367</v>
      </c>
      <c r="T131">
        <f t="shared" ref="T131:T194" si="10">WEEKNUM(C131)</f>
        <v>40</v>
      </c>
      <c r="U131">
        <f t="shared" ref="U131:U194" si="11">AVERAGE(S131:S133)</f>
        <v>43791.666666666664</v>
      </c>
    </row>
    <row r="132" spans="1:21" x14ac:dyDescent="0.3">
      <c r="A132" s="13" t="s">
        <v>300</v>
      </c>
      <c r="B132" s="14" t="s">
        <v>33</v>
      </c>
      <c r="C132" s="15">
        <v>45586</v>
      </c>
      <c r="D132" s="14" t="s">
        <v>16</v>
      </c>
      <c r="E132" s="14" t="s">
        <v>82</v>
      </c>
      <c r="F132" s="8">
        <v>4840</v>
      </c>
      <c r="G132" s="8">
        <v>658</v>
      </c>
      <c r="H132" s="8">
        <v>211</v>
      </c>
      <c r="I132" s="8">
        <v>43560</v>
      </c>
      <c r="J132" s="8">
        <v>43225</v>
      </c>
      <c r="K132" s="8">
        <v>57</v>
      </c>
      <c r="L132" s="14" t="s">
        <v>62</v>
      </c>
      <c r="M132" s="14" t="s">
        <v>31</v>
      </c>
      <c r="N132" s="8">
        <v>58311</v>
      </c>
      <c r="O132" s="8">
        <v>10307</v>
      </c>
      <c r="P132" s="8">
        <v>5.7155999999999993</v>
      </c>
      <c r="Q132" s="8">
        <v>1164373</v>
      </c>
      <c r="R132" s="8">
        <f t="shared" si="8"/>
        <v>4.2056969716748839E-3</v>
      </c>
      <c r="S132" s="22">
        <f t="shared" si="9"/>
        <v>48004</v>
      </c>
      <c r="T132">
        <f t="shared" si="10"/>
        <v>43</v>
      </c>
      <c r="U132">
        <f t="shared" si="11"/>
        <v>43855</v>
      </c>
    </row>
    <row r="133" spans="1:21" x14ac:dyDescent="0.3">
      <c r="A133" s="17" t="s">
        <v>301</v>
      </c>
      <c r="B133" s="18" t="s">
        <v>33</v>
      </c>
      <c r="C133" s="19">
        <v>45720</v>
      </c>
      <c r="D133" s="18" t="s">
        <v>35</v>
      </c>
      <c r="E133" s="18" t="s">
        <v>36</v>
      </c>
      <c r="F133" s="9">
        <v>1947</v>
      </c>
      <c r="G133" s="9">
        <v>842</v>
      </c>
      <c r="H133" s="9">
        <v>101</v>
      </c>
      <c r="I133" s="9">
        <v>21417</v>
      </c>
      <c r="J133" s="9">
        <v>20967</v>
      </c>
      <c r="K133" s="9">
        <v>186</v>
      </c>
      <c r="L133" s="18" t="s">
        <v>62</v>
      </c>
      <c r="M133" s="18" t="s">
        <v>25</v>
      </c>
      <c r="N133" s="9">
        <v>58311</v>
      </c>
      <c r="O133" s="9">
        <v>10307</v>
      </c>
      <c r="P133" s="9">
        <v>5.7155999999999993</v>
      </c>
      <c r="Q133" s="9">
        <v>1164373</v>
      </c>
      <c r="R133" s="9">
        <f t="shared" si="8"/>
        <v>1.8318872045298199E-3</v>
      </c>
      <c r="S133" s="23">
        <f t="shared" si="9"/>
        <v>48004</v>
      </c>
      <c r="T133">
        <f t="shared" si="10"/>
        <v>10</v>
      </c>
      <c r="U133">
        <f t="shared" si="11"/>
        <v>41579.333333333336</v>
      </c>
    </row>
    <row r="134" spans="1:21" x14ac:dyDescent="0.3">
      <c r="A134" s="13" t="s">
        <v>302</v>
      </c>
      <c r="B134" s="14" t="s">
        <v>43</v>
      </c>
      <c r="C134" s="15">
        <v>45694</v>
      </c>
      <c r="D134" s="14" t="s">
        <v>52</v>
      </c>
      <c r="E134" s="14" t="s">
        <v>59</v>
      </c>
      <c r="F134" s="8">
        <v>2072</v>
      </c>
      <c r="G134" s="8">
        <v>532</v>
      </c>
      <c r="H134" s="8">
        <v>71</v>
      </c>
      <c r="I134" s="8">
        <v>37296</v>
      </c>
      <c r="J134" s="8">
        <v>36467</v>
      </c>
      <c r="K134" s="8">
        <v>25</v>
      </c>
      <c r="L134" s="14" t="s">
        <v>30</v>
      </c>
      <c r="M134" s="14" t="s">
        <v>38</v>
      </c>
      <c r="N134" s="8">
        <v>50862</v>
      </c>
      <c r="O134" s="8">
        <v>15305</v>
      </c>
      <c r="P134" s="8">
        <v>5.6486000000000001</v>
      </c>
      <c r="Q134" s="8">
        <v>1379539</v>
      </c>
      <c r="R134" s="8">
        <f t="shared" si="8"/>
        <v>1.5200730098967844E-3</v>
      </c>
      <c r="S134" s="22">
        <f t="shared" si="9"/>
        <v>35557</v>
      </c>
      <c r="T134">
        <f t="shared" si="10"/>
        <v>6</v>
      </c>
      <c r="U134">
        <f t="shared" si="11"/>
        <v>37430.333333333336</v>
      </c>
    </row>
    <row r="135" spans="1:21" x14ac:dyDescent="0.3">
      <c r="A135" s="17" t="s">
        <v>304</v>
      </c>
      <c r="B135" s="18" t="s">
        <v>14</v>
      </c>
      <c r="C135" s="19">
        <v>45771</v>
      </c>
      <c r="D135" s="18" t="s">
        <v>16</v>
      </c>
      <c r="E135" s="18" t="s">
        <v>17</v>
      </c>
      <c r="F135" s="9">
        <v>3731</v>
      </c>
      <c r="G135" s="9">
        <v>115</v>
      </c>
      <c r="H135" s="9">
        <v>135</v>
      </c>
      <c r="I135" s="9">
        <v>55965</v>
      </c>
      <c r="J135" s="9">
        <v>55436</v>
      </c>
      <c r="K135" s="9">
        <v>103</v>
      </c>
      <c r="L135" s="18" t="s">
        <v>30</v>
      </c>
      <c r="M135" s="18" t="s">
        <v>19</v>
      </c>
      <c r="N135" s="9">
        <v>53484</v>
      </c>
      <c r="O135" s="9">
        <v>12307</v>
      </c>
      <c r="P135" s="9">
        <v>5.6557999999999993</v>
      </c>
      <c r="Q135" s="9">
        <v>1060357</v>
      </c>
      <c r="R135" s="9">
        <f t="shared" si="8"/>
        <v>3.6157633702611478E-3</v>
      </c>
      <c r="S135" s="23">
        <f t="shared" si="9"/>
        <v>41177</v>
      </c>
      <c r="T135">
        <f t="shared" si="10"/>
        <v>17</v>
      </c>
      <c r="U135">
        <f t="shared" si="11"/>
        <v>41579.333333333336</v>
      </c>
    </row>
    <row r="136" spans="1:21" x14ac:dyDescent="0.3">
      <c r="A136" s="13" t="s">
        <v>306</v>
      </c>
      <c r="B136" s="14" t="s">
        <v>43</v>
      </c>
      <c r="C136" s="15">
        <v>45624</v>
      </c>
      <c r="D136" s="14" t="s">
        <v>22</v>
      </c>
      <c r="E136" s="14" t="s">
        <v>56</v>
      </c>
      <c r="F136" s="8">
        <v>4213</v>
      </c>
      <c r="G136" s="8">
        <v>253</v>
      </c>
      <c r="H136" s="8">
        <v>434</v>
      </c>
      <c r="I136" s="8">
        <v>75834</v>
      </c>
      <c r="J136" s="8">
        <v>75437</v>
      </c>
      <c r="K136" s="8">
        <v>272</v>
      </c>
      <c r="L136" s="14" t="s">
        <v>62</v>
      </c>
      <c r="M136" s="14" t="s">
        <v>38</v>
      </c>
      <c r="N136" s="8">
        <v>50862</v>
      </c>
      <c r="O136" s="8">
        <v>15305</v>
      </c>
      <c r="P136" s="8">
        <v>5.6486000000000001</v>
      </c>
      <c r="Q136" s="8">
        <v>1379539</v>
      </c>
      <c r="R136" s="8">
        <f t="shared" si="8"/>
        <v>3.2510860512098608E-3</v>
      </c>
      <c r="S136" s="22">
        <f t="shared" si="9"/>
        <v>35557</v>
      </c>
      <c r="T136">
        <f t="shared" si="10"/>
        <v>48</v>
      </c>
      <c r="U136">
        <f t="shared" si="11"/>
        <v>39706</v>
      </c>
    </row>
    <row r="137" spans="1:21" x14ac:dyDescent="0.3">
      <c r="A137" s="17" t="s">
        <v>308</v>
      </c>
      <c r="B137" s="18" t="s">
        <v>33</v>
      </c>
      <c r="C137" s="19">
        <v>45484</v>
      </c>
      <c r="D137" s="18" t="s">
        <v>22</v>
      </c>
      <c r="E137" s="18" t="s">
        <v>113</v>
      </c>
      <c r="F137" s="9">
        <v>3134</v>
      </c>
      <c r="G137" s="9">
        <v>888</v>
      </c>
      <c r="H137" s="9">
        <v>444</v>
      </c>
      <c r="I137" s="9">
        <v>21938</v>
      </c>
      <c r="J137" s="9">
        <v>21337</v>
      </c>
      <c r="K137" s="9">
        <v>130</v>
      </c>
      <c r="L137" s="18" t="s">
        <v>37</v>
      </c>
      <c r="M137" s="18" t="s">
        <v>38</v>
      </c>
      <c r="N137" s="9">
        <v>58311</v>
      </c>
      <c r="O137" s="9">
        <v>10307</v>
      </c>
      <c r="P137" s="9">
        <v>5.7155999999999993</v>
      </c>
      <c r="Q137" s="9">
        <v>1164373</v>
      </c>
      <c r="R137" s="9">
        <f t="shared" si="8"/>
        <v>2.8032254269035784E-3</v>
      </c>
      <c r="S137" s="23">
        <f t="shared" si="9"/>
        <v>48004</v>
      </c>
      <c r="T137">
        <f t="shared" si="10"/>
        <v>28</v>
      </c>
      <c r="U137">
        <f t="shared" si="11"/>
        <v>41579.333333333336</v>
      </c>
    </row>
    <row r="138" spans="1:21" x14ac:dyDescent="0.3">
      <c r="A138" s="13" t="s">
        <v>310</v>
      </c>
      <c r="B138" s="14" t="s">
        <v>43</v>
      </c>
      <c r="C138" s="15">
        <v>45504</v>
      </c>
      <c r="D138" s="14" t="s">
        <v>74</v>
      </c>
      <c r="E138" s="14" t="s">
        <v>75</v>
      </c>
      <c r="F138" s="8">
        <v>3008</v>
      </c>
      <c r="G138" s="8">
        <v>94</v>
      </c>
      <c r="H138" s="8">
        <v>37</v>
      </c>
      <c r="I138" s="8">
        <v>15040</v>
      </c>
      <c r="J138" s="8">
        <v>14639</v>
      </c>
      <c r="K138" s="8">
        <v>277</v>
      </c>
      <c r="L138" s="14" t="s">
        <v>62</v>
      </c>
      <c r="M138" s="14"/>
      <c r="N138" s="8">
        <v>50862</v>
      </c>
      <c r="O138" s="8">
        <v>15305</v>
      </c>
      <c r="P138" s="8">
        <v>5.6486000000000001</v>
      </c>
      <c r="Q138" s="8">
        <v>1379539</v>
      </c>
      <c r="R138" s="8">
        <f t="shared" si="8"/>
        <v>2.3812302515550483E-3</v>
      </c>
      <c r="S138" s="22">
        <f t="shared" si="9"/>
        <v>35557</v>
      </c>
      <c r="T138">
        <f t="shared" si="10"/>
        <v>31</v>
      </c>
      <c r="U138">
        <f t="shared" si="11"/>
        <v>37367</v>
      </c>
    </row>
    <row r="139" spans="1:21" x14ac:dyDescent="0.3">
      <c r="A139" s="17" t="s">
        <v>311</v>
      </c>
      <c r="B139" s="18" t="s">
        <v>14</v>
      </c>
      <c r="C139" s="19">
        <v>45745</v>
      </c>
      <c r="D139" s="18" t="s">
        <v>52</v>
      </c>
      <c r="E139" s="18" t="s">
        <v>132</v>
      </c>
      <c r="F139" s="9">
        <v>305</v>
      </c>
      <c r="G139" s="9">
        <v>187</v>
      </c>
      <c r="H139" s="9">
        <v>243</v>
      </c>
      <c r="I139" s="9">
        <v>4575</v>
      </c>
      <c r="J139" s="9">
        <v>3704</v>
      </c>
      <c r="K139" s="9">
        <v>234</v>
      </c>
      <c r="L139" s="18" t="s">
        <v>62</v>
      </c>
      <c r="M139" s="18" t="s">
        <v>31</v>
      </c>
      <c r="N139" s="9">
        <v>53484</v>
      </c>
      <c r="O139" s="9">
        <v>12307</v>
      </c>
      <c r="P139" s="9">
        <v>5.6557999999999993</v>
      </c>
      <c r="Q139" s="9">
        <v>1060357</v>
      </c>
      <c r="R139" s="9">
        <f t="shared" si="8"/>
        <v>5.0831936791099596E-4</v>
      </c>
      <c r="S139" s="23">
        <f t="shared" si="9"/>
        <v>41177</v>
      </c>
      <c r="T139">
        <f t="shared" si="10"/>
        <v>13</v>
      </c>
      <c r="U139">
        <f t="shared" si="11"/>
        <v>37367</v>
      </c>
    </row>
    <row r="140" spans="1:21" x14ac:dyDescent="0.3">
      <c r="A140" s="13" t="s">
        <v>312</v>
      </c>
      <c r="B140" s="14" t="s">
        <v>27</v>
      </c>
      <c r="C140" s="15">
        <v>45594</v>
      </c>
      <c r="D140" s="14" t="s">
        <v>22</v>
      </c>
      <c r="E140" s="14" t="s">
        <v>104</v>
      </c>
      <c r="F140" s="8">
        <v>2746</v>
      </c>
      <c r="G140" s="8">
        <v>156</v>
      </c>
      <c r="H140" s="8">
        <v>203</v>
      </c>
      <c r="I140" s="8">
        <v>32952</v>
      </c>
      <c r="J140" s="8">
        <v>32147</v>
      </c>
      <c r="K140" s="8">
        <v>147</v>
      </c>
      <c r="L140" s="14" t="s">
        <v>37</v>
      </c>
      <c r="M140" s="14" t="s">
        <v>19</v>
      </c>
      <c r="N140" s="8">
        <v>47471</v>
      </c>
      <c r="O140" s="8">
        <v>12104</v>
      </c>
      <c r="P140" s="8">
        <v>5.5587999999999997</v>
      </c>
      <c r="Q140" s="8">
        <v>1228647</v>
      </c>
      <c r="R140" s="8">
        <f t="shared" si="8"/>
        <v>2.3546226051909132E-3</v>
      </c>
      <c r="S140" s="22">
        <f t="shared" si="9"/>
        <v>35367</v>
      </c>
      <c r="T140">
        <f t="shared" si="10"/>
        <v>44</v>
      </c>
      <c r="U140">
        <f t="shared" si="11"/>
        <v>37367</v>
      </c>
    </row>
    <row r="141" spans="1:21" x14ac:dyDescent="0.3">
      <c r="A141" s="17" t="s">
        <v>314</v>
      </c>
      <c r="B141" s="18" t="s">
        <v>43</v>
      </c>
      <c r="C141" s="19">
        <v>45488</v>
      </c>
      <c r="D141" s="18" t="s">
        <v>52</v>
      </c>
      <c r="E141" s="18" t="s">
        <v>59</v>
      </c>
      <c r="F141" s="9">
        <v>2291</v>
      </c>
      <c r="G141" s="9">
        <v>78</v>
      </c>
      <c r="H141" s="9">
        <v>485</v>
      </c>
      <c r="I141" s="9">
        <v>18328</v>
      </c>
      <c r="J141" s="9">
        <v>18101</v>
      </c>
      <c r="K141" s="9">
        <v>10</v>
      </c>
      <c r="L141" s="18" t="s">
        <v>37</v>
      </c>
      <c r="M141" s="18" t="s">
        <v>25</v>
      </c>
      <c r="N141" s="9">
        <v>50862</v>
      </c>
      <c r="O141" s="9">
        <v>15305</v>
      </c>
      <c r="P141" s="9">
        <v>5.6486000000000001</v>
      </c>
      <c r="Q141" s="9">
        <v>1379539</v>
      </c>
      <c r="R141" s="9">
        <f t="shared" si="8"/>
        <v>1.6679484958381024E-3</v>
      </c>
      <c r="S141" s="23">
        <f t="shared" si="9"/>
        <v>35557</v>
      </c>
      <c r="T141">
        <f t="shared" si="10"/>
        <v>29</v>
      </c>
      <c r="U141">
        <f t="shared" si="11"/>
        <v>37367</v>
      </c>
    </row>
    <row r="142" spans="1:21" x14ac:dyDescent="0.3">
      <c r="A142" s="13" t="s">
        <v>317</v>
      </c>
      <c r="B142" s="14" t="s">
        <v>14</v>
      </c>
      <c r="C142" s="15">
        <v>45535</v>
      </c>
      <c r="D142" s="14" t="s">
        <v>52</v>
      </c>
      <c r="E142" s="14" t="s">
        <v>132</v>
      </c>
      <c r="F142" s="8">
        <v>3170</v>
      </c>
      <c r="G142" s="8">
        <v>857</v>
      </c>
      <c r="H142" s="8">
        <v>379</v>
      </c>
      <c r="I142" s="8">
        <v>19020</v>
      </c>
      <c r="J142" s="8">
        <v>18559</v>
      </c>
      <c r="K142" s="8">
        <v>240</v>
      </c>
      <c r="L142" s="14" t="s">
        <v>62</v>
      </c>
      <c r="M142" s="14"/>
      <c r="N142" s="8">
        <v>53484</v>
      </c>
      <c r="O142" s="8">
        <v>12307</v>
      </c>
      <c r="P142" s="8">
        <v>5.6557999999999993</v>
      </c>
      <c r="Q142" s="8">
        <v>1060357</v>
      </c>
      <c r="R142" s="8">
        <f t="shared" si="8"/>
        <v>3.2158980418858932E-3</v>
      </c>
      <c r="S142" s="22">
        <f t="shared" si="9"/>
        <v>41177</v>
      </c>
      <c r="T142">
        <f t="shared" si="10"/>
        <v>35</v>
      </c>
      <c r="U142">
        <f t="shared" si="11"/>
        <v>37303.666666666664</v>
      </c>
    </row>
    <row r="143" spans="1:21" x14ac:dyDescent="0.3">
      <c r="A143" s="17" t="s">
        <v>319</v>
      </c>
      <c r="B143" s="18" t="s">
        <v>27</v>
      </c>
      <c r="C143" s="19">
        <v>45741</v>
      </c>
      <c r="D143" s="18" t="s">
        <v>35</v>
      </c>
      <c r="E143" s="18" t="s">
        <v>154</v>
      </c>
      <c r="F143" s="9">
        <v>2070</v>
      </c>
      <c r="G143" s="9">
        <v>275</v>
      </c>
      <c r="H143" s="9">
        <v>386</v>
      </c>
      <c r="I143" s="9">
        <v>39330</v>
      </c>
      <c r="J143" s="9">
        <v>38627</v>
      </c>
      <c r="K143" s="9">
        <v>114</v>
      </c>
      <c r="L143" s="18" t="s">
        <v>62</v>
      </c>
      <c r="M143" s="18" t="s">
        <v>38</v>
      </c>
      <c r="N143" s="9">
        <v>47471</v>
      </c>
      <c r="O143" s="9">
        <v>12104</v>
      </c>
      <c r="P143" s="9">
        <v>5.5587999999999997</v>
      </c>
      <c r="Q143" s="9">
        <v>1228647</v>
      </c>
      <c r="R143" s="9">
        <f t="shared" si="8"/>
        <v>1.7775650776830122E-3</v>
      </c>
      <c r="S143" s="23">
        <f t="shared" si="9"/>
        <v>35367</v>
      </c>
      <c r="T143">
        <f t="shared" si="10"/>
        <v>13</v>
      </c>
      <c r="U143">
        <f t="shared" si="11"/>
        <v>35367</v>
      </c>
    </row>
    <row r="144" spans="1:21" x14ac:dyDescent="0.3">
      <c r="A144" s="13" t="s">
        <v>320</v>
      </c>
      <c r="B144" s="14" t="s">
        <v>27</v>
      </c>
      <c r="C144" s="15">
        <v>45567</v>
      </c>
      <c r="D144" s="14" t="s">
        <v>45</v>
      </c>
      <c r="E144" s="14" t="s">
        <v>68</v>
      </c>
      <c r="F144" s="8">
        <v>80</v>
      </c>
      <c r="G144" s="8">
        <v>362</v>
      </c>
      <c r="H144" s="8">
        <v>80</v>
      </c>
      <c r="I144" s="8">
        <v>1040</v>
      </c>
      <c r="J144" s="8">
        <v>349</v>
      </c>
      <c r="K144" s="8">
        <v>117</v>
      </c>
      <c r="L144" s="14" t="s">
        <v>30</v>
      </c>
      <c r="M144" s="14" t="s">
        <v>31</v>
      </c>
      <c r="N144" s="8">
        <v>47471</v>
      </c>
      <c r="O144" s="8">
        <v>12104</v>
      </c>
      <c r="P144" s="8">
        <v>5.5587999999999997</v>
      </c>
      <c r="Q144" s="8">
        <v>1228647</v>
      </c>
      <c r="R144" s="8">
        <f t="shared" si="8"/>
        <v>1.6033897449796401E-4</v>
      </c>
      <c r="S144" s="22">
        <f t="shared" si="9"/>
        <v>35367</v>
      </c>
      <c r="T144">
        <f t="shared" si="10"/>
        <v>40</v>
      </c>
      <c r="U144">
        <f t="shared" si="11"/>
        <v>39579.333333333336</v>
      </c>
    </row>
    <row r="145" spans="1:21" x14ac:dyDescent="0.3">
      <c r="A145" s="17" t="s">
        <v>321</v>
      </c>
      <c r="B145" s="18" t="s">
        <v>27</v>
      </c>
      <c r="C145" s="19">
        <v>45593</v>
      </c>
      <c r="D145" s="18" t="s">
        <v>35</v>
      </c>
      <c r="E145" s="18" t="s">
        <v>154</v>
      </c>
      <c r="F145" s="9">
        <v>4929</v>
      </c>
      <c r="G145" s="9">
        <v>749</v>
      </c>
      <c r="H145" s="9">
        <v>452</v>
      </c>
      <c r="I145" s="9">
        <v>93651</v>
      </c>
      <c r="J145" s="9">
        <v>92810</v>
      </c>
      <c r="K145" s="9">
        <v>66</v>
      </c>
      <c r="L145" s="18" t="s">
        <v>37</v>
      </c>
      <c r="M145" s="18" t="s">
        <v>38</v>
      </c>
      <c r="N145" s="9">
        <v>47471</v>
      </c>
      <c r="O145" s="9">
        <v>12104</v>
      </c>
      <c r="P145" s="9">
        <v>5.5587999999999997</v>
      </c>
      <c r="Q145" s="9">
        <v>1228647</v>
      </c>
      <c r="R145" s="9">
        <f t="shared" si="8"/>
        <v>4.0654476021184278E-3</v>
      </c>
      <c r="S145" s="23">
        <f t="shared" si="9"/>
        <v>35367</v>
      </c>
      <c r="T145">
        <f t="shared" si="10"/>
        <v>44</v>
      </c>
      <c r="U145">
        <f t="shared" si="11"/>
        <v>39579.333333333336</v>
      </c>
    </row>
    <row r="146" spans="1:21" x14ac:dyDescent="0.3">
      <c r="A146" s="13" t="s">
        <v>322</v>
      </c>
      <c r="B146" s="14" t="s">
        <v>33</v>
      </c>
      <c r="C146" s="15">
        <v>45516</v>
      </c>
      <c r="D146" s="14" t="s">
        <v>45</v>
      </c>
      <c r="E146" s="14" t="s">
        <v>88</v>
      </c>
      <c r="F146" s="8">
        <v>1878</v>
      </c>
      <c r="G146" s="8">
        <v>62</v>
      </c>
      <c r="H146" s="8">
        <v>179</v>
      </c>
      <c r="I146" s="8">
        <v>37560</v>
      </c>
      <c r="J146" s="8">
        <v>36874</v>
      </c>
      <c r="K146" s="8">
        <v>142</v>
      </c>
      <c r="L146" s="14" t="s">
        <v>30</v>
      </c>
      <c r="M146" s="14" t="s">
        <v>38</v>
      </c>
      <c r="N146" s="8">
        <v>58311</v>
      </c>
      <c r="O146" s="8">
        <v>10307</v>
      </c>
      <c r="P146" s="8">
        <v>5.7155999999999993</v>
      </c>
      <c r="Q146" s="8">
        <v>1164373</v>
      </c>
      <c r="R146" s="8">
        <f t="shared" si="8"/>
        <v>1.7348392654243957E-3</v>
      </c>
      <c r="S146" s="22">
        <f t="shared" si="9"/>
        <v>48004</v>
      </c>
      <c r="T146">
        <f t="shared" si="10"/>
        <v>33</v>
      </c>
      <c r="U146">
        <f t="shared" si="11"/>
        <v>43791.666666666664</v>
      </c>
    </row>
    <row r="147" spans="1:21" x14ac:dyDescent="0.3">
      <c r="A147" s="17" t="s">
        <v>323</v>
      </c>
      <c r="B147" s="18" t="s">
        <v>27</v>
      </c>
      <c r="C147" s="19">
        <v>45448</v>
      </c>
      <c r="D147" s="18" t="s">
        <v>16</v>
      </c>
      <c r="E147" s="18" t="s">
        <v>29</v>
      </c>
      <c r="F147" s="9">
        <v>3065</v>
      </c>
      <c r="G147" s="9">
        <v>772</v>
      </c>
      <c r="H147" s="9">
        <v>142</v>
      </c>
      <c r="I147" s="9">
        <v>18390</v>
      </c>
      <c r="J147" s="9">
        <v>17875</v>
      </c>
      <c r="K147" s="9">
        <v>200</v>
      </c>
      <c r="L147" s="18" t="s">
        <v>37</v>
      </c>
      <c r="M147" s="18"/>
      <c r="N147" s="9">
        <v>47471</v>
      </c>
      <c r="O147" s="9">
        <v>12104</v>
      </c>
      <c r="P147" s="9">
        <v>5.5587999999999997</v>
      </c>
      <c r="Q147" s="9">
        <v>1228647</v>
      </c>
      <c r="R147" s="9">
        <f t="shared" si="8"/>
        <v>2.6573946788621956E-3</v>
      </c>
      <c r="S147" s="23">
        <f t="shared" si="9"/>
        <v>35367</v>
      </c>
      <c r="T147">
        <f t="shared" si="10"/>
        <v>23</v>
      </c>
      <c r="U147">
        <f t="shared" si="11"/>
        <v>43791.666666666664</v>
      </c>
    </row>
    <row r="148" spans="1:21" x14ac:dyDescent="0.3">
      <c r="A148" s="13" t="s">
        <v>326</v>
      </c>
      <c r="B148" s="14" t="s">
        <v>33</v>
      </c>
      <c r="C148" s="15">
        <v>45586</v>
      </c>
      <c r="D148" s="14" t="s">
        <v>16</v>
      </c>
      <c r="E148" s="14" t="s">
        <v>82</v>
      </c>
      <c r="F148" s="8">
        <v>3256</v>
      </c>
      <c r="G148" s="8">
        <v>459</v>
      </c>
      <c r="H148" s="8">
        <v>266</v>
      </c>
      <c r="I148" s="8">
        <v>26048</v>
      </c>
      <c r="J148" s="8">
        <v>25529</v>
      </c>
      <c r="K148" s="8">
        <v>143</v>
      </c>
      <c r="L148" s="14" t="s">
        <v>30</v>
      </c>
      <c r="M148" s="14" t="s">
        <v>25</v>
      </c>
      <c r="N148" s="8">
        <v>58311</v>
      </c>
      <c r="O148" s="8">
        <v>10307</v>
      </c>
      <c r="P148" s="8">
        <v>5.7155999999999993</v>
      </c>
      <c r="Q148" s="8">
        <v>1164373</v>
      </c>
      <c r="R148" s="8">
        <f t="shared" si="8"/>
        <v>2.9191676550383767E-3</v>
      </c>
      <c r="S148" s="22">
        <f t="shared" si="9"/>
        <v>48004</v>
      </c>
      <c r="T148">
        <f t="shared" si="10"/>
        <v>43</v>
      </c>
      <c r="U148">
        <f t="shared" si="11"/>
        <v>45728.333333333336</v>
      </c>
    </row>
    <row r="149" spans="1:21" x14ac:dyDescent="0.3">
      <c r="A149" s="17" t="s">
        <v>327</v>
      </c>
      <c r="B149" s="18" t="s">
        <v>33</v>
      </c>
      <c r="C149" s="19">
        <v>45762</v>
      </c>
      <c r="D149" s="18" t="s">
        <v>74</v>
      </c>
      <c r="E149" s="18" t="s">
        <v>85</v>
      </c>
      <c r="F149" s="9">
        <v>4133</v>
      </c>
      <c r="G149" s="9">
        <v>466</v>
      </c>
      <c r="H149" s="9">
        <v>327</v>
      </c>
      <c r="I149" s="9">
        <v>24798</v>
      </c>
      <c r="J149" s="9">
        <v>24620</v>
      </c>
      <c r="K149" s="9">
        <v>176</v>
      </c>
      <c r="L149" s="18" t="s">
        <v>37</v>
      </c>
      <c r="M149" s="18" t="s">
        <v>38</v>
      </c>
      <c r="N149" s="9">
        <v>58311</v>
      </c>
      <c r="O149" s="9">
        <v>10307</v>
      </c>
      <c r="P149" s="9">
        <v>5.7155999999999993</v>
      </c>
      <c r="Q149" s="9">
        <v>1164373</v>
      </c>
      <c r="R149" s="9">
        <f t="shared" si="8"/>
        <v>3.700704155798872E-3</v>
      </c>
      <c r="S149" s="23">
        <f t="shared" si="9"/>
        <v>48004</v>
      </c>
      <c r="T149">
        <f t="shared" si="10"/>
        <v>16</v>
      </c>
      <c r="U149">
        <f t="shared" si="11"/>
        <v>41516</v>
      </c>
    </row>
    <row r="150" spans="1:21" x14ac:dyDescent="0.3">
      <c r="A150" s="13" t="s">
        <v>328</v>
      </c>
      <c r="B150" s="14" t="s">
        <v>14</v>
      </c>
      <c r="C150" s="15">
        <v>45459</v>
      </c>
      <c r="D150" s="14" t="s">
        <v>74</v>
      </c>
      <c r="E150" s="14" t="s">
        <v>145</v>
      </c>
      <c r="F150" s="8">
        <v>1702</v>
      </c>
      <c r="G150" s="8">
        <v>750</v>
      </c>
      <c r="H150" s="8">
        <v>179</v>
      </c>
      <c r="I150" s="8">
        <v>34040</v>
      </c>
      <c r="J150" s="8">
        <v>33174</v>
      </c>
      <c r="K150" s="8">
        <v>76</v>
      </c>
      <c r="L150" s="14" t="s">
        <v>37</v>
      </c>
      <c r="M150" s="14" t="s">
        <v>19</v>
      </c>
      <c r="N150" s="8">
        <v>53484</v>
      </c>
      <c r="O150" s="8">
        <v>12307</v>
      </c>
      <c r="P150" s="8">
        <v>5.6557999999999993</v>
      </c>
      <c r="Q150" s="8">
        <v>1060357</v>
      </c>
      <c r="R150" s="8">
        <f t="shared" si="8"/>
        <v>1.6767937590830258E-3</v>
      </c>
      <c r="S150" s="22">
        <f t="shared" si="9"/>
        <v>41177</v>
      </c>
      <c r="T150">
        <f t="shared" si="10"/>
        <v>25</v>
      </c>
      <c r="U150">
        <f t="shared" si="11"/>
        <v>41516</v>
      </c>
    </row>
    <row r="151" spans="1:21" x14ac:dyDescent="0.3">
      <c r="A151" s="17" t="s">
        <v>330</v>
      </c>
      <c r="B151" s="18" t="s">
        <v>27</v>
      </c>
      <c r="C151" s="19">
        <v>45526</v>
      </c>
      <c r="D151" s="18" t="s">
        <v>45</v>
      </c>
      <c r="E151" s="18" t="s">
        <v>68</v>
      </c>
      <c r="F151" s="9">
        <v>4295</v>
      </c>
      <c r="G151" s="9">
        <v>853</v>
      </c>
      <c r="H151" s="9">
        <v>325</v>
      </c>
      <c r="I151" s="9">
        <v>85900</v>
      </c>
      <c r="J151" s="9">
        <v>85788</v>
      </c>
      <c r="K151" s="9">
        <v>290</v>
      </c>
      <c r="L151" s="18" t="s">
        <v>30</v>
      </c>
      <c r="M151" s="18" t="s">
        <v>38</v>
      </c>
      <c r="N151" s="9">
        <v>47471</v>
      </c>
      <c r="O151" s="9">
        <v>12104</v>
      </c>
      <c r="P151" s="9">
        <v>5.5587999999999997</v>
      </c>
      <c r="Q151" s="9">
        <v>1228647</v>
      </c>
      <c r="R151" s="9">
        <f t="shared" si="8"/>
        <v>3.7317471983409393E-3</v>
      </c>
      <c r="S151" s="23">
        <f t="shared" si="9"/>
        <v>35367</v>
      </c>
      <c r="T151">
        <f t="shared" si="10"/>
        <v>34</v>
      </c>
      <c r="U151">
        <f t="shared" si="11"/>
        <v>39642.666666666664</v>
      </c>
    </row>
    <row r="152" spans="1:21" x14ac:dyDescent="0.3">
      <c r="A152" s="13" t="s">
        <v>332</v>
      </c>
      <c r="B152" s="14" t="s">
        <v>33</v>
      </c>
      <c r="C152" s="15">
        <v>45499</v>
      </c>
      <c r="D152" s="14" t="s">
        <v>52</v>
      </c>
      <c r="E152" s="14" t="s">
        <v>215</v>
      </c>
      <c r="F152" s="8">
        <v>3559</v>
      </c>
      <c r="G152" s="8">
        <v>59</v>
      </c>
      <c r="H152" s="8">
        <v>289</v>
      </c>
      <c r="I152" s="8">
        <v>35590</v>
      </c>
      <c r="J152" s="8">
        <v>35105</v>
      </c>
      <c r="K152" s="8">
        <v>122</v>
      </c>
      <c r="L152" s="14" t="s">
        <v>37</v>
      </c>
      <c r="M152" s="14" t="s">
        <v>19</v>
      </c>
      <c r="N152" s="8">
        <v>58311</v>
      </c>
      <c r="O152" s="8">
        <v>10307</v>
      </c>
      <c r="P152" s="8">
        <v>5.7155999999999993</v>
      </c>
      <c r="Q152" s="8">
        <v>1164373</v>
      </c>
      <c r="R152" s="8">
        <f t="shared" si="8"/>
        <v>3.1613580871421789E-3</v>
      </c>
      <c r="S152" s="22">
        <f t="shared" si="9"/>
        <v>48004</v>
      </c>
      <c r="T152">
        <f t="shared" si="10"/>
        <v>30</v>
      </c>
      <c r="U152">
        <f t="shared" si="11"/>
        <v>41579.333333333336</v>
      </c>
    </row>
    <row r="153" spans="1:21" x14ac:dyDescent="0.3">
      <c r="A153" s="17" t="s">
        <v>333</v>
      </c>
      <c r="B153" s="18" t="s">
        <v>43</v>
      </c>
      <c r="C153" s="19">
        <v>45769</v>
      </c>
      <c r="D153" s="18" t="s">
        <v>52</v>
      </c>
      <c r="E153" s="18" t="s">
        <v>59</v>
      </c>
      <c r="F153" s="9">
        <v>4804</v>
      </c>
      <c r="G153" s="9">
        <v>550</v>
      </c>
      <c r="H153" s="9">
        <v>270</v>
      </c>
      <c r="I153" s="9">
        <v>28824</v>
      </c>
      <c r="J153" s="9">
        <v>28370</v>
      </c>
      <c r="K153" s="9">
        <v>47</v>
      </c>
      <c r="L153" s="18" t="s">
        <v>37</v>
      </c>
      <c r="M153" s="18" t="s">
        <v>38</v>
      </c>
      <c r="N153" s="9">
        <v>50862</v>
      </c>
      <c r="O153" s="9">
        <v>15305</v>
      </c>
      <c r="P153" s="9">
        <v>5.6486000000000001</v>
      </c>
      <c r="Q153" s="9">
        <v>1379539</v>
      </c>
      <c r="R153" s="9">
        <f t="shared" si="8"/>
        <v>3.5163920701045785E-3</v>
      </c>
      <c r="S153" s="23">
        <f t="shared" si="9"/>
        <v>35557</v>
      </c>
      <c r="T153">
        <f t="shared" si="10"/>
        <v>17</v>
      </c>
      <c r="U153">
        <f t="shared" si="11"/>
        <v>41579.333333333336</v>
      </c>
    </row>
    <row r="154" spans="1:21" x14ac:dyDescent="0.3">
      <c r="A154" s="13" t="s">
        <v>335</v>
      </c>
      <c r="B154" s="14" t="s">
        <v>14</v>
      </c>
      <c r="C154" s="15">
        <v>45658</v>
      </c>
      <c r="D154" s="14" t="s">
        <v>74</v>
      </c>
      <c r="E154" s="14" t="s">
        <v>145</v>
      </c>
      <c r="F154" s="8">
        <v>754</v>
      </c>
      <c r="G154" s="8">
        <v>197</v>
      </c>
      <c r="H154" s="8">
        <v>257</v>
      </c>
      <c r="I154" s="8">
        <v>6786</v>
      </c>
      <c r="J154" s="8">
        <v>6221</v>
      </c>
      <c r="K154" s="8">
        <v>212</v>
      </c>
      <c r="L154" s="14" t="s">
        <v>30</v>
      </c>
      <c r="M154" s="14" t="s">
        <v>31</v>
      </c>
      <c r="N154" s="8">
        <v>53484</v>
      </c>
      <c r="O154" s="8">
        <v>12307</v>
      </c>
      <c r="P154" s="8">
        <v>5.6557999999999993</v>
      </c>
      <c r="Q154" s="8">
        <v>1060357</v>
      </c>
      <c r="R154" s="8">
        <f t="shared" si="8"/>
        <v>9.1101393210022666E-4</v>
      </c>
      <c r="S154" s="22">
        <f t="shared" si="9"/>
        <v>41177</v>
      </c>
      <c r="T154">
        <f t="shared" si="10"/>
        <v>1</v>
      </c>
      <c r="U154">
        <f t="shared" si="11"/>
        <v>41516</v>
      </c>
    </row>
    <row r="155" spans="1:21" x14ac:dyDescent="0.3">
      <c r="A155" s="17" t="s">
        <v>337</v>
      </c>
      <c r="B155" s="18" t="s">
        <v>33</v>
      </c>
      <c r="C155" s="19">
        <v>45574</v>
      </c>
      <c r="D155" s="18" t="s">
        <v>45</v>
      </c>
      <c r="E155" s="18" t="s">
        <v>88</v>
      </c>
      <c r="F155" s="9">
        <v>985</v>
      </c>
      <c r="G155" s="9">
        <v>932</v>
      </c>
      <c r="H155" s="9">
        <v>287</v>
      </c>
      <c r="I155" s="9">
        <v>6895</v>
      </c>
      <c r="J155" s="9">
        <v>6757</v>
      </c>
      <c r="K155" s="9">
        <v>64</v>
      </c>
      <c r="L155" s="18" t="s">
        <v>62</v>
      </c>
      <c r="M155" s="18" t="s">
        <v>38</v>
      </c>
      <c r="N155" s="9">
        <v>58311</v>
      </c>
      <c r="O155" s="9">
        <v>10307</v>
      </c>
      <c r="P155" s="9">
        <v>5.7155999999999993</v>
      </c>
      <c r="Q155" s="9">
        <v>1164373</v>
      </c>
      <c r="R155" s="9">
        <f t="shared" si="8"/>
        <v>9.0091405417336192E-4</v>
      </c>
      <c r="S155" s="23">
        <f t="shared" si="9"/>
        <v>48004</v>
      </c>
      <c r="T155">
        <f t="shared" si="10"/>
        <v>41</v>
      </c>
      <c r="U155">
        <f t="shared" si="11"/>
        <v>39642.666666666664</v>
      </c>
    </row>
    <row r="156" spans="1:21" x14ac:dyDescent="0.3">
      <c r="A156" s="13" t="s">
        <v>338</v>
      </c>
      <c r="B156" s="14" t="s">
        <v>27</v>
      </c>
      <c r="C156" s="15">
        <v>45647</v>
      </c>
      <c r="D156" s="14" t="s">
        <v>52</v>
      </c>
      <c r="E156" s="14" t="s">
        <v>53</v>
      </c>
      <c r="F156" s="8">
        <v>2283</v>
      </c>
      <c r="G156" s="8">
        <v>210</v>
      </c>
      <c r="H156" s="8">
        <v>130</v>
      </c>
      <c r="I156" s="8">
        <v>22830</v>
      </c>
      <c r="J156" s="8">
        <v>22617</v>
      </c>
      <c r="K156" s="8">
        <v>143</v>
      </c>
      <c r="L156" s="14" t="s">
        <v>62</v>
      </c>
      <c r="M156" s="14" t="s">
        <v>25</v>
      </c>
      <c r="N156" s="8">
        <v>47471</v>
      </c>
      <c r="O156" s="8">
        <v>12104</v>
      </c>
      <c r="P156" s="8">
        <v>5.5587999999999997</v>
      </c>
      <c r="Q156" s="8">
        <v>1228647</v>
      </c>
      <c r="R156" s="8">
        <f t="shared" si="8"/>
        <v>1.9745297062541151E-3</v>
      </c>
      <c r="S156" s="22">
        <f t="shared" si="9"/>
        <v>35367</v>
      </c>
      <c r="T156">
        <f t="shared" si="10"/>
        <v>51</v>
      </c>
      <c r="U156">
        <f t="shared" si="11"/>
        <v>35430.333333333336</v>
      </c>
    </row>
    <row r="157" spans="1:21" x14ac:dyDescent="0.3">
      <c r="A157" s="17" t="s">
        <v>340</v>
      </c>
      <c r="B157" s="18" t="s">
        <v>43</v>
      </c>
      <c r="C157" s="19">
        <v>45587</v>
      </c>
      <c r="D157" s="18" t="s">
        <v>45</v>
      </c>
      <c r="E157" s="18" t="s">
        <v>46</v>
      </c>
      <c r="F157" s="9">
        <v>3352</v>
      </c>
      <c r="G157" s="9">
        <v>941</v>
      </c>
      <c r="H157" s="9">
        <v>482</v>
      </c>
      <c r="I157" s="9">
        <v>43576</v>
      </c>
      <c r="J157" s="9">
        <v>43338</v>
      </c>
      <c r="K157" s="9">
        <v>240</v>
      </c>
      <c r="L157" s="18" t="s">
        <v>62</v>
      </c>
      <c r="M157" s="18" t="s">
        <v>25</v>
      </c>
      <c r="N157" s="9">
        <v>50862</v>
      </c>
      <c r="O157" s="9">
        <v>15305</v>
      </c>
      <c r="P157" s="9">
        <v>5.6486000000000001</v>
      </c>
      <c r="Q157" s="9">
        <v>1379539</v>
      </c>
      <c r="R157" s="9">
        <f t="shared" si="8"/>
        <v>2.6037683603000713E-3</v>
      </c>
      <c r="S157" s="23">
        <f t="shared" si="9"/>
        <v>35557</v>
      </c>
      <c r="T157">
        <f t="shared" si="10"/>
        <v>43</v>
      </c>
      <c r="U157">
        <f t="shared" si="11"/>
        <v>39642.666666666664</v>
      </c>
    </row>
    <row r="158" spans="1:21" x14ac:dyDescent="0.3">
      <c r="A158" s="13" t="s">
        <v>342</v>
      </c>
      <c r="B158" s="14" t="s">
        <v>27</v>
      </c>
      <c r="C158" s="15">
        <v>45496</v>
      </c>
      <c r="D158" s="14" t="s">
        <v>35</v>
      </c>
      <c r="E158" s="14" t="s">
        <v>154</v>
      </c>
      <c r="F158" s="8">
        <v>4775</v>
      </c>
      <c r="G158" s="8">
        <v>173</v>
      </c>
      <c r="H158" s="8">
        <v>206</v>
      </c>
      <c r="I158" s="8">
        <v>47750</v>
      </c>
      <c r="J158" s="8">
        <v>47544</v>
      </c>
      <c r="K158" s="8">
        <v>187</v>
      </c>
      <c r="L158" s="14" t="s">
        <v>62</v>
      </c>
      <c r="M158" s="14" t="s">
        <v>25</v>
      </c>
      <c r="N158" s="8">
        <v>47471</v>
      </c>
      <c r="O158" s="8">
        <v>12104</v>
      </c>
      <c r="P158" s="8">
        <v>5.5587999999999997</v>
      </c>
      <c r="Q158" s="8">
        <v>1228647</v>
      </c>
      <c r="R158" s="8">
        <f t="shared" si="8"/>
        <v>4.038588789131459E-3</v>
      </c>
      <c r="S158" s="22">
        <f t="shared" si="9"/>
        <v>35367</v>
      </c>
      <c r="T158">
        <f t="shared" si="10"/>
        <v>30</v>
      </c>
      <c r="U158">
        <f t="shared" si="11"/>
        <v>39642.666666666664</v>
      </c>
    </row>
    <row r="159" spans="1:21" x14ac:dyDescent="0.3">
      <c r="A159" s="17" t="s">
        <v>344</v>
      </c>
      <c r="B159" s="18" t="s">
        <v>33</v>
      </c>
      <c r="C159" s="19">
        <v>45515</v>
      </c>
      <c r="D159" s="18" t="s">
        <v>35</v>
      </c>
      <c r="E159" s="18" t="s">
        <v>36</v>
      </c>
      <c r="F159" s="9">
        <v>1762</v>
      </c>
      <c r="G159" s="9">
        <v>405</v>
      </c>
      <c r="H159" s="9">
        <v>423</v>
      </c>
      <c r="I159" s="9">
        <v>22906</v>
      </c>
      <c r="J159" s="9">
        <v>21925</v>
      </c>
      <c r="K159" s="9">
        <v>25</v>
      </c>
      <c r="L159" s="18" t="s">
        <v>30</v>
      </c>
      <c r="M159" s="18" t="s">
        <v>19</v>
      </c>
      <c r="N159" s="9">
        <v>58311</v>
      </c>
      <c r="O159" s="9">
        <v>10307</v>
      </c>
      <c r="P159" s="9">
        <v>5.7155999999999993</v>
      </c>
      <c r="Q159" s="9">
        <v>1164373</v>
      </c>
      <c r="R159" s="9">
        <f t="shared" si="8"/>
        <v>1.5347315679769284E-3</v>
      </c>
      <c r="S159" s="23">
        <f t="shared" si="9"/>
        <v>48004</v>
      </c>
      <c r="T159">
        <f t="shared" si="10"/>
        <v>33</v>
      </c>
      <c r="U159">
        <f t="shared" si="11"/>
        <v>41579.333333333336</v>
      </c>
    </row>
    <row r="160" spans="1:21" x14ac:dyDescent="0.3">
      <c r="A160" s="13" t="s">
        <v>346</v>
      </c>
      <c r="B160" s="14" t="s">
        <v>43</v>
      </c>
      <c r="C160" s="15">
        <v>45621</v>
      </c>
      <c r="D160" s="14" t="s">
        <v>35</v>
      </c>
      <c r="E160" s="14" t="s">
        <v>71</v>
      </c>
      <c r="F160" s="8">
        <v>2120</v>
      </c>
      <c r="G160" s="8">
        <v>158</v>
      </c>
      <c r="H160" s="8">
        <v>488</v>
      </c>
      <c r="I160" s="8">
        <v>12720</v>
      </c>
      <c r="J160" s="8">
        <v>12085</v>
      </c>
      <c r="K160" s="8">
        <v>17</v>
      </c>
      <c r="L160" s="14" t="s">
        <v>62</v>
      </c>
      <c r="M160" s="14" t="s">
        <v>25</v>
      </c>
      <c r="N160" s="8">
        <v>50862</v>
      </c>
      <c r="O160" s="8">
        <v>15305</v>
      </c>
      <c r="P160" s="8">
        <v>5.6486000000000001</v>
      </c>
      <c r="Q160" s="8">
        <v>1379539</v>
      </c>
      <c r="R160" s="8">
        <f t="shared" si="8"/>
        <v>1.5490682032186114E-3</v>
      </c>
      <c r="S160" s="22">
        <f t="shared" si="9"/>
        <v>35557</v>
      </c>
      <c r="T160">
        <f t="shared" si="10"/>
        <v>48</v>
      </c>
      <c r="U160">
        <f t="shared" si="11"/>
        <v>39303.666666666664</v>
      </c>
    </row>
    <row r="161" spans="1:21" x14ac:dyDescent="0.3">
      <c r="A161" s="17" t="s">
        <v>347</v>
      </c>
      <c r="B161" s="18" t="s">
        <v>14</v>
      </c>
      <c r="C161" s="19">
        <v>45528</v>
      </c>
      <c r="D161" s="18" t="s">
        <v>74</v>
      </c>
      <c r="E161" s="18" t="s">
        <v>145</v>
      </c>
      <c r="F161" s="9">
        <v>1082</v>
      </c>
      <c r="G161" s="9">
        <v>209</v>
      </c>
      <c r="H161" s="9">
        <v>484</v>
      </c>
      <c r="I161" s="9">
        <v>19476</v>
      </c>
      <c r="J161" s="9">
        <v>18654</v>
      </c>
      <c r="K161" s="9">
        <v>20</v>
      </c>
      <c r="L161" s="18" t="s">
        <v>30</v>
      </c>
      <c r="M161" s="18"/>
      <c r="N161" s="9">
        <v>53484</v>
      </c>
      <c r="O161" s="9">
        <v>12307</v>
      </c>
      <c r="P161" s="9">
        <v>5.6557999999999993</v>
      </c>
      <c r="Q161" s="9">
        <v>1060357</v>
      </c>
      <c r="R161" s="9">
        <f t="shared" si="8"/>
        <v>1.0392726223337988E-3</v>
      </c>
      <c r="S161" s="23">
        <f t="shared" si="9"/>
        <v>41177</v>
      </c>
      <c r="T161">
        <f t="shared" si="10"/>
        <v>34</v>
      </c>
      <c r="U161">
        <f t="shared" si="11"/>
        <v>39303.666666666664</v>
      </c>
    </row>
    <row r="162" spans="1:21" x14ac:dyDescent="0.3">
      <c r="A162" s="13" t="s">
        <v>349</v>
      </c>
      <c r="B162" s="14" t="s">
        <v>14</v>
      </c>
      <c r="C162" s="15">
        <v>45707</v>
      </c>
      <c r="D162" s="14" t="s">
        <v>22</v>
      </c>
      <c r="E162" s="14" t="s">
        <v>23</v>
      </c>
      <c r="F162" s="8">
        <v>4671</v>
      </c>
      <c r="G162" s="8">
        <v>876</v>
      </c>
      <c r="H162" s="8">
        <v>366</v>
      </c>
      <c r="I162" s="8">
        <v>51381</v>
      </c>
      <c r="J162" s="8">
        <v>50565</v>
      </c>
      <c r="K162" s="8">
        <v>245</v>
      </c>
      <c r="L162" s="14" t="s">
        <v>30</v>
      </c>
      <c r="M162" s="14" t="s">
        <v>38</v>
      </c>
      <c r="N162" s="8">
        <v>53484</v>
      </c>
      <c r="O162" s="8">
        <v>12307</v>
      </c>
      <c r="P162" s="8">
        <v>5.6557999999999993</v>
      </c>
      <c r="Q162" s="8">
        <v>1060357</v>
      </c>
      <c r="R162" s="8">
        <f t="shared" si="8"/>
        <v>4.6361744205017747E-3</v>
      </c>
      <c r="S162" s="22">
        <f t="shared" si="9"/>
        <v>41177</v>
      </c>
      <c r="T162">
        <f t="shared" si="10"/>
        <v>8</v>
      </c>
      <c r="U162">
        <f t="shared" si="11"/>
        <v>41579.333333333336</v>
      </c>
    </row>
    <row r="163" spans="1:21" x14ac:dyDescent="0.3">
      <c r="A163" s="17" t="s">
        <v>351</v>
      </c>
      <c r="B163" s="18" t="s">
        <v>43</v>
      </c>
      <c r="C163" s="19">
        <v>45748</v>
      </c>
      <c r="D163" s="18" t="s">
        <v>35</v>
      </c>
      <c r="E163" s="18" t="s">
        <v>71</v>
      </c>
      <c r="F163" s="9">
        <v>3430</v>
      </c>
      <c r="G163" s="9">
        <v>566</v>
      </c>
      <c r="H163" s="9">
        <v>164</v>
      </c>
      <c r="I163" s="9">
        <v>48020</v>
      </c>
      <c r="J163" s="9">
        <v>47305</v>
      </c>
      <c r="K163" s="9">
        <v>120</v>
      </c>
      <c r="L163" s="18" t="s">
        <v>62</v>
      </c>
      <c r="M163" s="18"/>
      <c r="N163" s="9">
        <v>50862</v>
      </c>
      <c r="O163" s="9">
        <v>15305</v>
      </c>
      <c r="P163" s="9">
        <v>5.6486000000000001</v>
      </c>
      <c r="Q163" s="9">
        <v>1379539</v>
      </c>
      <c r="R163" s="9">
        <f t="shared" si="8"/>
        <v>2.5733234073121529E-3</v>
      </c>
      <c r="S163" s="23">
        <f t="shared" si="9"/>
        <v>35557</v>
      </c>
      <c r="T163">
        <f t="shared" si="10"/>
        <v>14</v>
      </c>
      <c r="U163">
        <f t="shared" si="11"/>
        <v>39642.666666666664</v>
      </c>
    </row>
    <row r="164" spans="1:21" x14ac:dyDescent="0.3">
      <c r="A164" s="13" t="s">
        <v>353</v>
      </c>
      <c r="B164" s="14" t="s">
        <v>33</v>
      </c>
      <c r="C164" s="15">
        <v>45755</v>
      </c>
      <c r="D164" s="14" t="s">
        <v>52</v>
      </c>
      <c r="E164" s="14" t="s">
        <v>215</v>
      </c>
      <c r="F164" s="8">
        <v>4501</v>
      </c>
      <c r="G164" s="8">
        <v>375</v>
      </c>
      <c r="H164" s="8">
        <v>323</v>
      </c>
      <c r="I164" s="8">
        <v>22505</v>
      </c>
      <c r="J164" s="8">
        <v>21836</v>
      </c>
      <c r="K164" s="8">
        <v>132</v>
      </c>
      <c r="L164" s="14" t="s">
        <v>30</v>
      </c>
      <c r="M164" s="14" t="s">
        <v>25</v>
      </c>
      <c r="N164" s="8">
        <v>58311</v>
      </c>
      <c r="O164" s="8">
        <v>10307</v>
      </c>
      <c r="P164" s="8">
        <v>5.7155999999999993</v>
      </c>
      <c r="Q164" s="8">
        <v>1164373</v>
      </c>
      <c r="R164" s="8">
        <f t="shared" si="8"/>
        <v>3.9789655033223891E-3</v>
      </c>
      <c r="S164" s="22">
        <f t="shared" si="9"/>
        <v>48004</v>
      </c>
      <c r="T164">
        <f t="shared" si="10"/>
        <v>15</v>
      </c>
      <c r="U164">
        <f t="shared" si="11"/>
        <v>41516</v>
      </c>
    </row>
    <row r="165" spans="1:21" x14ac:dyDescent="0.3">
      <c r="A165" s="17" t="s">
        <v>355</v>
      </c>
      <c r="B165" s="18" t="s">
        <v>27</v>
      </c>
      <c r="C165" s="19">
        <v>45715</v>
      </c>
      <c r="D165" s="18" t="s">
        <v>22</v>
      </c>
      <c r="E165" s="18" t="s">
        <v>104</v>
      </c>
      <c r="F165" s="9">
        <v>4934</v>
      </c>
      <c r="G165" s="9">
        <v>971</v>
      </c>
      <c r="H165" s="9">
        <v>156</v>
      </c>
      <c r="I165" s="9">
        <v>39472</v>
      </c>
      <c r="J165" s="9">
        <v>39025</v>
      </c>
      <c r="K165" s="9">
        <v>169</v>
      </c>
      <c r="L165" s="18" t="s">
        <v>30</v>
      </c>
      <c r="M165" s="18" t="s">
        <v>38</v>
      </c>
      <c r="N165" s="9">
        <v>47471</v>
      </c>
      <c r="O165" s="9">
        <v>12104</v>
      </c>
      <c r="P165" s="9">
        <v>5.5587999999999997</v>
      </c>
      <c r="Q165" s="9">
        <v>1228647</v>
      </c>
      <c r="R165" s="9">
        <f t="shared" si="8"/>
        <v>4.1533491718939615E-3</v>
      </c>
      <c r="S165" s="23">
        <f t="shared" si="9"/>
        <v>35367</v>
      </c>
      <c r="T165">
        <f t="shared" si="10"/>
        <v>9</v>
      </c>
      <c r="U165">
        <f t="shared" si="11"/>
        <v>39240.333333333336</v>
      </c>
    </row>
    <row r="166" spans="1:21" x14ac:dyDescent="0.3">
      <c r="A166" s="13" t="s">
        <v>356</v>
      </c>
      <c r="B166" s="14" t="s">
        <v>14</v>
      </c>
      <c r="C166" s="15">
        <v>45637</v>
      </c>
      <c r="D166" s="14" t="s">
        <v>22</v>
      </c>
      <c r="E166" s="14" t="s">
        <v>23</v>
      </c>
      <c r="F166" s="8">
        <v>3239</v>
      </c>
      <c r="G166" s="8">
        <v>43</v>
      </c>
      <c r="H166" s="8">
        <v>211</v>
      </c>
      <c r="I166" s="8">
        <v>22673</v>
      </c>
      <c r="J166" s="8">
        <v>22171</v>
      </c>
      <c r="K166" s="8">
        <v>230</v>
      </c>
      <c r="L166" s="14" t="s">
        <v>30</v>
      </c>
      <c r="M166" s="14" t="s">
        <v>25</v>
      </c>
      <c r="N166" s="8">
        <v>53484</v>
      </c>
      <c r="O166" s="8">
        <v>12307</v>
      </c>
      <c r="P166" s="8">
        <v>5.6557999999999993</v>
      </c>
      <c r="Q166" s="8">
        <v>1060357</v>
      </c>
      <c r="R166" s="8">
        <f t="shared" si="8"/>
        <v>3.2715396795607518E-3</v>
      </c>
      <c r="S166" s="22">
        <f t="shared" si="9"/>
        <v>41177</v>
      </c>
      <c r="T166">
        <f t="shared" si="10"/>
        <v>50</v>
      </c>
      <c r="U166">
        <f t="shared" si="11"/>
        <v>43452.666666666664</v>
      </c>
    </row>
    <row r="167" spans="1:21" x14ac:dyDescent="0.3">
      <c r="A167" s="17" t="s">
        <v>357</v>
      </c>
      <c r="B167" s="18" t="s">
        <v>14</v>
      </c>
      <c r="C167" s="19">
        <v>45704</v>
      </c>
      <c r="D167" s="18" t="s">
        <v>16</v>
      </c>
      <c r="E167" s="18" t="s">
        <v>17</v>
      </c>
      <c r="F167" s="9">
        <v>1076</v>
      </c>
      <c r="G167" s="9">
        <v>313</v>
      </c>
      <c r="H167" s="9">
        <v>306</v>
      </c>
      <c r="I167" s="9">
        <v>11836</v>
      </c>
      <c r="J167" s="9">
        <v>11596</v>
      </c>
      <c r="K167" s="9">
        <v>104</v>
      </c>
      <c r="L167" s="18" t="s">
        <v>62</v>
      </c>
      <c r="M167" s="18" t="s">
        <v>19</v>
      </c>
      <c r="N167" s="9">
        <v>53484</v>
      </c>
      <c r="O167" s="9">
        <v>12307</v>
      </c>
      <c r="P167" s="9">
        <v>5.6557999999999993</v>
      </c>
      <c r="Q167" s="9">
        <v>1060357</v>
      </c>
      <c r="R167" s="9">
        <f t="shared" si="8"/>
        <v>1.1128327534971711E-3</v>
      </c>
      <c r="S167" s="23">
        <f t="shared" si="9"/>
        <v>41177</v>
      </c>
      <c r="T167">
        <f t="shared" si="10"/>
        <v>8</v>
      </c>
      <c r="U167">
        <f t="shared" si="11"/>
        <v>41579.333333333336</v>
      </c>
    </row>
    <row r="168" spans="1:21" x14ac:dyDescent="0.3">
      <c r="A168" s="13" t="s">
        <v>358</v>
      </c>
      <c r="B168" s="14" t="s">
        <v>33</v>
      </c>
      <c r="C168" s="15">
        <v>45624</v>
      </c>
      <c r="D168" s="14" t="s">
        <v>22</v>
      </c>
      <c r="E168" s="14" t="s">
        <v>113</v>
      </c>
      <c r="F168" s="8">
        <v>4771</v>
      </c>
      <c r="G168" s="8">
        <v>818</v>
      </c>
      <c r="H168" s="8">
        <v>56</v>
      </c>
      <c r="I168" s="8">
        <v>57252</v>
      </c>
      <c r="J168" s="8">
        <v>56378</v>
      </c>
      <c r="K168" s="8">
        <v>150</v>
      </c>
      <c r="L168" s="14" t="s">
        <v>62</v>
      </c>
      <c r="M168" s="14"/>
      <c r="N168" s="8">
        <v>58311</v>
      </c>
      <c r="O168" s="8">
        <v>10307</v>
      </c>
      <c r="P168" s="8">
        <v>5.7155999999999993</v>
      </c>
      <c r="Q168" s="8">
        <v>1164373</v>
      </c>
      <c r="R168" s="8">
        <f t="shared" si="8"/>
        <v>4.2263089233432931E-3</v>
      </c>
      <c r="S168" s="22">
        <f t="shared" si="9"/>
        <v>48004</v>
      </c>
      <c r="T168">
        <f t="shared" si="10"/>
        <v>48</v>
      </c>
      <c r="U168">
        <f t="shared" si="11"/>
        <v>39642.666666666664</v>
      </c>
    </row>
    <row r="169" spans="1:21" x14ac:dyDescent="0.3">
      <c r="A169" s="17" t="s">
        <v>359</v>
      </c>
      <c r="B169" s="18" t="s">
        <v>43</v>
      </c>
      <c r="C169" s="19">
        <v>45608</v>
      </c>
      <c r="D169" s="18" t="s">
        <v>22</v>
      </c>
      <c r="E169" s="18" t="s">
        <v>56</v>
      </c>
      <c r="F169" s="9">
        <v>2418</v>
      </c>
      <c r="G169" s="9">
        <v>754</v>
      </c>
      <c r="H169" s="9">
        <v>54</v>
      </c>
      <c r="I169" s="9">
        <v>43524</v>
      </c>
      <c r="J169" s="9">
        <v>42743</v>
      </c>
      <c r="K169" s="9">
        <v>182</v>
      </c>
      <c r="L169" s="18" t="s">
        <v>37</v>
      </c>
      <c r="M169" s="18" t="s">
        <v>19</v>
      </c>
      <c r="N169" s="9">
        <v>50862</v>
      </c>
      <c r="O169" s="9">
        <v>15305</v>
      </c>
      <c r="P169" s="9">
        <v>5.6486000000000001</v>
      </c>
      <c r="Q169" s="9">
        <v>1379539</v>
      </c>
      <c r="R169" s="9">
        <f t="shared" si="8"/>
        <v>1.8846875659187599E-3</v>
      </c>
      <c r="S169" s="23">
        <f t="shared" si="9"/>
        <v>35557</v>
      </c>
      <c r="T169">
        <f t="shared" si="10"/>
        <v>46</v>
      </c>
      <c r="U169">
        <f t="shared" si="11"/>
        <v>37367</v>
      </c>
    </row>
    <row r="170" spans="1:21" x14ac:dyDescent="0.3">
      <c r="A170" s="13" t="s">
        <v>361</v>
      </c>
      <c r="B170" s="14" t="s">
        <v>27</v>
      </c>
      <c r="C170" s="15">
        <v>45629</v>
      </c>
      <c r="D170" s="14" t="s">
        <v>74</v>
      </c>
      <c r="E170" s="14" t="s">
        <v>219</v>
      </c>
      <c r="F170" s="8">
        <v>3809</v>
      </c>
      <c r="G170" s="8">
        <v>273</v>
      </c>
      <c r="H170" s="8">
        <v>200</v>
      </c>
      <c r="I170" s="8">
        <v>34281</v>
      </c>
      <c r="J170" s="8">
        <v>33534</v>
      </c>
      <c r="K170" s="8">
        <v>83</v>
      </c>
      <c r="L170" s="14" t="s">
        <v>37</v>
      </c>
      <c r="M170" s="14" t="s">
        <v>19</v>
      </c>
      <c r="N170" s="8">
        <v>47471</v>
      </c>
      <c r="O170" s="8">
        <v>12104</v>
      </c>
      <c r="P170" s="8">
        <v>5.5587999999999997</v>
      </c>
      <c r="Q170" s="8">
        <v>1228647</v>
      </c>
      <c r="R170" s="8">
        <f t="shared" si="8"/>
        <v>3.1677121256145986E-3</v>
      </c>
      <c r="S170" s="22">
        <f t="shared" si="9"/>
        <v>35367</v>
      </c>
      <c r="T170">
        <f t="shared" si="10"/>
        <v>49</v>
      </c>
      <c r="U170">
        <f t="shared" si="11"/>
        <v>37303.666666666664</v>
      </c>
    </row>
    <row r="171" spans="1:21" x14ac:dyDescent="0.3">
      <c r="A171" s="17" t="s">
        <v>363</v>
      </c>
      <c r="B171" s="18" t="s">
        <v>14</v>
      </c>
      <c r="C171" s="19">
        <v>45775</v>
      </c>
      <c r="D171" s="18" t="s">
        <v>22</v>
      </c>
      <c r="E171" s="18" t="s">
        <v>23</v>
      </c>
      <c r="F171" s="9">
        <v>3577</v>
      </c>
      <c r="G171" s="9">
        <v>596</v>
      </c>
      <c r="H171" s="9">
        <v>493</v>
      </c>
      <c r="I171" s="9">
        <v>67963</v>
      </c>
      <c r="J171" s="9">
        <v>67839</v>
      </c>
      <c r="K171" s="9">
        <v>53</v>
      </c>
      <c r="L171" s="18" t="s">
        <v>30</v>
      </c>
      <c r="M171" s="18" t="s">
        <v>31</v>
      </c>
      <c r="N171" s="9">
        <v>53484</v>
      </c>
      <c r="O171" s="9">
        <v>12307</v>
      </c>
      <c r="P171" s="9">
        <v>5.6557999999999993</v>
      </c>
      <c r="Q171" s="9">
        <v>1060357</v>
      </c>
      <c r="R171" s="9">
        <f t="shared" si="8"/>
        <v>3.4233753349107894E-3</v>
      </c>
      <c r="S171" s="23">
        <f t="shared" si="9"/>
        <v>41177</v>
      </c>
      <c r="T171">
        <f t="shared" si="10"/>
        <v>18</v>
      </c>
      <c r="U171">
        <f t="shared" si="11"/>
        <v>37367</v>
      </c>
    </row>
    <row r="172" spans="1:21" x14ac:dyDescent="0.3">
      <c r="A172" s="13" t="s">
        <v>365</v>
      </c>
      <c r="B172" s="14" t="s">
        <v>27</v>
      </c>
      <c r="C172" s="15">
        <v>45657</v>
      </c>
      <c r="D172" s="14" t="s">
        <v>74</v>
      </c>
      <c r="E172" s="14" t="s">
        <v>219</v>
      </c>
      <c r="F172" s="8">
        <v>1018</v>
      </c>
      <c r="G172" s="8">
        <v>447</v>
      </c>
      <c r="H172" s="8">
        <v>332</v>
      </c>
      <c r="I172" s="8">
        <v>18324</v>
      </c>
      <c r="J172" s="8">
        <v>18164</v>
      </c>
      <c r="K172" s="8">
        <v>38</v>
      </c>
      <c r="L172" s="14" t="s">
        <v>62</v>
      </c>
      <c r="M172" s="14" t="s">
        <v>25</v>
      </c>
      <c r="N172" s="8">
        <v>47471</v>
      </c>
      <c r="O172" s="8">
        <v>12104</v>
      </c>
      <c r="P172" s="8">
        <v>5.5587999999999997</v>
      </c>
      <c r="Q172" s="8">
        <v>1228647</v>
      </c>
      <c r="R172" s="8">
        <f t="shared" si="8"/>
        <v>8.5948201558299492E-4</v>
      </c>
      <c r="S172" s="22">
        <f t="shared" si="9"/>
        <v>35367</v>
      </c>
      <c r="T172">
        <f t="shared" si="10"/>
        <v>53</v>
      </c>
      <c r="U172">
        <f t="shared" si="11"/>
        <v>37367</v>
      </c>
    </row>
    <row r="173" spans="1:21" x14ac:dyDescent="0.3">
      <c r="A173" s="17" t="s">
        <v>367</v>
      </c>
      <c r="B173" s="18" t="s">
        <v>43</v>
      </c>
      <c r="C173" s="19">
        <v>45518</v>
      </c>
      <c r="D173" s="18" t="s">
        <v>45</v>
      </c>
      <c r="E173" s="18" t="s">
        <v>46</v>
      </c>
      <c r="F173" s="9">
        <v>3073</v>
      </c>
      <c r="G173" s="9">
        <v>553</v>
      </c>
      <c r="H173" s="9">
        <v>174</v>
      </c>
      <c r="I173" s="9">
        <v>52241</v>
      </c>
      <c r="J173" s="9">
        <v>51605</v>
      </c>
      <c r="K173" s="9">
        <v>246</v>
      </c>
      <c r="L173" s="18" t="s">
        <v>37</v>
      </c>
      <c r="M173" s="18" t="s">
        <v>31</v>
      </c>
      <c r="N173" s="9">
        <v>50862</v>
      </c>
      <c r="O173" s="9">
        <v>15305</v>
      </c>
      <c r="P173" s="9">
        <v>5.6486000000000001</v>
      </c>
      <c r="Q173" s="9">
        <v>1379539</v>
      </c>
      <c r="R173" s="9">
        <f t="shared" si="8"/>
        <v>2.4058761658786016E-3</v>
      </c>
      <c r="S173" s="23">
        <f t="shared" si="9"/>
        <v>35557</v>
      </c>
      <c r="T173">
        <f t="shared" si="10"/>
        <v>33</v>
      </c>
      <c r="U173">
        <f t="shared" si="11"/>
        <v>37430.333333333336</v>
      </c>
    </row>
    <row r="174" spans="1:21" x14ac:dyDescent="0.3">
      <c r="A174" s="13" t="s">
        <v>369</v>
      </c>
      <c r="B174" s="14" t="s">
        <v>14</v>
      </c>
      <c r="C174" s="15">
        <v>45631</v>
      </c>
      <c r="D174" s="14" t="s">
        <v>74</v>
      </c>
      <c r="E174" s="14" t="s">
        <v>145</v>
      </c>
      <c r="F174" s="8">
        <v>1330</v>
      </c>
      <c r="G174" s="8">
        <v>925</v>
      </c>
      <c r="H174" s="8">
        <v>35</v>
      </c>
      <c r="I174" s="8">
        <v>15960</v>
      </c>
      <c r="J174" s="8">
        <v>15379</v>
      </c>
      <c r="K174" s="8">
        <v>229</v>
      </c>
      <c r="L174" s="14" t="s">
        <v>62</v>
      </c>
      <c r="M174" s="14" t="s">
        <v>31</v>
      </c>
      <c r="N174" s="8">
        <v>53484</v>
      </c>
      <c r="O174" s="8">
        <v>12307</v>
      </c>
      <c r="P174" s="8">
        <v>5.6557999999999993</v>
      </c>
      <c r="Q174" s="8">
        <v>1060357</v>
      </c>
      <c r="R174" s="8">
        <f t="shared" si="8"/>
        <v>1.4702595446627882E-3</v>
      </c>
      <c r="S174" s="22">
        <f t="shared" si="9"/>
        <v>41177</v>
      </c>
      <c r="T174">
        <f t="shared" si="10"/>
        <v>49</v>
      </c>
      <c r="U174">
        <f t="shared" si="11"/>
        <v>41579.333333333336</v>
      </c>
    </row>
    <row r="175" spans="1:21" x14ac:dyDescent="0.3">
      <c r="A175" s="17" t="s">
        <v>371</v>
      </c>
      <c r="B175" s="18" t="s">
        <v>43</v>
      </c>
      <c r="C175" s="19">
        <v>45465</v>
      </c>
      <c r="D175" s="18" t="s">
        <v>22</v>
      </c>
      <c r="E175" s="18" t="s">
        <v>56</v>
      </c>
      <c r="F175" s="9">
        <v>3828</v>
      </c>
      <c r="G175" s="9">
        <v>148</v>
      </c>
      <c r="H175" s="9">
        <v>253</v>
      </c>
      <c r="I175" s="9">
        <v>30624</v>
      </c>
      <c r="J175" s="9">
        <v>30229</v>
      </c>
      <c r="K175" s="9">
        <v>235</v>
      </c>
      <c r="L175" s="18" t="s">
        <v>37</v>
      </c>
      <c r="M175" s="18"/>
      <c r="N175" s="9">
        <v>50862</v>
      </c>
      <c r="O175" s="9">
        <v>15305</v>
      </c>
      <c r="P175" s="9">
        <v>5.6486000000000001</v>
      </c>
      <c r="Q175" s="9">
        <v>1379539</v>
      </c>
      <c r="R175" s="9">
        <f t="shared" si="8"/>
        <v>2.9451867616645849E-3</v>
      </c>
      <c r="S175" s="23">
        <f t="shared" si="9"/>
        <v>35557</v>
      </c>
      <c r="T175">
        <f t="shared" si="10"/>
        <v>25</v>
      </c>
      <c r="U175">
        <f t="shared" si="11"/>
        <v>39706</v>
      </c>
    </row>
    <row r="176" spans="1:21" x14ac:dyDescent="0.3">
      <c r="A176" s="13" t="s">
        <v>372</v>
      </c>
      <c r="B176" s="14" t="s">
        <v>33</v>
      </c>
      <c r="C176" s="15">
        <v>45674</v>
      </c>
      <c r="D176" s="14" t="s">
        <v>16</v>
      </c>
      <c r="E176" s="14" t="s">
        <v>82</v>
      </c>
      <c r="F176" s="8">
        <v>142</v>
      </c>
      <c r="G176" s="8">
        <v>784</v>
      </c>
      <c r="H176" s="8">
        <v>183</v>
      </c>
      <c r="I176" s="8">
        <v>1704</v>
      </c>
      <c r="J176" s="8">
        <v>995</v>
      </c>
      <c r="K176" s="8">
        <v>154</v>
      </c>
      <c r="L176" s="14" t="s">
        <v>62</v>
      </c>
      <c r="M176" s="14" t="s">
        <v>38</v>
      </c>
      <c r="N176" s="8">
        <v>58311</v>
      </c>
      <c r="O176" s="8">
        <v>10307</v>
      </c>
      <c r="P176" s="8">
        <v>5.7155999999999993</v>
      </c>
      <c r="Q176" s="8">
        <v>1164373</v>
      </c>
      <c r="R176" s="8">
        <f t="shared" si="8"/>
        <v>2.542140705770402E-4</v>
      </c>
      <c r="S176" s="22">
        <f t="shared" si="9"/>
        <v>48004</v>
      </c>
      <c r="T176">
        <f t="shared" si="10"/>
        <v>3</v>
      </c>
      <c r="U176">
        <f t="shared" si="11"/>
        <v>43855</v>
      </c>
    </row>
    <row r="177" spans="1:21" x14ac:dyDescent="0.3">
      <c r="A177" s="17" t="s">
        <v>374</v>
      </c>
      <c r="B177" s="18" t="s">
        <v>43</v>
      </c>
      <c r="C177" s="19">
        <v>45463</v>
      </c>
      <c r="D177" s="18" t="s">
        <v>74</v>
      </c>
      <c r="E177" s="18" t="s">
        <v>75</v>
      </c>
      <c r="F177" s="9">
        <v>3798</v>
      </c>
      <c r="G177" s="9">
        <v>31</v>
      </c>
      <c r="H177" s="9">
        <v>279</v>
      </c>
      <c r="I177" s="9">
        <v>75960</v>
      </c>
      <c r="J177" s="9">
        <v>75813</v>
      </c>
      <c r="K177" s="9">
        <v>266</v>
      </c>
      <c r="L177" s="18" t="s">
        <v>30</v>
      </c>
      <c r="M177" s="18" t="s">
        <v>19</v>
      </c>
      <c r="N177" s="9">
        <v>50862</v>
      </c>
      <c r="O177" s="9">
        <v>15305</v>
      </c>
      <c r="P177" s="9">
        <v>5.6486000000000001</v>
      </c>
      <c r="Q177" s="9">
        <v>1379539</v>
      </c>
      <c r="R177" s="9">
        <f t="shared" si="8"/>
        <v>2.9459116414976309E-3</v>
      </c>
      <c r="S177" s="23">
        <f t="shared" si="9"/>
        <v>35557</v>
      </c>
      <c r="T177">
        <f t="shared" si="10"/>
        <v>25</v>
      </c>
      <c r="U177">
        <f t="shared" si="11"/>
        <v>43855</v>
      </c>
    </row>
    <row r="178" spans="1:21" x14ac:dyDescent="0.3">
      <c r="A178" s="13" t="s">
        <v>376</v>
      </c>
      <c r="B178" s="14" t="s">
        <v>33</v>
      </c>
      <c r="C178" s="15">
        <v>45483</v>
      </c>
      <c r="D178" s="14" t="s">
        <v>45</v>
      </c>
      <c r="E178" s="14" t="s">
        <v>88</v>
      </c>
      <c r="F178" s="8">
        <v>3099</v>
      </c>
      <c r="G178" s="8">
        <v>694</v>
      </c>
      <c r="H178" s="8">
        <v>171</v>
      </c>
      <c r="I178" s="8">
        <v>43386</v>
      </c>
      <c r="J178" s="8">
        <v>42921</v>
      </c>
      <c r="K178" s="8">
        <v>52</v>
      </c>
      <c r="L178" s="14" t="s">
        <v>30</v>
      </c>
      <c r="M178" s="14" t="s">
        <v>31</v>
      </c>
      <c r="N178" s="8">
        <v>58311</v>
      </c>
      <c r="O178" s="8">
        <v>10307</v>
      </c>
      <c r="P178" s="8">
        <v>5.7155999999999993</v>
      </c>
      <c r="Q178" s="8">
        <v>1164373</v>
      </c>
      <c r="R178" s="8">
        <f t="shared" si="8"/>
        <v>2.706177487798154E-3</v>
      </c>
      <c r="S178" s="22">
        <f t="shared" si="9"/>
        <v>48004</v>
      </c>
      <c r="T178">
        <f t="shared" si="10"/>
        <v>28</v>
      </c>
      <c r="U178">
        <f t="shared" si="11"/>
        <v>43855</v>
      </c>
    </row>
    <row r="179" spans="1:21" x14ac:dyDescent="0.3">
      <c r="A179" s="17" t="s">
        <v>378</v>
      </c>
      <c r="B179" s="18" t="s">
        <v>33</v>
      </c>
      <c r="C179" s="19">
        <v>45603</v>
      </c>
      <c r="D179" s="18" t="s">
        <v>74</v>
      </c>
      <c r="E179" s="18" t="s">
        <v>85</v>
      </c>
      <c r="F179" s="9">
        <v>129</v>
      </c>
      <c r="G179" s="9">
        <v>643</v>
      </c>
      <c r="H179" s="9">
        <v>136</v>
      </c>
      <c r="I179" s="9">
        <v>1290</v>
      </c>
      <c r="J179" s="9">
        <v>839</v>
      </c>
      <c r="K179" s="9">
        <v>238</v>
      </c>
      <c r="L179" s="18" t="s">
        <v>30</v>
      </c>
      <c r="M179" s="18" t="s">
        <v>38</v>
      </c>
      <c r="N179" s="9">
        <v>58311</v>
      </c>
      <c r="O179" s="9">
        <v>10307</v>
      </c>
      <c r="P179" s="9">
        <v>5.7155999999999993</v>
      </c>
      <c r="Q179" s="9">
        <v>1164373</v>
      </c>
      <c r="R179" s="9">
        <f t="shared" si="8"/>
        <v>3.1519109426274912E-4</v>
      </c>
      <c r="S179" s="23">
        <f t="shared" si="9"/>
        <v>48004</v>
      </c>
      <c r="T179">
        <f t="shared" si="10"/>
        <v>45</v>
      </c>
      <c r="U179">
        <f t="shared" si="11"/>
        <v>39642.666666666664</v>
      </c>
    </row>
    <row r="180" spans="1:21" x14ac:dyDescent="0.3">
      <c r="A180" s="13" t="s">
        <v>379</v>
      </c>
      <c r="B180" s="14" t="s">
        <v>43</v>
      </c>
      <c r="C180" s="15">
        <v>45488</v>
      </c>
      <c r="D180" s="14" t="s">
        <v>45</v>
      </c>
      <c r="E180" s="14" t="s">
        <v>46</v>
      </c>
      <c r="F180" s="8">
        <v>3796</v>
      </c>
      <c r="G180" s="8">
        <v>667</v>
      </c>
      <c r="H180" s="8">
        <v>395</v>
      </c>
      <c r="I180" s="8">
        <v>64532</v>
      </c>
      <c r="J180" s="8">
        <v>63550</v>
      </c>
      <c r="K180" s="8">
        <v>292</v>
      </c>
      <c r="L180" s="14" t="s">
        <v>30</v>
      </c>
      <c r="M180" s="14"/>
      <c r="N180" s="8">
        <v>50862</v>
      </c>
      <c r="O180" s="8">
        <v>15305</v>
      </c>
      <c r="P180" s="8">
        <v>5.6486000000000001</v>
      </c>
      <c r="Q180" s="8">
        <v>1379539</v>
      </c>
      <c r="R180" s="8">
        <f t="shared" si="8"/>
        <v>2.9633087574907268E-3</v>
      </c>
      <c r="S180" s="22">
        <f t="shared" si="9"/>
        <v>35557</v>
      </c>
      <c r="T180">
        <f t="shared" si="10"/>
        <v>29</v>
      </c>
      <c r="U180">
        <f t="shared" si="11"/>
        <v>35430.333333333336</v>
      </c>
    </row>
    <row r="181" spans="1:21" x14ac:dyDescent="0.3">
      <c r="A181" s="17" t="s">
        <v>380</v>
      </c>
      <c r="B181" s="18" t="s">
        <v>27</v>
      </c>
      <c r="C181" s="19">
        <v>45629</v>
      </c>
      <c r="D181" s="18" t="s">
        <v>22</v>
      </c>
      <c r="E181" s="18" t="s">
        <v>104</v>
      </c>
      <c r="F181" s="9">
        <v>3711</v>
      </c>
      <c r="G181" s="9">
        <v>352</v>
      </c>
      <c r="H181" s="9">
        <v>290</v>
      </c>
      <c r="I181" s="9">
        <v>48243</v>
      </c>
      <c r="J181" s="9">
        <v>47579</v>
      </c>
      <c r="K181" s="9">
        <v>11</v>
      </c>
      <c r="L181" s="18" t="s">
        <v>30</v>
      </c>
      <c r="M181" s="18" t="s">
        <v>19</v>
      </c>
      <c r="N181" s="9">
        <v>47471</v>
      </c>
      <c r="O181" s="9">
        <v>12104</v>
      </c>
      <c r="P181" s="9">
        <v>5.5587999999999997</v>
      </c>
      <c r="Q181" s="9">
        <v>1228647</v>
      </c>
      <c r="R181" s="9">
        <f t="shared" si="8"/>
        <v>3.0293485435605181E-3</v>
      </c>
      <c r="S181" s="23">
        <f t="shared" si="9"/>
        <v>35367</v>
      </c>
      <c r="T181">
        <f t="shared" si="10"/>
        <v>49</v>
      </c>
      <c r="U181">
        <f t="shared" si="11"/>
        <v>35430.333333333336</v>
      </c>
    </row>
    <row r="182" spans="1:21" x14ac:dyDescent="0.3">
      <c r="A182" s="13" t="s">
        <v>381</v>
      </c>
      <c r="B182" s="14" t="s">
        <v>27</v>
      </c>
      <c r="C182" s="15">
        <v>45737</v>
      </c>
      <c r="D182" s="14" t="s">
        <v>52</v>
      </c>
      <c r="E182" s="14" t="s">
        <v>53</v>
      </c>
      <c r="F182" s="8">
        <v>606</v>
      </c>
      <c r="G182" s="8">
        <v>789</v>
      </c>
      <c r="H182" s="8">
        <v>470</v>
      </c>
      <c r="I182" s="8">
        <v>7878</v>
      </c>
      <c r="J182" s="8">
        <v>7389</v>
      </c>
      <c r="K182" s="8">
        <v>239</v>
      </c>
      <c r="L182" s="14" t="s">
        <v>37</v>
      </c>
      <c r="M182" s="14" t="s">
        <v>31</v>
      </c>
      <c r="N182" s="8">
        <v>47471</v>
      </c>
      <c r="O182" s="8">
        <v>12104</v>
      </c>
      <c r="P182" s="8">
        <v>5.5587999999999997</v>
      </c>
      <c r="Q182" s="8">
        <v>1228647</v>
      </c>
      <c r="R182" s="8">
        <f t="shared" si="8"/>
        <v>6.8774839315116545E-4</v>
      </c>
      <c r="S182" s="22">
        <f t="shared" si="9"/>
        <v>35367</v>
      </c>
      <c r="T182">
        <f t="shared" si="10"/>
        <v>12</v>
      </c>
      <c r="U182">
        <f t="shared" si="11"/>
        <v>39642.666666666664</v>
      </c>
    </row>
    <row r="183" spans="1:21" x14ac:dyDescent="0.3">
      <c r="A183" s="17" t="s">
        <v>383</v>
      </c>
      <c r="B183" s="18" t="s">
        <v>43</v>
      </c>
      <c r="C183" s="19">
        <v>45504</v>
      </c>
      <c r="D183" s="18" t="s">
        <v>52</v>
      </c>
      <c r="E183" s="18" t="s">
        <v>59</v>
      </c>
      <c r="F183" s="9">
        <v>4689</v>
      </c>
      <c r="G183" s="9">
        <v>134</v>
      </c>
      <c r="H183" s="9">
        <v>403</v>
      </c>
      <c r="I183" s="9">
        <v>51579</v>
      </c>
      <c r="J183" s="9">
        <v>50924</v>
      </c>
      <c r="K183" s="9">
        <v>173</v>
      </c>
      <c r="L183" s="18" t="s">
        <v>30</v>
      </c>
      <c r="M183" s="18" t="s">
        <v>38</v>
      </c>
      <c r="N183" s="9">
        <v>50862</v>
      </c>
      <c r="O183" s="9">
        <v>15305</v>
      </c>
      <c r="P183" s="9">
        <v>5.6486000000000001</v>
      </c>
      <c r="Q183" s="9">
        <v>1379539</v>
      </c>
      <c r="R183" s="9">
        <f t="shared" si="8"/>
        <v>3.524365748268081E-3</v>
      </c>
      <c r="S183" s="23">
        <f t="shared" si="9"/>
        <v>35557</v>
      </c>
      <c r="T183">
        <f t="shared" si="10"/>
        <v>31</v>
      </c>
      <c r="U183">
        <f t="shared" si="11"/>
        <v>41579.333333333336</v>
      </c>
    </row>
    <row r="184" spans="1:21" x14ac:dyDescent="0.3">
      <c r="A184" s="13" t="s">
        <v>384</v>
      </c>
      <c r="B184" s="14" t="s">
        <v>33</v>
      </c>
      <c r="C184" s="15">
        <v>45643</v>
      </c>
      <c r="D184" s="14" t="s">
        <v>35</v>
      </c>
      <c r="E184" s="14" t="s">
        <v>36</v>
      </c>
      <c r="F184" s="8">
        <v>360</v>
      </c>
      <c r="G184" s="8">
        <v>590</v>
      </c>
      <c r="H184" s="8">
        <v>393</v>
      </c>
      <c r="I184" s="8">
        <v>4680</v>
      </c>
      <c r="J184" s="8">
        <v>4322</v>
      </c>
      <c r="K184" s="8">
        <v>208</v>
      </c>
      <c r="L184" s="14" t="s">
        <v>62</v>
      </c>
      <c r="M184" s="14" t="s">
        <v>25</v>
      </c>
      <c r="N184" s="8">
        <v>58311</v>
      </c>
      <c r="O184" s="8">
        <v>10307</v>
      </c>
      <c r="P184" s="8">
        <v>5.7155999999999993</v>
      </c>
      <c r="Q184" s="8">
        <v>1164373</v>
      </c>
      <c r="R184" s="8">
        <f t="shared" si="8"/>
        <v>4.8781618948567169E-4</v>
      </c>
      <c r="S184" s="22">
        <f t="shared" si="9"/>
        <v>48004</v>
      </c>
      <c r="T184">
        <f t="shared" si="10"/>
        <v>51</v>
      </c>
      <c r="U184">
        <f t="shared" si="11"/>
        <v>45728.333333333336</v>
      </c>
    </row>
    <row r="185" spans="1:21" x14ac:dyDescent="0.3">
      <c r="A185" s="17" t="s">
        <v>386</v>
      </c>
      <c r="B185" s="18" t="s">
        <v>14</v>
      </c>
      <c r="C185" s="19">
        <v>45501</v>
      </c>
      <c r="D185" s="18" t="s">
        <v>52</v>
      </c>
      <c r="E185" s="18" t="s">
        <v>132</v>
      </c>
      <c r="F185" s="9">
        <v>3215</v>
      </c>
      <c r="G185" s="9">
        <v>960</v>
      </c>
      <c r="H185" s="9">
        <v>202</v>
      </c>
      <c r="I185" s="9">
        <v>32150</v>
      </c>
      <c r="J185" s="9">
        <v>31404</v>
      </c>
      <c r="K185" s="9">
        <v>251</v>
      </c>
      <c r="L185" s="18" t="s">
        <v>37</v>
      </c>
      <c r="M185" s="18" t="s">
        <v>19</v>
      </c>
      <c r="N185" s="9">
        <v>53484</v>
      </c>
      <c r="O185" s="9">
        <v>12307</v>
      </c>
      <c r="P185" s="9">
        <v>5.6557999999999993</v>
      </c>
      <c r="Q185" s="9">
        <v>1060357</v>
      </c>
      <c r="R185" s="9">
        <f t="shared" si="8"/>
        <v>3.2687104437467761E-3</v>
      </c>
      <c r="S185" s="23">
        <f t="shared" si="9"/>
        <v>41177</v>
      </c>
      <c r="T185">
        <f t="shared" si="10"/>
        <v>31</v>
      </c>
      <c r="U185">
        <f t="shared" si="11"/>
        <v>41579.333333333336</v>
      </c>
    </row>
    <row r="186" spans="1:21" x14ac:dyDescent="0.3">
      <c r="A186" s="13" t="s">
        <v>388</v>
      </c>
      <c r="B186" s="14" t="s">
        <v>33</v>
      </c>
      <c r="C186" s="15">
        <v>45668</v>
      </c>
      <c r="D186" s="14" t="s">
        <v>45</v>
      </c>
      <c r="E186" s="14" t="s">
        <v>88</v>
      </c>
      <c r="F186" s="8">
        <v>4523</v>
      </c>
      <c r="G186" s="8">
        <v>61</v>
      </c>
      <c r="H186" s="8">
        <v>157</v>
      </c>
      <c r="I186" s="8">
        <v>49753</v>
      </c>
      <c r="J186" s="8">
        <v>49329</v>
      </c>
      <c r="K186" s="8">
        <v>71</v>
      </c>
      <c r="L186" s="14" t="s">
        <v>37</v>
      </c>
      <c r="M186" s="14"/>
      <c r="N186" s="8">
        <v>58311</v>
      </c>
      <c r="O186" s="8">
        <v>10307</v>
      </c>
      <c r="P186" s="8">
        <v>5.7155999999999993</v>
      </c>
      <c r="Q186" s="8">
        <v>1164373</v>
      </c>
      <c r="R186" s="8">
        <f t="shared" si="8"/>
        <v>3.9454710818612251E-3</v>
      </c>
      <c r="S186" s="22">
        <f t="shared" si="9"/>
        <v>48004</v>
      </c>
      <c r="T186">
        <f t="shared" si="10"/>
        <v>2</v>
      </c>
      <c r="U186">
        <f t="shared" si="11"/>
        <v>41579.333333333336</v>
      </c>
    </row>
    <row r="187" spans="1:21" x14ac:dyDescent="0.3">
      <c r="A187" s="17" t="s">
        <v>390</v>
      </c>
      <c r="B187" s="18" t="s">
        <v>43</v>
      </c>
      <c r="C187" s="19">
        <v>45528</v>
      </c>
      <c r="D187" s="18" t="s">
        <v>45</v>
      </c>
      <c r="E187" s="18" t="s">
        <v>46</v>
      </c>
      <c r="F187" s="9">
        <v>4292</v>
      </c>
      <c r="G187" s="9">
        <v>51</v>
      </c>
      <c r="H187" s="9">
        <v>392</v>
      </c>
      <c r="I187" s="9">
        <v>55796</v>
      </c>
      <c r="J187" s="9">
        <v>54826</v>
      </c>
      <c r="K187" s="9">
        <v>264</v>
      </c>
      <c r="L187" s="18" t="s">
        <v>37</v>
      </c>
      <c r="M187" s="18" t="s">
        <v>31</v>
      </c>
      <c r="N187" s="9">
        <v>50862</v>
      </c>
      <c r="O187" s="9">
        <v>15305</v>
      </c>
      <c r="P187" s="9">
        <v>5.6486000000000001</v>
      </c>
      <c r="Q187" s="9">
        <v>1379539</v>
      </c>
      <c r="R187" s="9">
        <f t="shared" si="8"/>
        <v>3.3025525193561035E-3</v>
      </c>
      <c r="S187" s="23">
        <f t="shared" si="9"/>
        <v>35557</v>
      </c>
      <c r="T187">
        <f t="shared" si="10"/>
        <v>34</v>
      </c>
      <c r="U187">
        <f t="shared" si="11"/>
        <v>37367</v>
      </c>
    </row>
    <row r="188" spans="1:21" x14ac:dyDescent="0.3">
      <c r="A188" s="13" t="s">
        <v>391</v>
      </c>
      <c r="B188" s="14" t="s">
        <v>14</v>
      </c>
      <c r="C188" s="15">
        <v>45648</v>
      </c>
      <c r="D188" s="14" t="s">
        <v>16</v>
      </c>
      <c r="E188" s="14" t="s">
        <v>17</v>
      </c>
      <c r="F188" s="8">
        <v>1644</v>
      </c>
      <c r="G188" s="8">
        <v>546</v>
      </c>
      <c r="H188" s="8">
        <v>150</v>
      </c>
      <c r="I188" s="8">
        <v>27948</v>
      </c>
      <c r="J188" s="8">
        <v>27184</v>
      </c>
      <c r="K188" s="8">
        <v>300</v>
      </c>
      <c r="L188" s="14" t="s">
        <v>37</v>
      </c>
      <c r="M188" s="14" t="s">
        <v>31</v>
      </c>
      <c r="N188" s="8">
        <v>53484</v>
      </c>
      <c r="O188" s="8">
        <v>12307</v>
      </c>
      <c r="P188" s="8">
        <v>5.6557999999999993</v>
      </c>
      <c r="Q188" s="8">
        <v>1060357</v>
      </c>
      <c r="R188" s="8">
        <f t="shared" si="8"/>
        <v>1.8333448074563568E-3</v>
      </c>
      <c r="S188" s="22">
        <f t="shared" si="9"/>
        <v>41177</v>
      </c>
      <c r="T188">
        <f t="shared" si="10"/>
        <v>52</v>
      </c>
      <c r="U188">
        <f t="shared" si="11"/>
        <v>37367</v>
      </c>
    </row>
    <row r="189" spans="1:21" x14ac:dyDescent="0.3">
      <c r="A189" s="17" t="s">
        <v>393</v>
      </c>
      <c r="B189" s="18" t="s">
        <v>27</v>
      </c>
      <c r="C189" s="19">
        <v>45449</v>
      </c>
      <c r="D189" s="18" t="s">
        <v>16</v>
      </c>
      <c r="E189" s="18" t="s">
        <v>29</v>
      </c>
      <c r="F189" s="9">
        <v>2728</v>
      </c>
      <c r="G189" s="9">
        <v>533</v>
      </c>
      <c r="H189" s="9">
        <v>215</v>
      </c>
      <c r="I189" s="9">
        <v>40920</v>
      </c>
      <c r="J189" s="9">
        <v>40816</v>
      </c>
      <c r="K189" s="9">
        <v>137</v>
      </c>
      <c r="L189" s="18" t="s">
        <v>62</v>
      </c>
      <c r="M189" s="18" t="s">
        <v>25</v>
      </c>
      <c r="N189" s="9">
        <v>47471</v>
      </c>
      <c r="O189" s="9">
        <v>12104</v>
      </c>
      <c r="P189" s="9">
        <v>5.5587999999999997</v>
      </c>
      <c r="Q189" s="9">
        <v>1228647</v>
      </c>
      <c r="R189" s="9">
        <f t="shared" si="8"/>
        <v>2.3318333093231823E-3</v>
      </c>
      <c r="S189" s="23">
        <f t="shared" si="9"/>
        <v>35367</v>
      </c>
      <c r="T189">
        <f t="shared" si="10"/>
        <v>23</v>
      </c>
      <c r="U189">
        <f t="shared" si="11"/>
        <v>35430.333333333336</v>
      </c>
    </row>
    <row r="190" spans="1:21" x14ac:dyDescent="0.3">
      <c r="A190" s="13" t="s">
        <v>394</v>
      </c>
      <c r="B190" s="14" t="s">
        <v>43</v>
      </c>
      <c r="C190" s="15">
        <v>45740</v>
      </c>
      <c r="D190" s="14" t="s">
        <v>16</v>
      </c>
      <c r="E190" s="14" t="s">
        <v>65</v>
      </c>
      <c r="F190" s="8">
        <v>3360</v>
      </c>
      <c r="G190" s="8">
        <v>525</v>
      </c>
      <c r="H190" s="8">
        <v>500</v>
      </c>
      <c r="I190" s="8">
        <v>60480</v>
      </c>
      <c r="J190" s="8">
        <v>59610</v>
      </c>
      <c r="K190" s="8">
        <v>192</v>
      </c>
      <c r="L190" s="14" t="s">
        <v>30</v>
      </c>
      <c r="M190" s="14" t="s">
        <v>19</v>
      </c>
      <c r="N190" s="8">
        <v>50862</v>
      </c>
      <c r="O190" s="8">
        <v>15305</v>
      </c>
      <c r="P190" s="8">
        <v>5.6486000000000001</v>
      </c>
      <c r="Q190" s="8">
        <v>1379539</v>
      </c>
      <c r="R190" s="8">
        <f t="shared" si="8"/>
        <v>2.574773166978244E-3</v>
      </c>
      <c r="S190" s="22">
        <f t="shared" si="9"/>
        <v>35557</v>
      </c>
      <c r="T190">
        <f t="shared" si="10"/>
        <v>13</v>
      </c>
      <c r="U190">
        <f t="shared" si="11"/>
        <v>35430.333333333336</v>
      </c>
    </row>
    <row r="191" spans="1:21" x14ac:dyDescent="0.3">
      <c r="A191" s="17" t="s">
        <v>395</v>
      </c>
      <c r="B191" s="18" t="s">
        <v>27</v>
      </c>
      <c r="C191" s="19">
        <v>45569</v>
      </c>
      <c r="D191" s="18" t="s">
        <v>22</v>
      </c>
      <c r="E191" s="18" t="s">
        <v>104</v>
      </c>
      <c r="F191" s="9">
        <v>1963</v>
      </c>
      <c r="G191" s="9">
        <v>213</v>
      </c>
      <c r="H191" s="9">
        <v>19</v>
      </c>
      <c r="I191" s="9">
        <v>39260</v>
      </c>
      <c r="J191" s="9">
        <v>38771</v>
      </c>
      <c r="K191" s="9">
        <v>145</v>
      </c>
      <c r="L191" s="18" t="s">
        <v>62</v>
      </c>
      <c r="M191" s="18"/>
      <c r="N191" s="9">
        <v>47471</v>
      </c>
      <c r="O191" s="9">
        <v>12104</v>
      </c>
      <c r="P191" s="9">
        <v>5.5587999999999997</v>
      </c>
      <c r="Q191" s="9">
        <v>1228647</v>
      </c>
      <c r="R191" s="9">
        <f t="shared" si="8"/>
        <v>1.7157084174705998E-3</v>
      </c>
      <c r="S191" s="23">
        <f t="shared" si="9"/>
        <v>35367</v>
      </c>
      <c r="T191">
        <f t="shared" si="10"/>
        <v>40</v>
      </c>
      <c r="U191">
        <f t="shared" si="11"/>
        <v>39579.333333333336</v>
      </c>
    </row>
    <row r="192" spans="1:21" x14ac:dyDescent="0.3">
      <c r="A192" s="13" t="s">
        <v>397</v>
      </c>
      <c r="B192" s="14" t="s">
        <v>27</v>
      </c>
      <c r="C192" s="15">
        <v>45629</v>
      </c>
      <c r="D192" s="14" t="s">
        <v>35</v>
      </c>
      <c r="E192" s="14" t="s">
        <v>154</v>
      </c>
      <c r="F192" s="8">
        <v>4285</v>
      </c>
      <c r="G192" s="8">
        <v>886</v>
      </c>
      <c r="H192" s="8">
        <v>376</v>
      </c>
      <c r="I192" s="8">
        <v>55705</v>
      </c>
      <c r="J192" s="8">
        <v>55556</v>
      </c>
      <c r="K192" s="8">
        <v>51</v>
      </c>
      <c r="L192" s="14" t="s">
        <v>62</v>
      </c>
      <c r="M192" s="14" t="s">
        <v>31</v>
      </c>
      <c r="N192" s="8">
        <v>47471</v>
      </c>
      <c r="O192" s="8">
        <v>12104</v>
      </c>
      <c r="P192" s="8">
        <v>5.5587999999999997</v>
      </c>
      <c r="Q192" s="8">
        <v>1228647</v>
      </c>
      <c r="R192" s="8">
        <f t="shared" si="8"/>
        <v>3.5290852458029036E-3</v>
      </c>
      <c r="S192" s="22">
        <f t="shared" si="9"/>
        <v>35367</v>
      </c>
      <c r="T192">
        <f t="shared" si="10"/>
        <v>49</v>
      </c>
      <c r="U192">
        <f t="shared" si="11"/>
        <v>41516</v>
      </c>
    </row>
    <row r="193" spans="1:21" x14ac:dyDescent="0.3">
      <c r="A193" s="17" t="s">
        <v>398</v>
      </c>
      <c r="B193" s="18" t="s">
        <v>33</v>
      </c>
      <c r="C193" s="19">
        <v>45625</v>
      </c>
      <c r="D193" s="18" t="s">
        <v>74</v>
      </c>
      <c r="E193" s="18" t="s">
        <v>85</v>
      </c>
      <c r="F193" s="9">
        <v>1176</v>
      </c>
      <c r="G193" s="9">
        <v>464</v>
      </c>
      <c r="H193" s="9">
        <v>394</v>
      </c>
      <c r="I193" s="9">
        <v>14112</v>
      </c>
      <c r="J193" s="9">
        <v>13588</v>
      </c>
      <c r="K193" s="9">
        <v>272</v>
      </c>
      <c r="L193" s="18" t="s">
        <v>37</v>
      </c>
      <c r="M193" s="18"/>
      <c r="N193" s="9">
        <v>58311</v>
      </c>
      <c r="O193" s="9">
        <v>10307</v>
      </c>
      <c r="P193" s="9">
        <v>5.7155999999999993</v>
      </c>
      <c r="Q193" s="9">
        <v>1164373</v>
      </c>
      <c r="R193" s="9">
        <f t="shared" si="8"/>
        <v>1.243587750660656E-3</v>
      </c>
      <c r="S193" s="23">
        <f t="shared" si="9"/>
        <v>48004</v>
      </c>
      <c r="T193">
        <f t="shared" si="10"/>
        <v>48</v>
      </c>
      <c r="U193">
        <f t="shared" si="11"/>
        <v>41516</v>
      </c>
    </row>
    <row r="194" spans="1:21" x14ac:dyDescent="0.3">
      <c r="A194" s="13" t="s">
        <v>400</v>
      </c>
      <c r="B194" s="14" t="s">
        <v>14</v>
      </c>
      <c r="C194" s="15">
        <v>45546</v>
      </c>
      <c r="D194" s="14" t="s">
        <v>52</v>
      </c>
      <c r="E194" s="14" t="s">
        <v>132</v>
      </c>
      <c r="F194" s="8">
        <v>4858</v>
      </c>
      <c r="G194" s="8">
        <v>317</v>
      </c>
      <c r="H194" s="8">
        <v>129</v>
      </c>
      <c r="I194" s="8">
        <v>53438</v>
      </c>
      <c r="J194" s="8">
        <v>52687</v>
      </c>
      <c r="K194" s="8">
        <v>223</v>
      </c>
      <c r="L194" s="14" t="s">
        <v>37</v>
      </c>
      <c r="M194" s="14" t="s">
        <v>31</v>
      </c>
      <c r="N194" s="8">
        <v>53484</v>
      </c>
      <c r="O194" s="8">
        <v>12307</v>
      </c>
      <c r="P194" s="8">
        <v>5.6557999999999993</v>
      </c>
      <c r="Q194" s="8">
        <v>1060357</v>
      </c>
      <c r="R194" s="8">
        <f t="shared" si="8"/>
        <v>4.7917823902704467E-3</v>
      </c>
      <c r="S194" s="22">
        <f t="shared" si="9"/>
        <v>41177</v>
      </c>
      <c r="T194">
        <f t="shared" si="10"/>
        <v>37</v>
      </c>
      <c r="U194">
        <f t="shared" si="11"/>
        <v>41516</v>
      </c>
    </row>
    <row r="195" spans="1:21" x14ac:dyDescent="0.3">
      <c r="A195" s="17" t="s">
        <v>402</v>
      </c>
      <c r="B195" s="18" t="s">
        <v>27</v>
      </c>
      <c r="C195" s="19">
        <v>45567</v>
      </c>
      <c r="D195" s="18" t="s">
        <v>35</v>
      </c>
      <c r="E195" s="18" t="s">
        <v>154</v>
      </c>
      <c r="F195" s="9">
        <v>4350</v>
      </c>
      <c r="G195" s="9">
        <v>771</v>
      </c>
      <c r="H195" s="9">
        <v>7</v>
      </c>
      <c r="I195" s="9">
        <v>60900</v>
      </c>
      <c r="J195" s="9">
        <v>60592</v>
      </c>
      <c r="K195" s="9">
        <v>195</v>
      </c>
      <c r="L195" s="18" t="s">
        <v>37</v>
      </c>
      <c r="M195" s="18" t="s">
        <v>19</v>
      </c>
      <c r="N195" s="9">
        <v>47471</v>
      </c>
      <c r="O195" s="9">
        <v>12104</v>
      </c>
      <c r="P195" s="9">
        <v>5.5587999999999997</v>
      </c>
      <c r="Q195" s="9">
        <v>1228647</v>
      </c>
      <c r="R195" s="9">
        <f t="shared" ref="R195:R258" si="12">(F195+K195)/Q195</f>
        <v>3.6991910613870379E-3</v>
      </c>
      <c r="S195" s="23">
        <f t="shared" ref="S195:S258" si="13">N195-O195</f>
        <v>35367</v>
      </c>
      <c r="T195">
        <f t="shared" ref="T195:T258" si="14">WEEKNUM(C195)</f>
        <v>40</v>
      </c>
      <c r="U195">
        <f t="shared" ref="U195:U258" si="15">AVERAGE(S195:S197)</f>
        <v>43791.666666666664</v>
      </c>
    </row>
    <row r="196" spans="1:21" x14ac:dyDescent="0.3">
      <c r="A196" s="13" t="s">
        <v>403</v>
      </c>
      <c r="B196" s="14" t="s">
        <v>33</v>
      </c>
      <c r="C196" s="15">
        <v>45519</v>
      </c>
      <c r="D196" s="14" t="s">
        <v>45</v>
      </c>
      <c r="E196" s="14" t="s">
        <v>88</v>
      </c>
      <c r="F196" s="8">
        <v>914</v>
      </c>
      <c r="G196" s="8">
        <v>464</v>
      </c>
      <c r="H196" s="8">
        <v>246</v>
      </c>
      <c r="I196" s="8">
        <v>11882</v>
      </c>
      <c r="J196" s="8">
        <v>11500</v>
      </c>
      <c r="K196" s="8">
        <v>282</v>
      </c>
      <c r="L196" s="14" t="s">
        <v>62</v>
      </c>
      <c r="M196" s="14" t="s">
        <v>38</v>
      </c>
      <c r="N196" s="8">
        <v>58311</v>
      </c>
      <c r="O196" s="8">
        <v>10307</v>
      </c>
      <c r="P196" s="8">
        <v>5.7155999999999993</v>
      </c>
      <c r="Q196" s="8">
        <v>1164373</v>
      </c>
      <c r="R196" s="8">
        <f t="shared" si="12"/>
        <v>1.027162258142365E-3</v>
      </c>
      <c r="S196" s="22">
        <f t="shared" si="13"/>
        <v>48004</v>
      </c>
      <c r="T196">
        <f t="shared" si="14"/>
        <v>33</v>
      </c>
      <c r="U196">
        <f t="shared" si="15"/>
        <v>45728.333333333336</v>
      </c>
    </row>
    <row r="197" spans="1:21" x14ac:dyDescent="0.3">
      <c r="A197" s="17" t="s">
        <v>405</v>
      </c>
      <c r="B197" s="18" t="s">
        <v>33</v>
      </c>
      <c r="C197" s="19">
        <v>45645</v>
      </c>
      <c r="D197" s="18" t="s">
        <v>22</v>
      </c>
      <c r="E197" s="18" t="s">
        <v>113</v>
      </c>
      <c r="F197" s="9">
        <v>1813</v>
      </c>
      <c r="G197" s="9">
        <v>623</v>
      </c>
      <c r="H197" s="9">
        <v>72</v>
      </c>
      <c r="I197" s="9">
        <v>19943</v>
      </c>
      <c r="J197" s="9">
        <v>18959</v>
      </c>
      <c r="K197" s="9">
        <v>85</v>
      </c>
      <c r="L197" s="18" t="s">
        <v>37</v>
      </c>
      <c r="M197" s="18" t="s">
        <v>31</v>
      </c>
      <c r="N197" s="9">
        <v>58311</v>
      </c>
      <c r="O197" s="9">
        <v>10307</v>
      </c>
      <c r="P197" s="9">
        <v>5.7155999999999993</v>
      </c>
      <c r="Q197" s="9">
        <v>1164373</v>
      </c>
      <c r="R197" s="9">
        <f t="shared" si="12"/>
        <v>1.6300618444433184E-3</v>
      </c>
      <c r="S197" s="23">
        <f t="shared" si="13"/>
        <v>48004</v>
      </c>
      <c r="T197">
        <f t="shared" si="14"/>
        <v>51</v>
      </c>
      <c r="U197">
        <f t="shared" si="15"/>
        <v>43452.666666666664</v>
      </c>
    </row>
    <row r="198" spans="1:21" x14ac:dyDescent="0.3">
      <c r="A198" s="13" t="s">
        <v>407</v>
      </c>
      <c r="B198" s="14" t="s">
        <v>14</v>
      </c>
      <c r="C198" s="15">
        <v>45587</v>
      </c>
      <c r="D198" s="14" t="s">
        <v>16</v>
      </c>
      <c r="E198" s="14" t="s">
        <v>17</v>
      </c>
      <c r="F198" s="8">
        <v>4782</v>
      </c>
      <c r="G198" s="8">
        <v>721</v>
      </c>
      <c r="H198" s="8">
        <v>82</v>
      </c>
      <c r="I198" s="8">
        <v>86076</v>
      </c>
      <c r="J198" s="8">
        <v>85339</v>
      </c>
      <c r="K198" s="8">
        <v>19</v>
      </c>
      <c r="L198" s="14" t="s">
        <v>37</v>
      </c>
      <c r="M198" s="14" t="s">
        <v>19</v>
      </c>
      <c r="N198" s="8">
        <v>53484</v>
      </c>
      <c r="O198" s="8">
        <v>12307</v>
      </c>
      <c r="P198" s="8">
        <v>5.6557999999999993</v>
      </c>
      <c r="Q198" s="8">
        <v>1060357</v>
      </c>
      <c r="R198" s="8">
        <f t="shared" si="12"/>
        <v>4.5277203809660329E-3</v>
      </c>
      <c r="S198" s="22">
        <f t="shared" si="13"/>
        <v>41177</v>
      </c>
      <c r="T198">
        <f t="shared" si="14"/>
        <v>43</v>
      </c>
      <c r="U198">
        <f t="shared" si="15"/>
        <v>39240.333333333336</v>
      </c>
    </row>
    <row r="199" spans="1:21" x14ac:dyDescent="0.3">
      <c r="A199" s="17" t="s">
        <v>408</v>
      </c>
      <c r="B199" s="18" t="s">
        <v>14</v>
      </c>
      <c r="C199" s="19">
        <v>45549</v>
      </c>
      <c r="D199" s="18" t="s">
        <v>52</v>
      </c>
      <c r="E199" s="18" t="s">
        <v>132</v>
      </c>
      <c r="F199" s="9">
        <v>1048</v>
      </c>
      <c r="G199" s="9">
        <v>374</v>
      </c>
      <c r="H199" s="9">
        <v>450</v>
      </c>
      <c r="I199" s="9">
        <v>9432</v>
      </c>
      <c r="J199" s="9">
        <v>8882</v>
      </c>
      <c r="K199" s="9">
        <v>158</v>
      </c>
      <c r="L199" s="18" t="s">
        <v>30</v>
      </c>
      <c r="M199" s="18" t="s">
        <v>31</v>
      </c>
      <c r="N199" s="9">
        <v>53484</v>
      </c>
      <c r="O199" s="9">
        <v>12307</v>
      </c>
      <c r="P199" s="9">
        <v>5.6557999999999993</v>
      </c>
      <c r="Q199" s="9">
        <v>1060357</v>
      </c>
      <c r="R199" s="9">
        <f t="shared" si="12"/>
        <v>1.1373527972182954E-3</v>
      </c>
      <c r="S199" s="23">
        <f t="shared" si="13"/>
        <v>41177</v>
      </c>
      <c r="T199">
        <f t="shared" si="14"/>
        <v>37</v>
      </c>
      <c r="U199">
        <f t="shared" si="15"/>
        <v>37367</v>
      </c>
    </row>
    <row r="200" spans="1:21" x14ac:dyDescent="0.3">
      <c r="A200" s="13" t="s">
        <v>410</v>
      </c>
      <c r="B200" s="14" t="s">
        <v>27</v>
      </c>
      <c r="C200" s="15">
        <v>45626</v>
      </c>
      <c r="D200" s="14" t="s">
        <v>45</v>
      </c>
      <c r="E200" s="14" t="s">
        <v>68</v>
      </c>
      <c r="F200" s="8">
        <v>2509</v>
      </c>
      <c r="G200" s="8">
        <v>324</v>
      </c>
      <c r="H200" s="8">
        <v>171</v>
      </c>
      <c r="I200" s="8">
        <v>35126</v>
      </c>
      <c r="J200" s="8">
        <v>34685</v>
      </c>
      <c r="K200" s="8">
        <v>277</v>
      </c>
      <c r="L200" s="14" t="s">
        <v>30</v>
      </c>
      <c r="M200" s="14" t="s">
        <v>25</v>
      </c>
      <c r="N200" s="8">
        <v>47471</v>
      </c>
      <c r="O200" s="8">
        <v>12104</v>
      </c>
      <c r="P200" s="8">
        <v>5.5587999999999997</v>
      </c>
      <c r="Q200" s="8">
        <v>1228647</v>
      </c>
      <c r="R200" s="8">
        <f t="shared" si="12"/>
        <v>2.2675349388392271E-3</v>
      </c>
      <c r="S200" s="22">
        <f t="shared" si="13"/>
        <v>35367</v>
      </c>
      <c r="T200">
        <f t="shared" si="14"/>
        <v>48</v>
      </c>
      <c r="U200">
        <f t="shared" si="15"/>
        <v>37367</v>
      </c>
    </row>
    <row r="201" spans="1:21" x14ac:dyDescent="0.3">
      <c r="A201" s="17" t="s">
        <v>411</v>
      </c>
      <c r="B201" s="18" t="s">
        <v>43</v>
      </c>
      <c r="C201" s="19">
        <v>45754</v>
      </c>
      <c r="D201" s="18" t="s">
        <v>16</v>
      </c>
      <c r="E201" s="18" t="s">
        <v>65</v>
      </c>
      <c r="F201" s="9">
        <v>3718</v>
      </c>
      <c r="G201" s="9">
        <v>385</v>
      </c>
      <c r="H201" s="9">
        <v>310</v>
      </c>
      <c r="I201" s="9">
        <v>70642</v>
      </c>
      <c r="J201" s="9">
        <v>69749</v>
      </c>
      <c r="K201" s="9">
        <v>233</v>
      </c>
      <c r="L201" s="18" t="s">
        <v>30</v>
      </c>
      <c r="M201" s="18" t="s">
        <v>25</v>
      </c>
      <c r="N201" s="9">
        <v>50862</v>
      </c>
      <c r="O201" s="9">
        <v>15305</v>
      </c>
      <c r="P201" s="9">
        <v>5.6486000000000001</v>
      </c>
      <c r="Q201" s="9">
        <v>1379539</v>
      </c>
      <c r="R201" s="9">
        <f t="shared" si="12"/>
        <v>2.8640002203634695E-3</v>
      </c>
      <c r="S201" s="23">
        <f t="shared" si="13"/>
        <v>35557</v>
      </c>
      <c r="T201">
        <f t="shared" si="14"/>
        <v>15</v>
      </c>
      <c r="U201">
        <f t="shared" si="15"/>
        <v>37430.333333333336</v>
      </c>
    </row>
    <row r="202" spans="1:21" x14ac:dyDescent="0.3">
      <c r="A202" s="13" t="s">
        <v>413</v>
      </c>
      <c r="B202" s="14" t="s">
        <v>14</v>
      </c>
      <c r="C202" s="15">
        <v>45672</v>
      </c>
      <c r="D202" s="14" t="s">
        <v>16</v>
      </c>
      <c r="E202" s="14" t="s">
        <v>17</v>
      </c>
      <c r="F202" s="8">
        <v>802</v>
      </c>
      <c r="G202" s="8">
        <v>262</v>
      </c>
      <c r="H202" s="8">
        <v>244</v>
      </c>
      <c r="I202" s="8">
        <v>14436</v>
      </c>
      <c r="J202" s="8">
        <v>14280</v>
      </c>
      <c r="K202" s="8">
        <v>49</v>
      </c>
      <c r="L202" s="14" t="s">
        <v>37</v>
      </c>
      <c r="M202" s="14" t="s">
        <v>19</v>
      </c>
      <c r="N202" s="8">
        <v>53484</v>
      </c>
      <c r="O202" s="8">
        <v>12307</v>
      </c>
      <c r="P202" s="8">
        <v>5.6557999999999993</v>
      </c>
      <c r="Q202" s="8">
        <v>1060357</v>
      </c>
      <c r="R202" s="8">
        <f t="shared" si="12"/>
        <v>8.0255989256448532E-4</v>
      </c>
      <c r="S202" s="22">
        <f t="shared" si="13"/>
        <v>41177</v>
      </c>
      <c r="T202">
        <f t="shared" si="14"/>
        <v>3</v>
      </c>
      <c r="U202">
        <f t="shared" si="15"/>
        <v>41579.333333333336</v>
      </c>
    </row>
    <row r="203" spans="1:21" x14ac:dyDescent="0.3">
      <c r="A203" s="17" t="s">
        <v>415</v>
      </c>
      <c r="B203" s="18" t="s">
        <v>43</v>
      </c>
      <c r="C203" s="19">
        <v>45445</v>
      </c>
      <c r="D203" s="18" t="s">
        <v>52</v>
      </c>
      <c r="E203" s="18" t="s">
        <v>59</v>
      </c>
      <c r="F203" s="9">
        <v>1871</v>
      </c>
      <c r="G203" s="9">
        <v>252</v>
      </c>
      <c r="H203" s="9">
        <v>335</v>
      </c>
      <c r="I203" s="9">
        <v>29936</v>
      </c>
      <c r="J203" s="9">
        <v>29576</v>
      </c>
      <c r="K203" s="9">
        <v>288</v>
      </c>
      <c r="L203" s="18" t="s">
        <v>37</v>
      </c>
      <c r="M203" s="18" t="s">
        <v>31</v>
      </c>
      <c r="N203" s="9">
        <v>50862</v>
      </c>
      <c r="O203" s="9">
        <v>15305</v>
      </c>
      <c r="P203" s="9">
        <v>5.6486000000000001</v>
      </c>
      <c r="Q203" s="9">
        <v>1379539</v>
      </c>
      <c r="R203" s="9">
        <f t="shared" si="12"/>
        <v>1.5650155595456163E-3</v>
      </c>
      <c r="S203" s="23">
        <f t="shared" si="13"/>
        <v>35557</v>
      </c>
      <c r="T203">
        <f t="shared" si="14"/>
        <v>23</v>
      </c>
      <c r="U203">
        <f t="shared" si="15"/>
        <v>43855</v>
      </c>
    </row>
    <row r="204" spans="1:21" x14ac:dyDescent="0.3">
      <c r="A204" s="13" t="s">
        <v>417</v>
      </c>
      <c r="B204" s="14" t="s">
        <v>33</v>
      </c>
      <c r="C204" s="15">
        <v>45617</v>
      </c>
      <c r="D204" s="14" t="s">
        <v>45</v>
      </c>
      <c r="E204" s="14" t="s">
        <v>88</v>
      </c>
      <c r="F204" s="8">
        <v>3773</v>
      </c>
      <c r="G204" s="8">
        <v>299</v>
      </c>
      <c r="H204" s="8">
        <v>38</v>
      </c>
      <c r="I204" s="8">
        <v>71687</v>
      </c>
      <c r="J204" s="8">
        <v>71447</v>
      </c>
      <c r="K204" s="8">
        <v>286</v>
      </c>
      <c r="L204" s="14" t="s">
        <v>62</v>
      </c>
      <c r="M204" s="14" t="s">
        <v>19</v>
      </c>
      <c r="N204" s="8">
        <v>58311</v>
      </c>
      <c r="O204" s="8">
        <v>10307</v>
      </c>
      <c r="P204" s="8">
        <v>5.7155999999999993</v>
      </c>
      <c r="Q204" s="8">
        <v>1164373</v>
      </c>
      <c r="R204" s="8">
        <f t="shared" si="12"/>
        <v>3.485996325919615E-3</v>
      </c>
      <c r="S204" s="22">
        <f t="shared" si="13"/>
        <v>48004</v>
      </c>
      <c r="T204">
        <f t="shared" si="14"/>
        <v>47</v>
      </c>
      <c r="U204">
        <f t="shared" si="15"/>
        <v>45728.333333333336</v>
      </c>
    </row>
    <row r="205" spans="1:21" x14ac:dyDescent="0.3">
      <c r="A205" s="17" t="s">
        <v>419</v>
      </c>
      <c r="B205" s="18" t="s">
        <v>33</v>
      </c>
      <c r="C205" s="19">
        <v>45658</v>
      </c>
      <c r="D205" s="18" t="s">
        <v>45</v>
      </c>
      <c r="E205" s="18" t="s">
        <v>88</v>
      </c>
      <c r="F205" s="9">
        <v>2234</v>
      </c>
      <c r="G205" s="9">
        <v>653</v>
      </c>
      <c r="H205" s="9">
        <v>432</v>
      </c>
      <c r="I205" s="9">
        <v>11170</v>
      </c>
      <c r="J205" s="9">
        <v>10569</v>
      </c>
      <c r="K205" s="9">
        <v>198</v>
      </c>
      <c r="L205" s="18" t="s">
        <v>62</v>
      </c>
      <c r="M205" s="18" t="s">
        <v>31</v>
      </c>
      <c r="N205" s="9">
        <v>58311</v>
      </c>
      <c r="O205" s="9">
        <v>10307</v>
      </c>
      <c r="P205" s="9">
        <v>5.7155999999999993</v>
      </c>
      <c r="Q205" s="9">
        <v>1164373</v>
      </c>
      <c r="R205" s="9">
        <f t="shared" si="12"/>
        <v>2.0886777690654113E-3</v>
      </c>
      <c r="S205" s="23">
        <f t="shared" si="13"/>
        <v>48004</v>
      </c>
      <c r="T205">
        <f t="shared" si="14"/>
        <v>1</v>
      </c>
      <c r="U205">
        <f t="shared" si="15"/>
        <v>43452.666666666664</v>
      </c>
    </row>
    <row r="206" spans="1:21" x14ac:dyDescent="0.3">
      <c r="A206" s="13" t="s">
        <v>420</v>
      </c>
      <c r="B206" s="14" t="s">
        <v>14</v>
      </c>
      <c r="C206" s="15">
        <v>45771</v>
      </c>
      <c r="D206" s="14" t="s">
        <v>74</v>
      </c>
      <c r="E206" s="14" t="s">
        <v>145</v>
      </c>
      <c r="F206" s="8">
        <v>3820</v>
      </c>
      <c r="G206" s="8">
        <v>697</v>
      </c>
      <c r="H206" s="8">
        <v>268</v>
      </c>
      <c r="I206" s="8">
        <v>45840</v>
      </c>
      <c r="J206" s="8">
        <v>45631</v>
      </c>
      <c r="K206" s="8">
        <v>171</v>
      </c>
      <c r="L206" s="14" t="s">
        <v>30</v>
      </c>
      <c r="M206" s="14" t="s">
        <v>38</v>
      </c>
      <c r="N206" s="8">
        <v>53484</v>
      </c>
      <c r="O206" s="8">
        <v>12307</v>
      </c>
      <c r="P206" s="8">
        <v>5.6557999999999993</v>
      </c>
      <c r="Q206" s="8">
        <v>1060357</v>
      </c>
      <c r="R206" s="8">
        <f t="shared" si="12"/>
        <v>3.7638267111925511E-3</v>
      </c>
      <c r="S206" s="22">
        <f t="shared" si="13"/>
        <v>41177</v>
      </c>
      <c r="T206">
        <f t="shared" si="14"/>
        <v>17</v>
      </c>
      <c r="U206">
        <f t="shared" si="15"/>
        <v>41177</v>
      </c>
    </row>
    <row r="207" spans="1:21" x14ac:dyDescent="0.3">
      <c r="A207" s="17" t="s">
        <v>422</v>
      </c>
      <c r="B207" s="18" t="s">
        <v>14</v>
      </c>
      <c r="C207" s="19">
        <v>45467</v>
      </c>
      <c r="D207" s="18" t="s">
        <v>22</v>
      </c>
      <c r="E207" s="18" t="s">
        <v>23</v>
      </c>
      <c r="F207" s="9">
        <v>941</v>
      </c>
      <c r="G207" s="9">
        <v>121</v>
      </c>
      <c r="H207" s="9">
        <v>458</v>
      </c>
      <c r="I207" s="9">
        <v>14115</v>
      </c>
      <c r="J207" s="9">
        <v>13838</v>
      </c>
      <c r="K207" s="9">
        <v>87</v>
      </c>
      <c r="L207" s="18" t="s">
        <v>37</v>
      </c>
      <c r="M207" s="18" t="s">
        <v>19</v>
      </c>
      <c r="N207" s="9">
        <v>53484</v>
      </c>
      <c r="O207" s="9">
        <v>12307</v>
      </c>
      <c r="P207" s="9">
        <v>5.6557999999999993</v>
      </c>
      <c r="Q207" s="9">
        <v>1060357</v>
      </c>
      <c r="R207" s="9">
        <f t="shared" si="12"/>
        <v>9.6948480558906101E-4</v>
      </c>
      <c r="S207" s="23">
        <f t="shared" si="13"/>
        <v>41177</v>
      </c>
      <c r="T207">
        <f t="shared" si="14"/>
        <v>26</v>
      </c>
      <c r="U207">
        <f t="shared" si="15"/>
        <v>39240.333333333336</v>
      </c>
    </row>
    <row r="208" spans="1:21" x14ac:dyDescent="0.3">
      <c r="A208" s="13" t="s">
        <v>423</v>
      </c>
      <c r="B208" s="14" t="s">
        <v>14</v>
      </c>
      <c r="C208" s="15">
        <v>45655</v>
      </c>
      <c r="D208" s="14" t="s">
        <v>45</v>
      </c>
      <c r="E208" s="14" t="s">
        <v>49</v>
      </c>
      <c r="F208" s="8">
        <v>4274</v>
      </c>
      <c r="G208" s="8">
        <v>340</v>
      </c>
      <c r="H208" s="8">
        <v>281</v>
      </c>
      <c r="I208" s="8">
        <v>34192</v>
      </c>
      <c r="J208" s="8">
        <v>33446</v>
      </c>
      <c r="K208" s="8">
        <v>129</v>
      </c>
      <c r="L208" s="14" t="s">
        <v>30</v>
      </c>
      <c r="M208" s="14" t="s">
        <v>31</v>
      </c>
      <c r="N208" s="8">
        <v>53484</v>
      </c>
      <c r="O208" s="8">
        <v>12307</v>
      </c>
      <c r="P208" s="8">
        <v>5.6557999999999993</v>
      </c>
      <c r="Q208" s="8">
        <v>1060357</v>
      </c>
      <c r="R208" s="8">
        <f t="shared" si="12"/>
        <v>4.1523750963119027E-3</v>
      </c>
      <c r="S208" s="22">
        <f t="shared" si="13"/>
        <v>41177</v>
      </c>
      <c r="T208">
        <f t="shared" si="14"/>
        <v>53</v>
      </c>
      <c r="U208">
        <f t="shared" si="15"/>
        <v>39240.333333333336</v>
      </c>
    </row>
    <row r="209" spans="1:21" x14ac:dyDescent="0.3">
      <c r="A209" s="17" t="s">
        <v>425</v>
      </c>
      <c r="B209" s="18" t="s">
        <v>27</v>
      </c>
      <c r="C209" s="19">
        <v>45467</v>
      </c>
      <c r="D209" s="18" t="s">
        <v>74</v>
      </c>
      <c r="E209" s="18" t="s">
        <v>219</v>
      </c>
      <c r="F209" s="9">
        <v>2949</v>
      </c>
      <c r="G209" s="9">
        <v>476</v>
      </c>
      <c r="H209" s="9">
        <v>403</v>
      </c>
      <c r="I209" s="9">
        <v>44235</v>
      </c>
      <c r="J209" s="9">
        <v>43705</v>
      </c>
      <c r="K209" s="9">
        <v>135</v>
      </c>
      <c r="L209" s="18" t="s">
        <v>30</v>
      </c>
      <c r="M209" s="18" t="s">
        <v>25</v>
      </c>
      <c r="N209" s="9">
        <v>47471</v>
      </c>
      <c r="O209" s="9">
        <v>12104</v>
      </c>
      <c r="P209" s="9">
        <v>5.5587999999999997</v>
      </c>
      <c r="Q209" s="9">
        <v>1228647</v>
      </c>
      <c r="R209" s="9">
        <f t="shared" si="12"/>
        <v>2.5100781591457923E-3</v>
      </c>
      <c r="S209" s="23">
        <f t="shared" si="13"/>
        <v>35367</v>
      </c>
      <c r="T209">
        <f t="shared" si="14"/>
        <v>26</v>
      </c>
      <c r="U209">
        <f t="shared" si="15"/>
        <v>37303.666666666664</v>
      </c>
    </row>
    <row r="210" spans="1:21" x14ac:dyDescent="0.3">
      <c r="A210" s="13" t="s">
        <v>426</v>
      </c>
      <c r="B210" s="14" t="s">
        <v>14</v>
      </c>
      <c r="C210" s="15">
        <v>45735</v>
      </c>
      <c r="D210" s="14" t="s">
        <v>74</v>
      </c>
      <c r="E210" s="14" t="s">
        <v>145</v>
      </c>
      <c r="F210" s="8">
        <v>3160</v>
      </c>
      <c r="G210" s="8">
        <v>204</v>
      </c>
      <c r="H210" s="8">
        <v>297</v>
      </c>
      <c r="I210" s="8">
        <v>44240</v>
      </c>
      <c r="J210" s="8">
        <v>43666</v>
      </c>
      <c r="K210" s="8">
        <v>49</v>
      </c>
      <c r="L210" s="14" t="s">
        <v>62</v>
      </c>
      <c r="M210" s="14" t="s">
        <v>38</v>
      </c>
      <c r="N210" s="8">
        <v>53484</v>
      </c>
      <c r="O210" s="8">
        <v>12307</v>
      </c>
      <c r="P210" s="8">
        <v>5.6557999999999993</v>
      </c>
      <c r="Q210" s="8">
        <v>1060357</v>
      </c>
      <c r="R210" s="8">
        <f t="shared" si="12"/>
        <v>3.0263392423495105E-3</v>
      </c>
      <c r="S210" s="22">
        <f t="shared" si="13"/>
        <v>41177</v>
      </c>
      <c r="T210">
        <f t="shared" si="14"/>
        <v>12</v>
      </c>
      <c r="U210">
        <f t="shared" si="15"/>
        <v>39240.333333333336</v>
      </c>
    </row>
    <row r="211" spans="1:21" x14ac:dyDescent="0.3">
      <c r="A211" s="17" t="s">
        <v>428</v>
      </c>
      <c r="B211" s="18" t="s">
        <v>27</v>
      </c>
      <c r="C211" s="19">
        <v>45707</v>
      </c>
      <c r="D211" s="18" t="s">
        <v>52</v>
      </c>
      <c r="E211" s="18" t="s">
        <v>53</v>
      </c>
      <c r="F211" s="9">
        <v>257</v>
      </c>
      <c r="G211" s="9">
        <v>966</v>
      </c>
      <c r="H211" s="9">
        <v>398</v>
      </c>
      <c r="I211" s="9">
        <v>3341</v>
      </c>
      <c r="J211" s="9">
        <v>2753</v>
      </c>
      <c r="K211" s="9">
        <v>287</v>
      </c>
      <c r="L211" s="18" t="s">
        <v>62</v>
      </c>
      <c r="M211" s="18" t="s">
        <v>19</v>
      </c>
      <c r="N211" s="9">
        <v>47471</v>
      </c>
      <c r="O211" s="9">
        <v>12104</v>
      </c>
      <c r="P211" s="9">
        <v>5.5587999999999997</v>
      </c>
      <c r="Q211" s="9">
        <v>1228647</v>
      </c>
      <c r="R211" s="9">
        <f t="shared" si="12"/>
        <v>4.4276346257305803E-4</v>
      </c>
      <c r="S211" s="23">
        <f t="shared" si="13"/>
        <v>35367</v>
      </c>
      <c r="T211">
        <f t="shared" si="14"/>
        <v>8</v>
      </c>
      <c r="U211">
        <f t="shared" si="15"/>
        <v>37303.666666666664</v>
      </c>
    </row>
    <row r="212" spans="1:21" x14ac:dyDescent="0.3">
      <c r="A212" s="13" t="s">
        <v>429</v>
      </c>
      <c r="B212" s="14" t="s">
        <v>14</v>
      </c>
      <c r="C212" s="15">
        <v>45491</v>
      </c>
      <c r="D212" s="14" t="s">
        <v>45</v>
      </c>
      <c r="E212" s="14" t="s">
        <v>49</v>
      </c>
      <c r="F212" s="8">
        <v>2120</v>
      </c>
      <c r="G212" s="8">
        <v>38</v>
      </c>
      <c r="H212" s="8">
        <v>212</v>
      </c>
      <c r="I212" s="8">
        <v>12720</v>
      </c>
      <c r="J212" s="8">
        <v>12564</v>
      </c>
      <c r="K212" s="8">
        <v>21</v>
      </c>
      <c r="L212" s="14" t="s">
        <v>62</v>
      </c>
      <c r="M212" s="14" t="s">
        <v>38</v>
      </c>
      <c r="N212" s="8">
        <v>53484</v>
      </c>
      <c r="O212" s="8">
        <v>12307</v>
      </c>
      <c r="P212" s="8">
        <v>5.6557999999999993</v>
      </c>
      <c r="Q212" s="8">
        <v>1060357</v>
      </c>
      <c r="R212" s="8">
        <f t="shared" si="12"/>
        <v>2.0191312925741047E-3</v>
      </c>
      <c r="S212" s="22">
        <f t="shared" si="13"/>
        <v>41177</v>
      </c>
      <c r="T212">
        <f t="shared" si="14"/>
        <v>29</v>
      </c>
      <c r="U212">
        <f t="shared" si="15"/>
        <v>37367</v>
      </c>
    </row>
    <row r="213" spans="1:21" x14ac:dyDescent="0.3">
      <c r="A213" s="17" t="s">
        <v>431</v>
      </c>
      <c r="B213" s="18" t="s">
        <v>27</v>
      </c>
      <c r="C213" s="19">
        <v>45719</v>
      </c>
      <c r="D213" s="18" t="s">
        <v>74</v>
      </c>
      <c r="E213" s="18" t="s">
        <v>219</v>
      </c>
      <c r="F213" s="9">
        <v>3874</v>
      </c>
      <c r="G213" s="9">
        <v>884</v>
      </c>
      <c r="H213" s="9">
        <v>19</v>
      </c>
      <c r="I213" s="9">
        <v>38740</v>
      </c>
      <c r="J213" s="9">
        <v>38552</v>
      </c>
      <c r="K213" s="9">
        <v>219</v>
      </c>
      <c r="L213" s="18" t="s">
        <v>30</v>
      </c>
      <c r="M213" s="18" t="s">
        <v>25</v>
      </c>
      <c r="N213" s="9">
        <v>47471</v>
      </c>
      <c r="O213" s="9">
        <v>12104</v>
      </c>
      <c r="P213" s="9">
        <v>5.5587999999999997</v>
      </c>
      <c r="Q213" s="9">
        <v>1228647</v>
      </c>
      <c r="R213" s="9">
        <f t="shared" si="12"/>
        <v>3.3313067138079529E-3</v>
      </c>
      <c r="S213" s="23">
        <f t="shared" si="13"/>
        <v>35367</v>
      </c>
      <c r="T213">
        <f t="shared" si="14"/>
        <v>10</v>
      </c>
      <c r="U213">
        <f t="shared" si="15"/>
        <v>39642.666666666664</v>
      </c>
    </row>
    <row r="214" spans="1:21" x14ac:dyDescent="0.3">
      <c r="A214" s="13" t="s">
        <v>432</v>
      </c>
      <c r="B214" s="14" t="s">
        <v>43</v>
      </c>
      <c r="C214" s="15">
        <v>45778</v>
      </c>
      <c r="D214" s="14" t="s">
        <v>45</v>
      </c>
      <c r="E214" s="14" t="s">
        <v>46</v>
      </c>
      <c r="F214" s="8">
        <v>2696</v>
      </c>
      <c r="G214" s="8">
        <v>628</v>
      </c>
      <c r="H214" s="8">
        <v>443</v>
      </c>
      <c r="I214" s="8">
        <v>45832</v>
      </c>
      <c r="J214" s="8">
        <v>45632</v>
      </c>
      <c r="K214" s="8">
        <v>248</v>
      </c>
      <c r="L214" s="14" t="s">
        <v>37</v>
      </c>
      <c r="M214" s="14" t="s">
        <v>38</v>
      </c>
      <c r="N214" s="8">
        <v>50862</v>
      </c>
      <c r="O214" s="8">
        <v>15305</v>
      </c>
      <c r="P214" s="8">
        <v>5.6486000000000001</v>
      </c>
      <c r="Q214" s="8">
        <v>1379539</v>
      </c>
      <c r="R214" s="8">
        <f t="shared" si="12"/>
        <v>2.1340462284864725E-3</v>
      </c>
      <c r="S214" s="22">
        <f t="shared" si="13"/>
        <v>35557</v>
      </c>
      <c r="T214">
        <f t="shared" si="14"/>
        <v>18</v>
      </c>
      <c r="U214">
        <f t="shared" si="15"/>
        <v>39706</v>
      </c>
    </row>
    <row r="215" spans="1:21" x14ac:dyDescent="0.3">
      <c r="A215" s="17" t="s">
        <v>434</v>
      </c>
      <c r="B215" s="18" t="s">
        <v>33</v>
      </c>
      <c r="C215" s="19">
        <v>45649</v>
      </c>
      <c r="D215" s="18" t="s">
        <v>52</v>
      </c>
      <c r="E215" s="18" t="s">
        <v>215</v>
      </c>
      <c r="F215" s="9">
        <v>521</v>
      </c>
      <c r="G215" s="9">
        <v>746</v>
      </c>
      <c r="H215" s="9">
        <v>315</v>
      </c>
      <c r="I215" s="9">
        <v>4168</v>
      </c>
      <c r="J215" s="9">
        <v>3399</v>
      </c>
      <c r="K215" s="9">
        <v>282</v>
      </c>
      <c r="L215" s="18" t="s">
        <v>62</v>
      </c>
      <c r="M215" s="18" t="s">
        <v>25</v>
      </c>
      <c r="N215" s="9">
        <v>58311</v>
      </c>
      <c r="O215" s="9">
        <v>10307</v>
      </c>
      <c r="P215" s="9">
        <v>5.7155999999999993</v>
      </c>
      <c r="Q215" s="9">
        <v>1164373</v>
      </c>
      <c r="R215" s="9">
        <f t="shared" si="12"/>
        <v>6.896415495721732E-4</v>
      </c>
      <c r="S215" s="23">
        <f t="shared" si="13"/>
        <v>48004</v>
      </c>
      <c r="T215">
        <f t="shared" si="14"/>
        <v>52</v>
      </c>
      <c r="U215">
        <f t="shared" si="15"/>
        <v>39642.666666666664</v>
      </c>
    </row>
    <row r="216" spans="1:21" x14ac:dyDescent="0.3">
      <c r="A216" s="13" t="s">
        <v>435</v>
      </c>
      <c r="B216" s="14" t="s">
        <v>43</v>
      </c>
      <c r="C216" s="15">
        <v>45783</v>
      </c>
      <c r="D216" s="14" t="s">
        <v>52</v>
      </c>
      <c r="E216" s="14" t="s">
        <v>59</v>
      </c>
      <c r="F216" s="8">
        <v>4872</v>
      </c>
      <c r="G216" s="8">
        <v>925</v>
      </c>
      <c r="H216" s="8">
        <v>176</v>
      </c>
      <c r="I216" s="8">
        <v>82824</v>
      </c>
      <c r="J216" s="8">
        <v>82543</v>
      </c>
      <c r="K216" s="8">
        <v>89</v>
      </c>
      <c r="L216" s="14" t="s">
        <v>37</v>
      </c>
      <c r="M216" s="14" t="s">
        <v>25</v>
      </c>
      <c r="N216" s="8">
        <v>50862</v>
      </c>
      <c r="O216" s="8">
        <v>15305</v>
      </c>
      <c r="P216" s="8">
        <v>5.6486000000000001</v>
      </c>
      <c r="Q216" s="8">
        <v>1379539</v>
      </c>
      <c r="R216" s="8">
        <f t="shared" si="12"/>
        <v>3.596128851739603E-3</v>
      </c>
      <c r="S216" s="22">
        <f t="shared" si="13"/>
        <v>35557</v>
      </c>
      <c r="T216">
        <f t="shared" si="14"/>
        <v>19</v>
      </c>
      <c r="U216">
        <f t="shared" si="15"/>
        <v>35493.666666666664</v>
      </c>
    </row>
    <row r="217" spans="1:21" x14ac:dyDescent="0.3">
      <c r="A217" s="17" t="s">
        <v>437</v>
      </c>
      <c r="B217" s="18" t="s">
        <v>27</v>
      </c>
      <c r="C217" s="19">
        <v>45502</v>
      </c>
      <c r="D217" s="18" t="s">
        <v>35</v>
      </c>
      <c r="E217" s="18" t="s">
        <v>154</v>
      </c>
      <c r="F217" s="9">
        <v>1509</v>
      </c>
      <c r="G217" s="9">
        <v>88</v>
      </c>
      <c r="H217" s="9">
        <v>163</v>
      </c>
      <c r="I217" s="9">
        <v>30180</v>
      </c>
      <c r="J217" s="9">
        <v>29689</v>
      </c>
      <c r="K217" s="9">
        <v>119</v>
      </c>
      <c r="L217" s="18" t="s">
        <v>37</v>
      </c>
      <c r="M217" s="18" t="s">
        <v>25</v>
      </c>
      <c r="N217" s="9">
        <v>47471</v>
      </c>
      <c r="O217" s="9">
        <v>12104</v>
      </c>
      <c r="P217" s="9">
        <v>5.5587999999999997</v>
      </c>
      <c r="Q217" s="9">
        <v>1228647</v>
      </c>
      <c r="R217" s="9">
        <f t="shared" si="12"/>
        <v>1.325034774023784E-3</v>
      </c>
      <c r="S217" s="23">
        <f t="shared" si="13"/>
        <v>35367</v>
      </c>
      <c r="T217">
        <f t="shared" si="14"/>
        <v>31</v>
      </c>
      <c r="U217">
        <f t="shared" si="15"/>
        <v>35493.666666666664</v>
      </c>
    </row>
    <row r="218" spans="1:21" x14ac:dyDescent="0.3">
      <c r="A218" s="13" t="s">
        <v>438</v>
      </c>
      <c r="B218" s="14" t="s">
        <v>43</v>
      </c>
      <c r="C218" s="15">
        <v>45629</v>
      </c>
      <c r="D218" s="14" t="s">
        <v>52</v>
      </c>
      <c r="E218" s="14" t="s">
        <v>59</v>
      </c>
      <c r="F218" s="8">
        <v>4606</v>
      </c>
      <c r="G218" s="8">
        <v>931</v>
      </c>
      <c r="H218" s="8">
        <v>230</v>
      </c>
      <c r="I218" s="8">
        <v>92120</v>
      </c>
      <c r="J218" s="8">
        <v>91440</v>
      </c>
      <c r="K218" s="8">
        <v>56</v>
      </c>
      <c r="L218" s="14" t="s">
        <v>30</v>
      </c>
      <c r="M218" s="14"/>
      <c r="N218" s="8">
        <v>50862</v>
      </c>
      <c r="O218" s="8">
        <v>15305</v>
      </c>
      <c r="P218" s="8">
        <v>5.6486000000000001</v>
      </c>
      <c r="Q218" s="8">
        <v>1379539</v>
      </c>
      <c r="R218" s="8">
        <f t="shared" si="12"/>
        <v>3.3793897816589455E-3</v>
      </c>
      <c r="S218" s="22">
        <f t="shared" si="13"/>
        <v>35557</v>
      </c>
      <c r="T218">
        <f t="shared" si="14"/>
        <v>49</v>
      </c>
      <c r="U218">
        <f t="shared" si="15"/>
        <v>37430.333333333336</v>
      </c>
    </row>
    <row r="219" spans="1:21" x14ac:dyDescent="0.3">
      <c r="A219" s="17" t="s">
        <v>439</v>
      </c>
      <c r="B219" s="18" t="s">
        <v>43</v>
      </c>
      <c r="C219" s="19">
        <v>45454</v>
      </c>
      <c r="D219" s="18" t="s">
        <v>45</v>
      </c>
      <c r="E219" s="18" t="s">
        <v>46</v>
      </c>
      <c r="F219" s="9">
        <v>1869</v>
      </c>
      <c r="G219" s="9">
        <v>453</v>
      </c>
      <c r="H219" s="9">
        <v>490</v>
      </c>
      <c r="I219" s="9">
        <v>14952</v>
      </c>
      <c r="J219" s="9">
        <v>14309</v>
      </c>
      <c r="K219" s="9">
        <v>275</v>
      </c>
      <c r="L219" s="18" t="s">
        <v>30</v>
      </c>
      <c r="M219" s="18" t="s">
        <v>38</v>
      </c>
      <c r="N219" s="9">
        <v>50862</v>
      </c>
      <c r="O219" s="9">
        <v>15305</v>
      </c>
      <c r="P219" s="9">
        <v>5.6486000000000001</v>
      </c>
      <c r="Q219" s="9">
        <v>1379539</v>
      </c>
      <c r="R219" s="9">
        <f t="shared" si="12"/>
        <v>1.5541423620499312E-3</v>
      </c>
      <c r="S219" s="23">
        <f t="shared" si="13"/>
        <v>35557</v>
      </c>
      <c r="T219">
        <f t="shared" si="14"/>
        <v>24</v>
      </c>
      <c r="U219">
        <f t="shared" si="15"/>
        <v>41579.333333333336</v>
      </c>
    </row>
    <row r="220" spans="1:21" x14ac:dyDescent="0.3">
      <c r="A220" s="13" t="s">
        <v>440</v>
      </c>
      <c r="B220" s="14" t="s">
        <v>14</v>
      </c>
      <c r="C220" s="15">
        <v>45685</v>
      </c>
      <c r="D220" s="14" t="s">
        <v>16</v>
      </c>
      <c r="E220" s="14" t="s">
        <v>17</v>
      </c>
      <c r="F220" s="8">
        <v>1188</v>
      </c>
      <c r="G220" s="8">
        <v>470</v>
      </c>
      <c r="H220" s="8">
        <v>174</v>
      </c>
      <c r="I220" s="8">
        <v>7128</v>
      </c>
      <c r="J220" s="8">
        <v>6145</v>
      </c>
      <c r="K220" s="8">
        <v>270</v>
      </c>
      <c r="L220" s="14" t="s">
        <v>30</v>
      </c>
      <c r="M220" s="14" t="s">
        <v>38</v>
      </c>
      <c r="N220" s="8">
        <v>53484</v>
      </c>
      <c r="O220" s="8">
        <v>12307</v>
      </c>
      <c r="P220" s="8">
        <v>5.6557999999999993</v>
      </c>
      <c r="Q220" s="8">
        <v>1060357</v>
      </c>
      <c r="R220" s="8">
        <f t="shared" si="12"/>
        <v>1.3750086055922676E-3</v>
      </c>
      <c r="S220" s="22">
        <f t="shared" si="13"/>
        <v>41177</v>
      </c>
      <c r="T220">
        <f t="shared" si="14"/>
        <v>5</v>
      </c>
      <c r="U220">
        <f t="shared" si="15"/>
        <v>41579.333333333336</v>
      </c>
    </row>
    <row r="221" spans="1:21" x14ac:dyDescent="0.3">
      <c r="A221" s="17" t="s">
        <v>441</v>
      </c>
      <c r="B221" s="18" t="s">
        <v>33</v>
      </c>
      <c r="C221" s="19">
        <v>45445</v>
      </c>
      <c r="D221" s="18" t="s">
        <v>35</v>
      </c>
      <c r="E221" s="18" t="s">
        <v>36</v>
      </c>
      <c r="F221" s="9">
        <v>84</v>
      </c>
      <c r="G221" s="9">
        <v>897</v>
      </c>
      <c r="H221" s="9">
        <v>85</v>
      </c>
      <c r="I221" s="9">
        <v>588</v>
      </c>
      <c r="J221" s="9">
        <v>8</v>
      </c>
      <c r="K221" s="9">
        <v>12</v>
      </c>
      <c r="L221" s="18" t="s">
        <v>37</v>
      </c>
      <c r="M221" s="18"/>
      <c r="N221" s="9">
        <v>58311</v>
      </c>
      <c r="O221" s="9">
        <v>10307</v>
      </c>
      <c r="P221" s="9">
        <v>5.7155999999999993</v>
      </c>
      <c r="Q221" s="9">
        <v>1164373</v>
      </c>
      <c r="R221" s="9">
        <f t="shared" si="12"/>
        <v>8.2447806673634647E-5</v>
      </c>
      <c r="S221" s="23">
        <f t="shared" si="13"/>
        <v>48004</v>
      </c>
      <c r="T221">
        <f t="shared" si="14"/>
        <v>23</v>
      </c>
      <c r="U221">
        <f t="shared" si="15"/>
        <v>39706</v>
      </c>
    </row>
    <row r="222" spans="1:21" x14ac:dyDescent="0.3">
      <c r="A222" s="13" t="s">
        <v>442</v>
      </c>
      <c r="B222" s="14" t="s">
        <v>43</v>
      </c>
      <c r="C222" s="15">
        <v>45739</v>
      </c>
      <c r="D222" s="14" t="s">
        <v>74</v>
      </c>
      <c r="E222" s="14" t="s">
        <v>75</v>
      </c>
      <c r="F222" s="8">
        <v>4453</v>
      </c>
      <c r="G222" s="8">
        <v>111</v>
      </c>
      <c r="H222" s="8">
        <v>420</v>
      </c>
      <c r="I222" s="8">
        <v>31171</v>
      </c>
      <c r="J222" s="8">
        <v>30565</v>
      </c>
      <c r="K222" s="8">
        <v>23</v>
      </c>
      <c r="L222" s="14" t="s">
        <v>30</v>
      </c>
      <c r="M222" s="14"/>
      <c r="N222" s="8">
        <v>50862</v>
      </c>
      <c r="O222" s="8">
        <v>15305</v>
      </c>
      <c r="P222" s="8">
        <v>5.6486000000000001</v>
      </c>
      <c r="Q222" s="8">
        <v>1379539</v>
      </c>
      <c r="R222" s="8">
        <f t="shared" si="12"/>
        <v>3.2445621327124494E-3</v>
      </c>
      <c r="S222" s="22">
        <f t="shared" si="13"/>
        <v>35557</v>
      </c>
      <c r="T222">
        <f t="shared" si="14"/>
        <v>13</v>
      </c>
      <c r="U222">
        <f t="shared" si="15"/>
        <v>37430.333333333336</v>
      </c>
    </row>
    <row r="223" spans="1:21" x14ac:dyDescent="0.3">
      <c r="A223" s="17" t="s">
        <v>443</v>
      </c>
      <c r="B223" s="18" t="s">
        <v>43</v>
      </c>
      <c r="C223" s="19">
        <v>45573</v>
      </c>
      <c r="D223" s="18" t="s">
        <v>16</v>
      </c>
      <c r="E223" s="18" t="s">
        <v>65</v>
      </c>
      <c r="F223" s="9">
        <v>1814</v>
      </c>
      <c r="G223" s="9">
        <v>653</v>
      </c>
      <c r="H223" s="9">
        <v>363</v>
      </c>
      <c r="I223" s="9">
        <v>25396</v>
      </c>
      <c r="J223" s="9">
        <v>25286</v>
      </c>
      <c r="K223" s="9">
        <v>39</v>
      </c>
      <c r="L223" s="18" t="s">
        <v>62</v>
      </c>
      <c r="M223" s="18" t="s">
        <v>19</v>
      </c>
      <c r="N223" s="9">
        <v>50862</v>
      </c>
      <c r="O223" s="9">
        <v>15305</v>
      </c>
      <c r="P223" s="9">
        <v>5.6486000000000001</v>
      </c>
      <c r="Q223" s="9">
        <v>1379539</v>
      </c>
      <c r="R223" s="9">
        <f t="shared" si="12"/>
        <v>1.3432023306336391E-3</v>
      </c>
      <c r="S223" s="23">
        <f t="shared" si="13"/>
        <v>35557</v>
      </c>
      <c r="T223">
        <f t="shared" si="14"/>
        <v>41</v>
      </c>
      <c r="U223">
        <f t="shared" si="15"/>
        <v>37430.333333333336</v>
      </c>
    </row>
    <row r="224" spans="1:21" x14ac:dyDescent="0.3">
      <c r="A224" s="13" t="s">
        <v>446</v>
      </c>
      <c r="B224" s="14" t="s">
        <v>14</v>
      </c>
      <c r="C224" s="15">
        <v>45608</v>
      </c>
      <c r="D224" s="14" t="s">
        <v>52</v>
      </c>
      <c r="E224" s="14" t="s">
        <v>132</v>
      </c>
      <c r="F224" s="8">
        <v>3338</v>
      </c>
      <c r="G224" s="8">
        <v>277</v>
      </c>
      <c r="H224" s="8">
        <v>118</v>
      </c>
      <c r="I224" s="8">
        <v>60084</v>
      </c>
      <c r="J224" s="8">
        <v>59842</v>
      </c>
      <c r="K224" s="8">
        <v>252</v>
      </c>
      <c r="L224" s="14" t="s">
        <v>30</v>
      </c>
      <c r="M224" s="14"/>
      <c r="N224" s="8">
        <v>53484</v>
      </c>
      <c r="O224" s="8">
        <v>12307</v>
      </c>
      <c r="P224" s="8">
        <v>5.6557999999999993</v>
      </c>
      <c r="Q224" s="8">
        <v>1060357</v>
      </c>
      <c r="R224" s="8">
        <f t="shared" si="12"/>
        <v>3.3856521907244448E-3</v>
      </c>
      <c r="S224" s="22">
        <f t="shared" si="13"/>
        <v>41177</v>
      </c>
      <c r="T224">
        <f t="shared" si="14"/>
        <v>46</v>
      </c>
      <c r="U224">
        <f t="shared" si="15"/>
        <v>39303.666666666664</v>
      </c>
    </row>
    <row r="225" spans="1:21" x14ac:dyDescent="0.3">
      <c r="A225" s="17" t="s">
        <v>447</v>
      </c>
      <c r="B225" s="18" t="s">
        <v>43</v>
      </c>
      <c r="C225" s="19">
        <v>45790</v>
      </c>
      <c r="D225" s="18" t="s">
        <v>52</v>
      </c>
      <c r="E225" s="18" t="s">
        <v>59</v>
      </c>
      <c r="F225" s="9">
        <v>602</v>
      </c>
      <c r="G225" s="9">
        <v>594</v>
      </c>
      <c r="H225" s="9">
        <v>156</v>
      </c>
      <c r="I225" s="9">
        <v>4214</v>
      </c>
      <c r="J225" s="9">
        <v>3363</v>
      </c>
      <c r="K225" s="9">
        <v>164</v>
      </c>
      <c r="L225" s="18" t="s">
        <v>30</v>
      </c>
      <c r="M225" s="18" t="s">
        <v>31</v>
      </c>
      <c r="N225" s="9">
        <v>50862</v>
      </c>
      <c r="O225" s="9">
        <v>15305</v>
      </c>
      <c r="P225" s="9">
        <v>5.6486000000000001</v>
      </c>
      <c r="Q225" s="9">
        <v>1379539</v>
      </c>
      <c r="R225" s="9">
        <f t="shared" si="12"/>
        <v>5.5525795211298847E-4</v>
      </c>
      <c r="S225" s="23">
        <f t="shared" si="13"/>
        <v>35557</v>
      </c>
      <c r="T225">
        <f t="shared" si="14"/>
        <v>20</v>
      </c>
      <c r="U225">
        <f t="shared" si="15"/>
        <v>41579.333333333336</v>
      </c>
    </row>
    <row r="226" spans="1:21" x14ac:dyDescent="0.3">
      <c r="A226" s="13" t="s">
        <v>449</v>
      </c>
      <c r="B226" s="14" t="s">
        <v>14</v>
      </c>
      <c r="C226" s="15">
        <v>45463</v>
      </c>
      <c r="D226" s="14" t="s">
        <v>45</v>
      </c>
      <c r="E226" s="14" t="s">
        <v>49</v>
      </c>
      <c r="F226" s="8">
        <v>4672</v>
      </c>
      <c r="G226" s="8">
        <v>325</v>
      </c>
      <c r="H226" s="8">
        <v>32</v>
      </c>
      <c r="I226" s="8">
        <v>88768</v>
      </c>
      <c r="J226" s="8">
        <v>87833</v>
      </c>
      <c r="K226" s="8">
        <v>118</v>
      </c>
      <c r="L226" s="14" t="s">
        <v>37</v>
      </c>
      <c r="M226" s="14"/>
      <c r="N226" s="8">
        <v>53484</v>
      </c>
      <c r="O226" s="8">
        <v>12307</v>
      </c>
      <c r="P226" s="8">
        <v>5.6557999999999993</v>
      </c>
      <c r="Q226" s="8">
        <v>1060357</v>
      </c>
      <c r="R226" s="8">
        <f t="shared" si="12"/>
        <v>4.517346516314788E-3</v>
      </c>
      <c r="S226" s="22">
        <f t="shared" si="13"/>
        <v>41177</v>
      </c>
      <c r="T226">
        <f t="shared" si="14"/>
        <v>25</v>
      </c>
      <c r="U226">
        <f t="shared" si="15"/>
        <v>45728.333333333336</v>
      </c>
    </row>
    <row r="227" spans="1:21" x14ac:dyDescent="0.3">
      <c r="A227" s="17" t="s">
        <v>450</v>
      </c>
      <c r="B227" s="18" t="s">
        <v>33</v>
      </c>
      <c r="C227" s="19">
        <v>45511</v>
      </c>
      <c r="D227" s="18" t="s">
        <v>45</v>
      </c>
      <c r="E227" s="18" t="s">
        <v>88</v>
      </c>
      <c r="F227" s="9">
        <v>1741</v>
      </c>
      <c r="G227" s="9">
        <v>164</v>
      </c>
      <c r="H227" s="9">
        <v>318</v>
      </c>
      <c r="I227" s="9">
        <v>8705</v>
      </c>
      <c r="J227" s="9">
        <v>8272</v>
      </c>
      <c r="K227" s="9">
        <v>121</v>
      </c>
      <c r="L227" s="18" t="s">
        <v>30</v>
      </c>
      <c r="M227" s="18"/>
      <c r="N227" s="9">
        <v>58311</v>
      </c>
      <c r="O227" s="9">
        <v>10307</v>
      </c>
      <c r="P227" s="9">
        <v>5.7155999999999993</v>
      </c>
      <c r="Q227" s="9">
        <v>1164373</v>
      </c>
      <c r="R227" s="9">
        <f t="shared" si="12"/>
        <v>1.5991439169407054E-3</v>
      </c>
      <c r="S227" s="23">
        <f t="shared" si="13"/>
        <v>48004</v>
      </c>
      <c r="T227">
        <f t="shared" si="14"/>
        <v>32</v>
      </c>
      <c r="U227">
        <f t="shared" si="15"/>
        <v>48004</v>
      </c>
    </row>
    <row r="228" spans="1:21" x14ac:dyDescent="0.3">
      <c r="A228" s="13" t="s">
        <v>452</v>
      </c>
      <c r="B228" s="14" t="s">
        <v>33</v>
      </c>
      <c r="C228" s="15">
        <v>45455</v>
      </c>
      <c r="D228" s="14" t="s">
        <v>22</v>
      </c>
      <c r="E228" s="14" t="s">
        <v>113</v>
      </c>
      <c r="F228" s="8">
        <v>246</v>
      </c>
      <c r="G228" s="8">
        <v>149</v>
      </c>
      <c r="H228" s="8">
        <v>130</v>
      </c>
      <c r="I228" s="8">
        <v>4674</v>
      </c>
      <c r="J228" s="8">
        <v>4390</v>
      </c>
      <c r="K228" s="8">
        <v>217</v>
      </c>
      <c r="L228" s="14" t="s">
        <v>62</v>
      </c>
      <c r="M228" s="14" t="s">
        <v>31</v>
      </c>
      <c r="N228" s="8">
        <v>58311</v>
      </c>
      <c r="O228" s="8">
        <v>10307</v>
      </c>
      <c r="P228" s="8">
        <v>5.7155999999999993</v>
      </c>
      <c r="Q228" s="8">
        <v>1164373</v>
      </c>
      <c r="R228" s="8">
        <f t="shared" si="12"/>
        <v>3.9763890093638378E-4</v>
      </c>
      <c r="S228" s="22">
        <f t="shared" si="13"/>
        <v>48004</v>
      </c>
      <c r="T228">
        <f t="shared" si="14"/>
        <v>24</v>
      </c>
      <c r="U228">
        <f t="shared" si="15"/>
        <v>48004</v>
      </c>
    </row>
    <row r="229" spans="1:21" x14ac:dyDescent="0.3">
      <c r="A229" s="17" t="s">
        <v>454</v>
      </c>
      <c r="B229" s="18" t="s">
        <v>33</v>
      </c>
      <c r="C229" s="19">
        <v>45474</v>
      </c>
      <c r="D229" s="18" t="s">
        <v>35</v>
      </c>
      <c r="E229" s="18" t="s">
        <v>36</v>
      </c>
      <c r="F229" s="9">
        <v>4808</v>
      </c>
      <c r="G229" s="9">
        <v>772</v>
      </c>
      <c r="H229" s="9">
        <v>320</v>
      </c>
      <c r="I229" s="9">
        <v>72120</v>
      </c>
      <c r="J229" s="9">
        <v>71696</v>
      </c>
      <c r="K229" s="9">
        <v>195</v>
      </c>
      <c r="L229" s="18" t="s">
        <v>37</v>
      </c>
      <c r="M229" s="18" t="s">
        <v>19</v>
      </c>
      <c r="N229" s="9">
        <v>58311</v>
      </c>
      <c r="O229" s="9">
        <v>10307</v>
      </c>
      <c r="P229" s="9">
        <v>5.7155999999999993</v>
      </c>
      <c r="Q229" s="9">
        <v>1164373</v>
      </c>
      <c r="R229" s="9">
        <f t="shared" si="12"/>
        <v>4.2967330915436889E-3</v>
      </c>
      <c r="S229" s="23">
        <f t="shared" si="13"/>
        <v>48004</v>
      </c>
      <c r="T229">
        <f t="shared" si="14"/>
        <v>27</v>
      </c>
      <c r="U229">
        <f t="shared" si="15"/>
        <v>43855</v>
      </c>
    </row>
    <row r="230" spans="1:21" x14ac:dyDescent="0.3">
      <c r="A230" s="13" t="s">
        <v>456</v>
      </c>
      <c r="B230" s="14" t="s">
        <v>33</v>
      </c>
      <c r="C230" s="15">
        <v>45476</v>
      </c>
      <c r="D230" s="14" t="s">
        <v>45</v>
      </c>
      <c r="E230" s="14" t="s">
        <v>88</v>
      </c>
      <c r="F230" s="8">
        <v>4799</v>
      </c>
      <c r="G230" s="8">
        <v>694</v>
      </c>
      <c r="H230" s="8">
        <v>289</v>
      </c>
      <c r="I230" s="8">
        <v>43191</v>
      </c>
      <c r="J230" s="8">
        <v>42228</v>
      </c>
      <c r="K230" s="8">
        <v>118</v>
      </c>
      <c r="L230" s="14" t="s">
        <v>30</v>
      </c>
      <c r="M230" s="14"/>
      <c r="N230" s="8">
        <v>58311</v>
      </c>
      <c r="O230" s="8">
        <v>10307</v>
      </c>
      <c r="P230" s="8">
        <v>5.7155999999999993</v>
      </c>
      <c r="Q230" s="8">
        <v>1164373</v>
      </c>
      <c r="R230" s="8">
        <f t="shared" si="12"/>
        <v>4.2228735980652252E-3</v>
      </c>
      <c r="S230" s="22">
        <f t="shared" si="13"/>
        <v>48004</v>
      </c>
      <c r="T230">
        <f t="shared" si="14"/>
        <v>27</v>
      </c>
      <c r="U230">
        <f t="shared" si="15"/>
        <v>43855</v>
      </c>
    </row>
    <row r="231" spans="1:21" x14ac:dyDescent="0.3">
      <c r="A231" s="17" t="s">
        <v>457</v>
      </c>
      <c r="B231" s="18" t="s">
        <v>43</v>
      </c>
      <c r="C231" s="19">
        <v>45488</v>
      </c>
      <c r="D231" s="18" t="s">
        <v>16</v>
      </c>
      <c r="E231" s="18" t="s">
        <v>65</v>
      </c>
      <c r="F231" s="9">
        <v>3663</v>
      </c>
      <c r="G231" s="9">
        <v>17</v>
      </c>
      <c r="H231" s="9">
        <v>295</v>
      </c>
      <c r="I231" s="9">
        <v>51282</v>
      </c>
      <c r="J231" s="9">
        <v>50567</v>
      </c>
      <c r="K231" s="9">
        <v>84</v>
      </c>
      <c r="L231" s="18" t="s">
        <v>37</v>
      </c>
      <c r="M231" s="18" t="s">
        <v>31</v>
      </c>
      <c r="N231" s="9">
        <v>50862</v>
      </c>
      <c r="O231" s="9">
        <v>15305</v>
      </c>
      <c r="P231" s="9">
        <v>5.6486000000000001</v>
      </c>
      <c r="Q231" s="9">
        <v>1379539</v>
      </c>
      <c r="R231" s="9">
        <f t="shared" si="12"/>
        <v>2.716124734422151E-3</v>
      </c>
      <c r="S231" s="23">
        <f t="shared" si="13"/>
        <v>35557</v>
      </c>
      <c r="T231">
        <f t="shared" si="14"/>
        <v>29</v>
      </c>
      <c r="U231">
        <f t="shared" si="15"/>
        <v>41579.333333333336</v>
      </c>
    </row>
    <row r="232" spans="1:21" x14ac:dyDescent="0.3">
      <c r="A232" s="13" t="s">
        <v>458</v>
      </c>
      <c r="B232" s="14" t="s">
        <v>33</v>
      </c>
      <c r="C232" s="15">
        <v>45778</v>
      </c>
      <c r="D232" s="14" t="s">
        <v>22</v>
      </c>
      <c r="E232" s="14" t="s">
        <v>113</v>
      </c>
      <c r="F232" s="8">
        <v>1430</v>
      </c>
      <c r="G232" s="8">
        <v>376</v>
      </c>
      <c r="H232" s="8">
        <v>33</v>
      </c>
      <c r="I232" s="8">
        <v>21450</v>
      </c>
      <c r="J232" s="8">
        <v>20509</v>
      </c>
      <c r="K232" s="8">
        <v>251</v>
      </c>
      <c r="L232" s="14" t="s">
        <v>62</v>
      </c>
      <c r="M232" s="14" t="s">
        <v>19</v>
      </c>
      <c r="N232" s="8">
        <v>58311</v>
      </c>
      <c r="O232" s="8">
        <v>10307</v>
      </c>
      <c r="P232" s="8">
        <v>5.7155999999999993</v>
      </c>
      <c r="Q232" s="8">
        <v>1164373</v>
      </c>
      <c r="R232" s="8">
        <f t="shared" si="12"/>
        <v>1.4436954481081234E-3</v>
      </c>
      <c r="S232" s="22">
        <f t="shared" si="13"/>
        <v>48004</v>
      </c>
      <c r="T232">
        <f t="shared" si="14"/>
        <v>18</v>
      </c>
      <c r="U232">
        <f t="shared" si="15"/>
        <v>41579.333333333336</v>
      </c>
    </row>
    <row r="233" spans="1:21" x14ac:dyDescent="0.3">
      <c r="A233" s="17" t="s">
        <v>459</v>
      </c>
      <c r="B233" s="18" t="s">
        <v>14</v>
      </c>
      <c r="C233" s="19">
        <v>45776</v>
      </c>
      <c r="D233" s="18" t="s">
        <v>35</v>
      </c>
      <c r="E233" s="18" t="s">
        <v>149</v>
      </c>
      <c r="F233" s="9">
        <v>249</v>
      </c>
      <c r="G233" s="9">
        <v>592</v>
      </c>
      <c r="H233" s="9">
        <v>230</v>
      </c>
      <c r="I233" s="9">
        <v>1494</v>
      </c>
      <c r="J233" s="9">
        <v>1044</v>
      </c>
      <c r="K233" s="9">
        <v>201</v>
      </c>
      <c r="L233" s="18" t="s">
        <v>37</v>
      </c>
      <c r="M233" s="18" t="s">
        <v>38</v>
      </c>
      <c r="N233" s="9">
        <v>53484</v>
      </c>
      <c r="O233" s="9">
        <v>12307</v>
      </c>
      <c r="P233" s="9">
        <v>5.6557999999999993</v>
      </c>
      <c r="Q233" s="9">
        <v>1060357</v>
      </c>
      <c r="R233" s="9">
        <f t="shared" si="12"/>
        <v>4.2438537209637888E-4</v>
      </c>
      <c r="S233" s="23">
        <f t="shared" si="13"/>
        <v>41177</v>
      </c>
      <c r="T233">
        <f t="shared" si="14"/>
        <v>18</v>
      </c>
      <c r="U233">
        <f t="shared" si="15"/>
        <v>37430.333333333336</v>
      </c>
    </row>
    <row r="234" spans="1:21" x14ac:dyDescent="0.3">
      <c r="A234" s="13" t="s">
        <v>461</v>
      </c>
      <c r="B234" s="14" t="s">
        <v>43</v>
      </c>
      <c r="C234" s="15">
        <v>45724</v>
      </c>
      <c r="D234" s="14" t="s">
        <v>52</v>
      </c>
      <c r="E234" s="14" t="s">
        <v>59</v>
      </c>
      <c r="F234" s="8">
        <v>2382</v>
      </c>
      <c r="G234" s="8">
        <v>265</v>
      </c>
      <c r="H234" s="8">
        <v>134</v>
      </c>
      <c r="I234" s="8">
        <v>38112</v>
      </c>
      <c r="J234" s="8">
        <v>37437</v>
      </c>
      <c r="K234" s="8">
        <v>249</v>
      </c>
      <c r="L234" s="14" t="s">
        <v>62</v>
      </c>
      <c r="M234" s="14" t="s">
        <v>38</v>
      </c>
      <c r="N234" s="8">
        <v>50862</v>
      </c>
      <c r="O234" s="8">
        <v>15305</v>
      </c>
      <c r="P234" s="8">
        <v>5.6486000000000001</v>
      </c>
      <c r="Q234" s="8">
        <v>1379539</v>
      </c>
      <c r="R234" s="8">
        <f t="shared" si="12"/>
        <v>1.9071588407431758E-3</v>
      </c>
      <c r="S234" s="22">
        <f t="shared" si="13"/>
        <v>35557</v>
      </c>
      <c r="T234">
        <f t="shared" si="14"/>
        <v>10</v>
      </c>
      <c r="U234">
        <f t="shared" si="15"/>
        <v>35557</v>
      </c>
    </row>
    <row r="235" spans="1:21" x14ac:dyDescent="0.3">
      <c r="A235" s="17" t="s">
        <v>462</v>
      </c>
      <c r="B235" s="18" t="s">
        <v>43</v>
      </c>
      <c r="C235" s="19">
        <v>45444</v>
      </c>
      <c r="D235" s="18" t="s">
        <v>22</v>
      </c>
      <c r="E235" s="18" t="s">
        <v>56</v>
      </c>
      <c r="F235" s="9">
        <v>1272</v>
      </c>
      <c r="G235" s="9">
        <v>465</v>
      </c>
      <c r="H235" s="9">
        <v>99</v>
      </c>
      <c r="I235" s="9">
        <v>24168</v>
      </c>
      <c r="J235" s="9">
        <v>23719</v>
      </c>
      <c r="K235" s="9">
        <v>42</v>
      </c>
      <c r="L235" s="18" t="s">
        <v>30</v>
      </c>
      <c r="M235" s="18"/>
      <c r="N235" s="9">
        <v>50862</v>
      </c>
      <c r="O235" s="9">
        <v>15305</v>
      </c>
      <c r="P235" s="9">
        <v>5.6486000000000001</v>
      </c>
      <c r="Q235" s="9">
        <v>1379539</v>
      </c>
      <c r="R235" s="9">
        <f t="shared" si="12"/>
        <v>9.5249210062201938E-4</v>
      </c>
      <c r="S235" s="23">
        <f t="shared" si="13"/>
        <v>35557</v>
      </c>
      <c r="T235">
        <f t="shared" si="14"/>
        <v>22</v>
      </c>
      <c r="U235">
        <f t="shared" si="15"/>
        <v>35557</v>
      </c>
    </row>
    <row r="236" spans="1:21" x14ac:dyDescent="0.3">
      <c r="A236" s="13" t="s">
        <v>464</v>
      </c>
      <c r="B236" s="14" t="s">
        <v>43</v>
      </c>
      <c r="C236" s="15">
        <v>45648</v>
      </c>
      <c r="D236" s="14" t="s">
        <v>52</v>
      </c>
      <c r="E236" s="14" t="s">
        <v>59</v>
      </c>
      <c r="F236" s="8">
        <v>3196</v>
      </c>
      <c r="G236" s="8">
        <v>941</v>
      </c>
      <c r="H236" s="8">
        <v>376</v>
      </c>
      <c r="I236" s="8">
        <v>35156</v>
      </c>
      <c r="J236" s="8">
        <v>34444</v>
      </c>
      <c r="K236" s="8">
        <v>241</v>
      </c>
      <c r="L236" s="14" t="s">
        <v>30</v>
      </c>
      <c r="M236" s="14" t="s">
        <v>31</v>
      </c>
      <c r="N236" s="8">
        <v>50862</v>
      </c>
      <c r="O236" s="8">
        <v>15305</v>
      </c>
      <c r="P236" s="8">
        <v>5.6486000000000001</v>
      </c>
      <c r="Q236" s="8">
        <v>1379539</v>
      </c>
      <c r="R236" s="8">
        <f t="shared" si="12"/>
        <v>2.4914119861779915E-3</v>
      </c>
      <c r="S236" s="22">
        <f t="shared" si="13"/>
        <v>35557</v>
      </c>
      <c r="T236">
        <f t="shared" si="14"/>
        <v>52</v>
      </c>
      <c r="U236">
        <f t="shared" si="15"/>
        <v>39706</v>
      </c>
    </row>
    <row r="237" spans="1:21" x14ac:dyDescent="0.3">
      <c r="A237" s="17" t="s">
        <v>465</v>
      </c>
      <c r="B237" s="18" t="s">
        <v>43</v>
      </c>
      <c r="C237" s="19">
        <v>45523</v>
      </c>
      <c r="D237" s="18" t="s">
        <v>22</v>
      </c>
      <c r="E237" s="18" t="s">
        <v>56</v>
      </c>
      <c r="F237" s="9">
        <v>1257</v>
      </c>
      <c r="G237" s="9">
        <v>19</v>
      </c>
      <c r="H237" s="9">
        <v>351</v>
      </c>
      <c r="I237" s="9">
        <v>12570</v>
      </c>
      <c r="J237" s="9">
        <v>11660</v>
      </c>
      <c r="K237" s="9">
        <v>194</v>
      </c>
      <c r="L237" s="18" t="s">
        <v>62</v>
      </c>
      <c r="M237" s="18" t="s">
        <v>25</v>
      </c>
      <c r="N237" s="9">
        <v>50862</v>
      </c>
      <c r="O237" s="9">
        <v>15305</v>
      </c>
      <c r="P237" s="9">
        <v>5.6486000000000001</v>
      </c>
      <c r="Q237" s="9">
        <v>1379539</v>
      </c>
      <c r="R237" s="9">
        <f t="shared" si="12"/>
        <v>1.0518006377492771E-3</v>
      </c>
      <c r="S237" s="23">
        <f t="shared" si="13"/>
        <v>35557</v>
      </c>
      <c r="T237">
        <f t="shared" si="14"/>
        <v>34</v>
      </c>
      <c r="U237">
        <f t="shared" si="15"/>
        <v>41579.333333333336</v>
      </c>
    </row>
    <row r="238" spans="1:21" x14ac:dyDescent="0.3">
      <c r="A238" s="13" t="s">
        <v>467</v>
      </c>
      <c r="B238" s="14" t="s">
        <v>33</v>
      </c>
      <c r="C238" s="15">
        <v>45587</v>
      </c>
      <c r="D238" s="14" t="s">
        <v>35</v>
      </c>
      <c r="E238" s="14" t="s">
        <v>36</v>
      </c>
      <c r="F238" s="8">
        <v>3770</v>
      </c>
      <c r="G238" s="8">
        <v>917</v>
      </c>
      <c r="H238" s="8">
        <v>129</v>
      </c>
      <c r="I238" s="8">
        <v>71630</v>
      </c>
      <c r="J238" s="8">
        <v>71322</v>
      </c>
      <c r="K238" s="8">
        <v>76</v>
      </c>
      <c r="L238" s="14" t="s">
        <v>62</v>
      </c>
      <c r="M238" s="14" t="s">
        <v>19</v>
      </c>
      <c r="N238" s="8">
        <v>58311</v>
      </c>
      <c r="O238" s="8">
        <v>10307</v>
      </c>
      <c r="P238" s="8">
        <v>5.7155999999999993</v>
      </c>
      <c r="Q238" s="8">
        <v>1164373</v>
      </c>
      <c r="R238" s="8">
        <f t="shared" si="12"/>
        <v>3.3030652548624883E-3</v>
      </c>
      <c r="S238" s="22">
        <f t="shared" si="13"/>
        <v>48004</v>
      </c>
      <c r="T238">
        <f t="shared" si="14"/>
        <v>43</v>
      </c>
      <c r="U238">
        <f t="shared" si="15"/>
        <v>41516</v>
      </c>
    </row>
    <row r="239" spans="1:21" x14ac:dyDescent="0.3">
      <c r="A239" s="17" t="s">
        <v>468</v>
      </c>
      <c r="B239" s="18" t="s">
        <v>14</v>
      </c>
      <c r="C239" s="19">
        <v>45489</v>
      </c>
      <c r="D239" s="18" t="s">
        <v>22</v>
      </c>
      <c r="E239" s="18" t="s">
        <v>23</v>
      </c>
      <c r="F239" s="9">
        <v>4725</v>
      </c>
      <c r="G239" s="9">
        <v>400</v>
      </c>
      <c r="H239" s="9">
        <v>362</v>
      </c>
      <c r="I239" s="9">
        <v>75600</v>
      </c>
      <c r="J239" s="9">
        <v>74927</v>
      </c>
      <c r="K239" s="9">
        <v>43</v>
      </c>
      <c r="L239" s="18" t="s">
        <v>62</v>
      </c>
      <c r="M239" s="18" t="s">
        <v>38</v>
      </c>
      <c r="N239" s="9">
        <v>53484</v>
      </c>
      <c r="O239" s="9">
        <v>12307</v>
      </c>
      <c r="P239" s="9">
        <v>5.6557999999999993</v>
      </c>
      <c r="Q239" s="9">
        <v>1060357</v>
      </c>
      <c r="R239" s="9">
        <f t="shared" si="12"/>
        <v>4.4965987870122983E-3</v>
      </c>
      <c r="S239" s="23">
        <f t="shared" si="13"/>
        <v>41177</v>
      </c>
      <c r="T239">
        <f t="shared" si="14"/>
        <v>29</v>
      </c>
      <c r="U239">
        <f t="shared" si="15"/>
        <v>39240.333333333336</v>
      </c>
    </row>
    <row r="240" spans="1:21" x14ac:dyDescent="0.3">
      <c r="A240" s="13" t="s">
        <v>470</v>
      </c>
      <c r="B240" s="14" t="s">
        <v>27</v>
      </c>
      <c r="C240" s="15">
        <v>45712</v>
      </c>
      <c r="D240" s="14" t="s">
        <v>22</v>
      </c>
      <c r="E240" s="14" t="s">
        <v>104</v>
      </c>
      <c r="F240" s="8">
        <v>4188</v>
      </c>
      <c r="G240" s="8">
        <v>942</v>
      </c>
      <c r="H240" s="8">
        <v>118</v>
      </c>
      <c r="I240" s="8">
        <v>20940</v>
      </c>
      <c r="J240" s="8">
        <v>20471</v>
      </c>
      <c r="K240" s="8">
        <v>102</v>
      </c>
      <c r="L240" s="14" t="s">
        <v>62</v>
      </c>
      <c r="M240" s="14"/>
      <c r="N240" s="8">
        <v>47471</v>
      </c>
      <c r="O240" s="8">
        <v>12104</v>
      </c>
      <c r="P240" s="8">
        <v>5.5587999999999997</v>
      </c>
      <c r="Q240" s="8">
        <v>1228647</v>
      </c>
      <c r="R240" s="8">
        <f t="shared" si="12"/>
        <v>3.4916456883059169E-3</v>
      </c>
      <c r="S240" s="22">
        <f t="shared" si="13"/>
        <v>35367</v>
      </c>
      <c r="T240">
        <f t="shared" si="14"/>
        <v>9</v>
      </c>
      <c r="U240">
        <f t="shared" si="15"/>
        <v>37367</v>
      </c>
    </row>
    <row r="241" spans="1:21" x14ac:dyDescent="0.3">
      <c r="A241" s="17" t="s">
        <v>471</v>
      </c>
      <c r="B241" s="18" t="s">
        <v>14</v>
      </c>
      <c r="C241" s="19">
        <v>45530</v>
      </c>
      <c r="D241" s="18" t="s">
        <v>45</v>
      </c>
      <c r="E241" s="18" t="s">
        <v>49</v>
      </c>
      <c r="F241" s="9">
        <v>929</v>
      </c>
      <c r="G241" s="9">
        <v>192</v>
      </c>
      <c r="H241" s="9">
        <v>322</v>
      </c>
      <c r="I241" s="9">
        <v>16722</v>
      </c>
      <c r="J241" s="9">
        <v>15996</v>
      </c>
      <c r="K241" s="9">
        <v>145</v>
      </c>
      <c r="L241" s="18" t="s">
        <v>37</v>
      </c>
      <c r="M241" s="18" t="s">
        <v>31</v>
      </c>
      <c r="N241" s="9">
        <v>53484</v>
      </c>
      <c r="O241" s="9">
        <v>12307</v>
      </c>
      <c r="P241" s="9">
        <v>5.6557999999999993</v>
      </c>
      <c r="Q241" s="9">
        <v>1060357</v>
      </c>
      <c r="R241" s="9">
        <f t="shared" si="12"/>
        <v>1.0128664214033576E-3</v>
      </c>
      <c r="S241" s="23">
        <f t="shared" si="13"/>
        <v>41177</v>
      </c>
      <c r="T241">
        <f t="shared" si="14"/>
        <v>35</v>
      </c>
      <c r="U241">
        <f t="shared" si="15"/>
        <v>37430.333333333336</v>
      </c>
    </row>
    <row r="242" spans="1:21" x14ac:dyDescent="0.3">
      <c r="A242" s="13" t="s">
        <v>472</v>
      </c>
      <c r="B242" s="14" t="s">
        <v>43</v>
      </c>
      <c r="C242" s="15">
        <v>45675</v>
      </c>
      <c r="D242" s="14" t="s">
        <v>35</v>
      </c>
      <c r="E242" s="14" t="s">
        <v>71</v>
      </c>
      <c r="F242" s="8">
        <v>4321</v>
      </c>
      <c r="G242" s="8">
        <v>874</v>
      </c>
      <c r="H242" s="8">
        <v>172</v>
      </c>
      <c r="I242" s="8">
        <v>30247</v>
      </c>
      <c r="J242" s="8">
        <v>29254</v>
      </c>
      <c r="K242" s="8">
        <v>122</v>
      </c>
      <c r="L242" s="14" t="s">
        <v>30</v>
      </c>
      <c r="M242" s="14" t="s">
        <v>38</v>
      </c>
      <c r="N242" s="8">
        <v>50862</v>
      </c>
      <c r="O242" s="8">
        <v>15305</v>
      </c>
      <c r="P242" s="8">
        <v>5.6486000000000001</v>
      </c>
      <c r="Q242" s="8">
        <v>1379539</v>
      </c>
      <c r="R242" s="8">
        <f t="shared" si="12"/>
        <v>3.2206410982219421E-3</v>
      </c>
      <c r="S242" s="22">
        <f t="shared" si="13"/>
        <v>35557</v>
      </c>
      <c r="T242">
        <f t="shared" si="14"/>
        <v>3</v>
      </c>
      <c r="U242">
        <f t="shared" si="15"/>
        <v>37430.333333333336</v>
      </c>
    </row>
    <row r="243" spans="1:21" x14ac:dyDescent="0.3">
      <c r="A243" s="17" t="s">
        <v>474</v>
      </c>
      <c r="B243" s="18" t="s">
        <v>43</v>
      </c>
      <c r="C243" s="19">
        <v>45480</v>
      </c>
      <c r="D243" s="18" t="s">
        <v>16</v>
      </c>
      <c r="E243" s="18" t="s">
        <v>65</v>
      </c>
      <c r="F243" s="9">
        <v>4767</v>
      </c>
      <c r="G243" s="9">
        <v>190</v>
      </c>
      <c r="H243" s="9">
        <v>340</v>
      </c>
      <c r="I243" s="9">
        <v>28602</v>
      </c>
      <c r="J243" s="9">
        <v>28044</v>
      </c>
      <c r="K243" s="9">
        <v>210</v>
      </c>
      <c r="L243" s="18" t="s">
        <v>37</v>
      </c>
      <c r="M243" s="18" t="s">
        <v>31</v>
      </c>
      <c r="N243" s="9">
        <v>50862</v>
      </c>
      <c r="O243" s="9">
        <v>15305</v>
      </c>
      <c r="P243" s="9">
        <v>5.6486000000000001</v>
      </c>
      <c r="Q243" s="9">
        <v>1379539</v>
      </c>
      <c r="R243" s="9">
        <f t="shared" si="12"/>
        <v>3.6077269290683339E-3</v>
      </c>
      <c r="S243" s="23">
        <f t="shared" si="13"/>
        <v>35557</v>
      </c>
      <c r="T243">
        <f t="shared" si="14"/>
        <v>28</v>
      </c>
      <c r="U243">
        <f t="shared" si="15"/>
        <v>37367</v>
      </c>
    </row>
    <row r="244" spans="1:21" x14ac:dyDescent="0.3">
      <c r="A244" s="13" t="s">
        <v>475</v>
      </c>
      <c r="B244" s="14" t="s">
        <v>14</v>
      </c>
      <c r="C244" s="15">
        <v>45722</v>
      </c>
      <c r="D244" s="14" t="s">
        <v>52</v>
      </c>
      <c r="E244" s="14" t="s">
        <v>132</v>
      </c>
      <c r="F244" s="8">
        <v>3592</v>
      </c>
      <c r="G244" s="8">
        <v>911</v>
      </c>
      <c r="H244" s="8">
        <v>375</v>
      </c>
      <c r="I244" s="8">
        <v>50288</v>
      </c>
      <c r="J244" s="8">
        <v>49490</v>
      </c>
      <c r="K244" s="8">
        <v>32</v>
      </c>
      <c r="L244" s="14" t="s">
        <v>62</v>
      </c>
      <c r="M244" s="14" t="s">
        <v>38</v>
      </c>
      <c r="N244" s="8">
        <v>53484</v>
      </c>
      <c r="O244" s="8">
        <v>12307</v>
      </c>
      <c r="P244" s="8">
        <v>5.6557999999999993</v>
      </c>
      <c r="Q244" s="8">
        <v>1060357</v>
      </c>
      <c r="R244" s="8">
        <f t="shared" si="12"/>
        <v>3.4177168632828379E-3</v>
      </c>
      <c r="S244" s="22">
        <f t="shared" si="13"/>
        <v>41177</v>
      </c>
      <c r="T244">
        <f t="shared" si="14"/>
        <v>10</v>
      </c>
      <c r="U244">
        <f t="shared" si="15"/>
        <v>37367</v>
      </c>
    </row>
    <row r="245" spans="1:21" x14ac:dyDescent="0.3">
      <c r="A245" s="17" t="s">
        <v>477</v>
      </c>
      <c r="B245" s="18" t="s">
        <v>27</v>
      </c>
      <c r="C245" s="19">
        <v>45590</v>
      </c>
      <c r="D245" s="18" t="s">
        <v>74</v>
      </c>
      <c r="E245" s="18" t="s">
        <v>219</v>
      </c>
      <c r="F245" s="9">
        <v>4661</v>
      </c>
      <c r="G245" s="9">
        <v>935</v>
      </c>
      <c r="H245" s="9">
        <v>433</v>
      </c>
      <c r="I245" s="9">
        <v>23305</v>
      </c>
      <c r="J245" s="9">
        <v>22583</v>
      </c>
      <c r="K245" s="9">
        <v>63</v>
      </c>
      <c r="L245" s="18" t="s">
        <v>62</v>
      </c>
      <c r="M245" s="18" t="s">
        <v>31</v>
      </c>
      <c r="N245" s="9">
        <v>47471</v>
      </c>
      <c r="O245" s="9">
        <v>12104</v>
      </c>
      <c r="P245" s="9">
        <v>5.5587999999999997</v>
      </c>
      <c r="Q245" s="9">
        <v>1228647</v>
      </c>
      <c r="R245" s="9">
        <f t="shared" si="12"/>
        <v>3.8448797742557462E-3</v>
      </c>
      <c r="S245" s="23">
        <f t="shared" si="13"/>
        <v>35367</v>
      </c>
      <c r="T245">
        <f t="shared" si="14"/>
        <v>43</v>
      </c>
      <c r="U245">
        <f t="shared" si="15"/>
        <v>35493.666666666664</v>
      </c>
    </row>
    <row r="246" spans="1:21" x14ac:dyDescent="0.3">
      <c r="A246" s="13" t="s">
        <v>479</v>
      </c>
      <c r="B246" s="14" t="s">
        <v>43</v>
      </c>
      <c r="C246" s="15">
        <v>45669</v>
      </c>
      <c r="D246" s="14" t="s">
        <v>16</v>
      </c>
      <c r="E246" s="14" t="s">
        <v>65</v>
      </c>
      <c r="F246" s="8">
        <v>4134</v>
      </c>
      <c r="G246" s="8">
        <v>824</v>
      </c>
      <c r="H246" s="8">
        <v>99</v>
      </c>
      <c r="I246" s="8">
        <v>41340</v>
      </c>
      <c r="J246" s="8">
        <v>41050</v>
      </c>
      <c r="K246" s="8">
        <v>177</v>
      </c>
      <c r="L246" s="14" t="s">
        <v>37</v>
      </c>
      <c r="M246" s="14" t="s">
        <v>19</v>
      </c>
      <c r="N246" s="8">
        <v>50862</v>
      </c>
      <c r="O246" s="8">
        <v>15305</v>
      </c>
      <c r="P246" s="8">
        <v>5.6486000000000001</v>
      </c>
      <c r="Q246" s="8">
        <v>1379539</v>
      </c>
      <c r="R246" s="8">
        <f t="shared" si="12"/>
        <v>3.1249569602599127E-3</v>
      </c>
      <c r="S246" s="22">
        <f t="shared" si="13"/>
        <v>35557</v>
      </c>
      <c r="T246">
        <f t="shared" si="14"/>
        <v>3</v>
      </c>
      <c r="U246">
        <f t="shared" si="15"/>
        <v>35557</v>
      </c>
    </row>
    <row r="247" spans="1:21" x14ac:dyDescent="0.3">
      <c r="A247" s="17" t="s">
        <v>481</v>
      </c>
      <c r="B247" s="18" t="s">
        <v>43</v>
      </c>
      <c r="C247" s="19">
        <v>45576</v>
      </c>
      <c r="D247" s="18" t="s">
        <v>52</v>
      </c>
      <c r="E247" s="18" t="s">
        <v>59</v>
      </c>
      <c r="F247" s="9">
        <v>400</v>
      </c>
      <c r="G247" s="9">
        <v>680</v>
      </c>
      <c r="H247" s="9">
        <v>434</v>
      </c>
      <c r="I247" s="9">
        <v>6400</v>
      </c>
      <c r="J247" s="9">
        <v>5472</v>
      </c>
      <c r="K247" s="9">
        <v>160</v>
      </c>
      <c r="L247" s="18" t="s">
        <v>62</v>
      </c>
      <c r="M247" s="18" t="s">
        <v>25</v>
      </c>
      <c r="N247" s="9">
        <v>50862</v>
      </c>
      <c r="O247" s="9">
        <v>15305</v>
      </c>
      <c r="P247" s="9">
        <v>5.6486000000000001</v>
      </c>
      <c r="Q247" s="9">
        <v>1379539</v>
      </c>
      <c r="R247" s="9">
        <f t="shared" si="12"/>
        <v>4.0593270650557905E-4</v>
      </c>
      <c r="S247" s="23">
        <f t="shared" si="13"/>
        <v>35557</v>
      </c>
      <c r="T247">
        <f t="shared" si="14"/>
        <v>41</v>
      </c>
      <c r="U247">
        <f t="shared" si="15"/>
        <v>35557</v>
      </c>
    </row>
    <row r="248" spans="1:21" x14ac:dyDescent="0.3">
      <c r="A248" s="13" t="s">
        <v>483</v>
      </c>
      <c r="B248" s="14" t="s">
        <v>43</v>
      </c>
      <c r="C248" s="15">
        <v>45531</v>
      </c>
      <c r="D248" s="14" t="s">
        <v>16</v>
      </c>
      <c r="E248" s="14" t="s">
        <v>65</v>
      </c>
      <c r="F248" s="8">
        <v>3960</v>
      </c>
      <c r="G248" s="8">
        <v>266</v>
      </c>
      <c r="H248" s="8">
        <v>8</v>
      </c>
      <c r="I248" s="8">
        <v>35640</v>
      </c>
      <c r="J248" s="8">
        <v>34850</v>
      </c>
      <c r="K248" s="8">
        <v>208</v>
      </c>
      <c r="L248" s="14" t="s">
        <v>62</v>
      </c>
      <c r="M248" s="14"/>
      <c r="N248" s="8">
        <v>50862</v>
      </c>
      <c r="O248" s="8">
        <v>15305</v>
      </c>
      <c r="P248" s="8">
        <v>5.6486000000000001</v>
      </c>
      <c r="Q248" s="8">
        <v>1379539</v>
      </c>
      <c r="R248" s="8">
        <f t="shared" si="12"/>
        <v>3.0212991441343809E-3</v>
      </c>
      <c r="S248" s="22">
        <f t="shared" si="13"/>
        <v>35557</v>
      </c>
      <c r="T248">
        <f t="shared" si="14"/>
        <v>35</v>
      </c>
      <c r="U248">
        <f t="shared" si="15"/>
        <v>37430.333333333336</v>
      </c>
    </row>
    <row r="249" spans="1:21" x14ac:dyDescent="0.3">
      <c r="A249" s="17" t="s">
        <v>486</v>
      </c>
      <c r="B249" s="18" t="s">
        <v>43</v>
      </c>
      <c r="C249" s="19">
        <v>45690</v>
      </c>
      <c r="D249" s="18" t="s">
        <v>35</v>
      </c>
      <c r="E249" s="18" t="s">
        <v>71</v>
      </c>
      <c r="F249" s="9">
        <v>886</v>
      </c>
      <c r="G249" s="9">
        <v>126</v>
      </c>
      <c r="H249" s="9">
        <v>153</v>
      </c>
      <c r="I249" s="9">
        <v>4430</v>
      </c>
      <c r="J249" s="9">
        <v>4037</v>
      </c>
      <c r="K249" s="9">
        <v>212</v>
      </c>
      <c r="L249" s="18" t="s">
        <v>37</v>
      </c>
      <c r="M249" s="18"/>
      <c r="N249" s="9">
        <v>50862</v>
      </c>
      <c r="O249" s="9">
        <v>15305</v>
      </c>
      <c r="P249" s="9">
        <v>5.6486000000000001</v>
      </c>
      <c r="Q249" s="9">
        <v>1379539</v>
      </c>
      <c r="R249" s="9">
        <f t="shared" si="12"/>
        <v>7.959180566841532E-4</v>
      </c>
      <c r="S249" s="23">
        <f t="shared" si="13"/>
        <v>35557</v>
      </c>
      <c r="T249">
        <f t="shared" si="14"/>
        <v>6</v>
      </c>
      <c r="U249">
        <f t="shared" si="15"/>
        <v>37430.333333333336</v>
      </c>
    </row>
    <row r="250" spans="1:21" x14ac:dyDescent="0.3">
      <c r="A250" s="13" t="s">
        <v>487</v>
      </c>
      <c r="B250" s="14" t="s">
        <v>14</v>
      </c>
      <c r="C250" s="15">
        <v>45491</v>
      </c>
      <c r="D250" s="14" t="s">
        <v>52</v>
      </c>
      <c r="E250" s="14" t="s">
        <v>132</v>
      </c>
      <c r="F250" s="8">
        <v>827</v>
      </c>
      <c r="G250" s="8">
        <v>77</v>
      </c>
      <c r="H250" s="8">
        <v>402</v>
      </c>
      <c r="I250" s="8">
        <v>14886</v>
      </c>
      <c r="J250" s="8">
        <v>14129</v>
      </c>
      <c r="K250" s="8">
        <v>254</v>
      </c>
      <c r="L250" s="14" t="s">
        <v>37</v>
      </c>
      <c r="M250" s="14" t="s">
        <v>25</v>
      </c>
      <c r="N250" s="8">
        <v>53484</v>
      </c>
      <c r="O250" s="8">
        <v>12307</v>
      </c>
      <c r="P250" s="8">
        <v>5.6557999999999993</v>
      </c>
      <c r="Q250" s="8">
        <v>1060357</v>
      </c>
      <c r="R250" s="8">
        <f t="shared" si="12"/>
        <v>1.0194679716359679E-3</v>
      </c>
      <c r="S250" s="22">
        <f t="shared" si="13"/>
        <v>41177</v>
      </c>
      <c r="T250">
        <f t="shared" si="14"/>
        <v>29</v>
      </c>
      <c r="U250">
        <f t="shared" si="15"/>
        <v>41579.333333333336</v>
      </c>
    </row>
    <row r="251" spans="1:21" x14ac:dyDescent="0.3">
      <c r="A251" s="17" t="s">
        <v>488</v>
      </c>
      <c r="B251" s="18" t="s">
        <v>43</v>
      </c>
      <c r="C251" s="19">
        <v>45465</v>
      </c>
      <c r="D251" s="18" t="s">
        <v>16</v>
      </c>
      <c r="E251" s="18" t="s">
        <v>65</v>
      </c>
      <c r="F251" s="9">
        <v>3813</v>
      </c>
      <c r="G251" s="9">
        <v>935</v>
      </c>
      <c r="H251" s="9">
        <v>274</v>
      </c>
      <c r="I251" s="9">
        <v>68634</v>
      </c>
      <c r="J251" s="9">
        <v>68488</v>
      </c>
      <c r="K251" s="9">
        <v>251</v>
      </c>
      <c r="L251" s="18" t="s">
        <v>62</v>
      </c>
      <c r="M251" s="18"/>
      <c r="N251" s="9">
        <v>50862</v>
      </c>
      <c r="O251" s="9">
        <v>15305</v>
      </c>
      <c r="P251" s="9">
        <v>5.6486000000000001</v>
      </c>
      <c r="Q251" s="9">
        <v>1379539</v>
      </c>
      <c r="R251" s="9">
        <f t="shared" si="12"/>
        <v>2.9459116414976309E-3</v>
      </c>
      <c r="S251" s="23">
        <f t="shared" si="13"/>
        <v>35557</v>
      </c>
      <c r="T251">
        <f t="shared" si="14"/>
        <v>25</v>
      </c>
      <c r="U251">
        <f t="shared" si="15"/>
        <v>39706</v>
      </c>
    </row>
    <row r="252" spans="1:21" x14ac:dyDescent="0.3">
      <c r="A252" s="13" t="s">
        <v>489</v>
      </c>
      <c r="B252" s="14" t="s">
        <v>33</v>
      </c>
      <c r="C252" s="15">
        <v>45743</v>
      </c>
      <c r="D252" s="14" t="s">
        <v>45</v>
      </c>
      <c r="E252" s="14" t="s">
        <v>88</v>
      </c>
      <c r="F252" s="8">
        <v>1377</v>
      </c>
      <c r="G252" s="8">
        <v>796</v>
      </c>
      <c r="H252" s="8">
        <v>387</v>
      </c>
      <c r="I252" s="8">
        <v>22032</v>
      </c>
      <c r="J252" s="8">
        <v>21869</v>
      </c>
      <c r="K252" s="8">
        <v>189</v>
      </c>
      <c r="L252" s="14" t="s">
        <v>62</v>
      </c>
      <c r="M252" s="14"/>
      <c r="N252" s="8">
        <v>58311</v>
      </c>
      <c r="O252" s="8">
        <v>10307</v>
      </c>
      <c r="P252" s="8">
        <v>5.7155999999999993</v>
      </c>
      <c r="Q252" s="8">
        <v>1164373</v>
      </c>
      <c r="R252" s="8">
        <f t="shared" si="12"/>
        <v>1.3449298463636653E-3</v>
      </c>
      <c r="S252" s="22">
        <f t="shared" si="13"/>
        <v>48004</v>
      </c>
      <c r="T252">
        <f t="shared" si="14"/>
        <v>13</v>
      </c>
      <c r="U252">
        <f t="shared" si="15"/>
        <v>41579.333333333336</v>
      </c>
    </row>
    <row r="253" spans="1:21" x14ac:dyDescent="0.3">
      <c r="A253" s="17" t="s">
        <v>491</v>
      </c>
      <c r="B253" s="18" t="s">
        <v>43</v>
      </c>
      <c r="C253" s="19">
        <v>45775</v>
      </c>
      <c r="D253" s="18" t="s">
        <v>45</v>
      </c>
      <c r="E253" s="18" t="s">
        <v>46</v>
      </c>
      <c r="F253" s="9">
        <v>2089</v>
      </c>
      <c r="G253" s="9">
        <v>476</v>
      </c>
      <c r="H253" s="9">
        <v>69</v>
      </c>
      <c r="I253" s="9">
        <v>16712</v>
      </c>
      <c r="J253" s="9">
        <v>16309</v>
      </c>
      <c r="K253" s="9">
        <v>64</v>
      </c>
      <c r="L253" s="18" t="s">
        <v>62</v>
      </c>
      <c r="M253" s="18" t="s">
        <v>31</v>
      </c>
      <c r="N253" s="9">
        <v>50862</v>
      </c>
      <c r="O253" s="9">
        <v>15305</v>
      </c>
      <c r="P253" s="9">
        <v>5.6486000000000001</v>
      </c>
      <c r="Q253" s="9">
        <v>1379539</v>
      </c>
      <c r="R253" s="9">
        <f t="shared" si="12"/>
        <v>1.5606662805473424E-3</v>
      </c>
      <c r="S253" s="23">
        <f t="shared" si="13"/>
        <v>35557</v>
      </c>
      <c r="T253">
        <f t="shared" si="14"/>
        <v>18</v>
      </c>
      <c r="U253">
        <f t="shared" si="15"/>
        <v>39303.666666666664</v>
      </c>
    </row>
    <row r="254" spans="1:21" x14ac:dyDescent="0.3">
      <c r="A254" s="13" t="s">
        <v>492</v>
      </c>
      <c r="B254" s="14" t="s">
        <v>14</v>
      </c>
      <c r="C254" s="15">
        <v>45507</v>
      </c>
      <c r="D254" s="14" t="s">
        <v>16</v>
      </c>
      <c r="E254" s="14" t="s">
        <v>17</v>
      </c>
      <c r="F254" s="8">
        <v>3791</v>
      </c>
      <c r="G254" s="8">
        <v>593</v>
      </c>
      <c r="H254" s="8">
        <v>228</v>
      </c>
      <c r="I254" s="8">
        <v>53074</v>
      </c>
      <c r="J254" s="8">
        <v>52613</v>
      </c>
      <c r="K254" s="8">
        <v>205</v>
      </c>
      <c r="L254" s="14" t="s">
        <v>37</v>
      </c>
      <c r="M254" s="14"/>
      <c r="N254" s="8">
        <v>53484</v>
      </c>
      <c r="O254" s="8">
        <v>12307</v>
      </c>
      <c r="P254" s="8">
        <v>5.6557999999999993</v>
      </c>
      <c r="Q254" s="8">
        <v>1060357</v>
      </c>
      <c r="R254" s="8">
        <f t="shared" si="12"/>
        <v>3.7685421042158444E-3</v>
      </c>
      <c r="S254" s="22">
        <f t="shared" si="13"/>
        <v>41177</v>
      </c>
      <c r="T254">
        <f t="shared" si="14"/>
        <v>31</v>
      </c>
      <c r="U254">
        <f t="shared" si="15"/>
        <v>39303.666666666664</v>
      </c>
    </row>
    <row r="255" spans="1:21" x14ac:dyDescent="0.3">
      <c r="A255" s="17" t="s">
        <v>494</v>
      </c>
      <c r="B255" s="18" t="s">
        <v>14</v>
      </c>
      <c r="C255" s="19">
        <v>45671</v>
      </c>
      <c r="D255" s="18" t="s">
        <v>52</v>
      </c>
      <c r="E255" s="18" t="s">
        <v>132</v>
      </c>
      <c r="F255" s="9">
        <v>2692</v>
      </c>
      <c r="G255" s="9">
        <v>115</v>
      </c>
      <c r="H255" s="9">
        <v>64</v>
      </c>
      <c r="I255" s="9">
        <v>21536</v>
      </c>
      <c r="J255" s="9">
        <v>21120</v>
      </c>
      <c r="K255" s="9">
        <v>224</v>
      </c>
      <c r="L255" s="18" t="s">
        <v>62</v>
      </c>
      <c r="M255" s="18" t="s">
        <v>25</v>
      </c>
      <c r="N255" s="9">
        <v>53484</v>
      </c>
      <c r="O255" s="9">
        <v>12307</v>
      </c>
      <c r="P255" s="9">
        <v>5.6557999999999993</v>
      </c>
      <c r="Q255" s="9">
        <v>1060357</v>
      </c>
      <c r="R255" s="9">
        <f t="shared" si="12"/>
        <v>2.7500172111845351E-3</v>
      </c>
      <c r="S255" s="23">
        <f t="shared" si="13"/>
        <v>41177</v>
      </c>
      <c r="T255">
        <f t="shared" si="14"/>
        <v>3</v>
      </c>
      <c r="U255">
        <f t="shared" si="15"/>
        <v>37367</v>
      </c>
    </row>
    <row r="256" spans="1:21" x14ac:dyDescent="0.3">
      <c r="A256" s="13" t="s">
        <v>496</v>
      </c>
      <c r="B256" s="14" t="s">
        <v>43</v>
      </c>
      <c r="C256" s="15">
        <v>45750</v>
      </c>
      <c r="D256" s="14" t="s">
        <v>35</v>
      </c>
      <c r="E256" s="14" t="s">
        <v>71</v>
      </c>
      <c r="F256" s="8">
        <v>3767</v>
      </c>
      <c r="G256" s="8">
        <v>514</v>
      </c>
      <c r="H256" s="8">
        <v>238</v>
      </c>
      <c r="I256" s="8">
        <v>37670</v>
      </c>
      <c r="J256" s="8">
        <v>36807</v>
      </c>
      <c r="K256" s="8">
        <v>226</v>
      </c>
      <c r="L256" s="14" t="s">
        <v>62</v>
      </c>
      <c r="M256" s="14" t="s">
        <v>38</v>
      </c>
      <c r="N256" s="8">
        <v>50862</v>
      </c>
      <c r="O256" s="8">
        <v>15305</v>
      </c>
      <c r="P256" s="8">
        <v>5.6486000000000001</v>
      </c>
      <c r="Q256" s="8">
        <v>1379539</v>
      </c>
      <c r="R256" s="8">
        <f t="shared" si="12"/>
        <v>2.8944451733513878E-3</v>
      </c>
      <c r="S256" s="22">
        <f t="shared" si="13"/>
        <v>35557</v>
      </c>
      <c r="T256">
        <f t="shared" si="14"/>
        <v>14</v>
      </c>
      <c r="U256">
        <f t="shared" si="15"/>
        <v>35493.666666666664</v>
      </c>
    </row>
    <row r="257" spans="1:21" x14ac:dyDescent="0.3">
      <c r="A257" s="17" t="s">
        <v>497</v>
      </c>
      <c r="B257" s="18" t="s">
        <v>27</v>
      </c>
      <c r="C257" s="19">
        <v>45553</v>
      </c>
      <c r="D257" s="18" t="s">
        <v>45</v>
      </c>
      <c r="E257" s="18" t="s">
        <v>68</v>
      </c>
      <c r="F257" s="9">
        <v>2143</v>
      </c>
      <c r="G257" s="9">
        <v>12</v>
      </c>
      <c r="H257" s="9">
        <v>204</v>
      </c>
      <c r="I257" s="9">
        <v>40717</v>
      </c>
      <c r="J257" s="9">
        <v>40125</v>
      </c>
      <c r="K257" s="9">
        <v>248</v>
      </c>
      <c r="L257" s="18" t="s">
        <v>37</v>
      </c>
      <c r="M257" s="18" t="s">
        <v>25</v>
      </c>
      <c r="N257" s="9">
        <v>47471</v>
      </c>
      <c r="O257" s="9">
        <v>12104</v>
      </c>
      <c r="P257" s="9">
        <v>5.5587999999999997</v>
      </c>
      <c r="Q257" s="9">
        <v>1228647</v>
      </c>
      <c r="R257" s="9">
        <f t="shared" si="12"/>
        <v>1.9460430864194516E-3</v>
      </c>
      <c r="S257" s="23">
        <f t="shared" si="13"/>
        <v>35367</v>
      </c>
      <c r="T257">
        <f t="shared" si="14"/>
        <v>38</v>
      </c>
      <c r="U257">
        <f t="shared" si="15"/>
        <v>39642.666666666664</v>
      </c>
    </row>
    <row r="258" spans="1:21" x14ac:dyDescent="0.3">
      <c r="A258" s="13" t="s">
        <v>498</v>
      </c>
      <c r="B258" s="14" t="s">
        <v>43</v>
      </c>
      <c r="C258" s="15">
        <v>45753</v>
      </c>
      <c r="D258" s="14" t="s">
        <v>52</v>
      </c>
      <c r="E258" s="14" t="s">
        <v>59</v>
      </c>
      <c r="F258" s="8">
        <v>3090</v>
      </c>
      <c r="G258" s="8">
        <v>697</v>
      </c>
      <c r="H258" s="8">
        <v>164</v>
      </c>
      <c r="I258" s="8">
        <v>49440</v>
      </c>
      <c r="J258" s="8">
        <v>48524</v>
      </c>
      <c r="K258" s="8">
        <v>25</v>
      </c>
      <c r="L258" s="14" t="s">
        <v>37</v>
      </c>
      <c r="M258" s="14" t="s">
        <v>25</v>
      </c>
      <c r="N258" s="8">
        <v>50862</v>
      </c>
      <c r="O258" s="8">
        <v>15305</v>
      </c>
      <c r="P258" s="8">
        <v>5.6486000000000001</v>
      </c>
      <c r="Q258" s="8">
        <v>1379539</v>
      </c>
      <c r="R258" s="8">
        <f t="shared" si="12"/>
        <v>2.2580006799372836E-3</v>
      </c>
      <c r="S258" s="22">
        <f t="shared" si="13"/>
        <v>35557</v>
      </c>
      <c r="T258">
        <f t="shared" si="14"/>
        <v>15</v>
      </c>
      <c r="U258">
        <f t="shared" si="15"/>
        <v>39706</v>
      </c>
    </row>
    <row r="259" spans="1:21" x14ac:dyDescent="0.3">
      <c r="A259" s="17" t="s">
        <v>500</v>
      </c>
      <c r="B259" s="18" t="s">
        <v>33</v>
      </c>
      <c r="C259" s="19">
        <v>45509</v>
      </c>
      <c r="D259" s="18" t="s">
        <v>35</v>
      </c>
      <c r="E259" s="18" t="s">
        <v>36</v>
      </c>
      <c r="F259" s="9">
        <v>3601</v>
      </c>
      <c r="G259" s="9">
        <v>695</v>
      </c>
      <c r="H259" s="9">
        <v>75</v>
      </c>
      <c r="I259" s="9">
        <v>21606</v>
      </c>
      <c r="J259" s="9">
        <v>21454</v>
      </c>
      <c r="K259" s="9">
        <v>172</v>
      </c>
      <c r="L259" s="18" t="s">
        <v>37</v>
      </c>
      <c r="M259" s="18" t="s">
        <v>25</v>
      </c>
      <c r="N259" s="9">
        <v>58311</v>
      </c>
      <c r="O259" s="9">
        <v>10307</v>
      </c>
      <c r="P259" s="9">
        <v>5.7155999999999993</v>
      </c>
      <c r="Q259" s="9">
        <v>1164373</v>
      </c>
      <c r="R259" s="9">
        <f t="shared" ref="R259:R301" si="16">(F259+K259)/Q259</f>
        <v>3.2403705685377453E-3</v>
      </c>
      <c r="S259" s="23">
        <f t="shared" ref="S259:S301" si="17">N259-O259</f>
        <v>48004</v>
      </c>
      <c r="T259">
        <f t="shared" ref="T259:T301" si="18">WEEKNUM(C259)</f>
        <v>32</v>
      </c>
      <c r="U259">
        <f t="shared" ref="U259:U301" si="19">AVERAGE(S259:S261)</f>
        <v>43855</v>
      </c>
    </row>
    <row r="260" spans="1:21" x14ac:dyDescent="0.3">
      <c r="A260" s="13" t="s">
        <v>502</v>
      </c>
      <c r="B260" s="14" t="s">
        <v>43</v>
      </c>
      <c r="C260" s="15">
        <v>45698</v>
      </c>
      <c r="D260" s="14" t="s">
        <v>22</v>
      </c>
      <c r="E260" s="14" t="s">
        <v>56</v>
      </c>
      <c r="F260" s="8">
        <v>562</v>
      </c>
      <c r="G260" s="8">
        <v>158</v>
      </c>
      <c r="H260" s="8">
        <v>149</v>
      </c>
      <c r="I260" s="8">
        <v>3372</v>
      </c>
      <c r="J260" s="8">
        <v>2940</v>
      </c>
      <c r="K260" s="8">
        <v>93</v>
      </c>
      <c r="L260" s="14" t="s">
        <v>30</v>
      </c>
      <c r="M260" s="14" t="s">
        <v>19</v>
      </c>
      <c r="N260" s="8">
        <v>50862</v>
      </c>
      <c r="O260" s="8">
        <v>15305</v>
      </c>
      <c r="P260" s="8">
        <v>5.6486000000000001</v>
      </c>
      <c r="Q260" s="8">
        <v>1379539</v>
      </c>
      <c r="R260" s="8">
        <f t="shared" si="16"/>
        <v>4.7479629064491833E-4</v>
      </c>
      <c r="S260" s="22">
        <f t="shared" si="17"/>
        <v>35557</v>
      </c>
      <c r="T260">
        <f t="shared" si="18"/>
        <v>7</v>
      </c>
      <c r="U260">
        <f t="shared" si="19"/>
        <v>43855</v>
      </c>
    </row>
    <row r="261" spans="1:21" x14ac:dyDescent="0.3">
      <c r="A261" s="17" t="s">
        <v>503</v>
      </c>
      <c r="B261" s="18" t="s">
        <v>33</v>
      </c>
      <c r="C261" s="19">
        <v>45700</v>
      </c>
      <c r="D261" s="18" t="s">
        <v>35</v>
      </c>
      <c r="E261" s="18" t="s">
        <v>36</v>
      </c>
      <c r="F261" s="9">
        <v>4332</v>
      </c>
      <c r="G261" s="9">
        <v>771</v>
      </c>
      <c r="H261" s="9">
        <v>219</v>
      </c>
      <c r="I261" s="9">
        <v>60648</v>
      </c>
      <c r="J261" s="9">
        <v>60397</v>
      </c>
      <c r="K261" s="9">
        <v>10</v>
      </c>
      <c r="L261" s="18" t="s">
        <v>30</v>
      </c>
      <c r="M261" s="18" t="s">
        <v>31</v>
      </c>
      <c r="N261" s="9">
        <v>58311</v>
      </c>
      <c r="O261" s="9">
        <v>10307</v>
      </c>
      <c r="P261" s="9">
        <v>5.7155999999999993</v>
      </c>
      <c r="Q261" s="9">
        <v>1164373</v>
      </c>
      <c r="R261" s="9">
        <f t="shared" si="16"/>
        <v>3.7290455893429341E-3</v>
      </c>
      <c r="S261" s="23">
        <f t="shared" si="17"/>
        <v>48004</v>
      </c>
      <c r="T261">
        <f t="shared" si="18"/>
        <v>7</v>
      </c>
      <c r="U261">
        <f t="shared" si="19"/>
        <v>43791.666666666664</v>
      </c>
    </row>
    <row r="262" spans="1:21" x14ac:dyDescent="0.3">
      <c r="A262" s="13" t="s">
        <v>506</v>
      </c>
      <c r="B262" s="14" t="s">
        <v>33</v>
      </c>
      <c r="C262" s="15">
        <v>45592</v>
      </c>
      <c r="D262" s="14" t="s">
        <v>52</v>
      </c>
      <c r="E262" s="14" t="s">
        <v>215</v>
      </c>
      <c r="F262" s="8">
        <v>4853</v>
      </c>
      <c r="G262" s="8">
        <v>837</v>
      </c>
      <c r="H262" s="8">
        <v>340</v>
      </c>
      <c r="I262" s="8">
        <v>72795</v>
      </c>
      <c r="J262" s="8">
        <v>72237</v>
      </c>
      <c r="K262" s="8">
        <v>170</v>
      </c>
      <c r="L262" s="14" t="s">
        <v>37</v>
      </c>
      <c r="M262" s="14" t="s">
        <v>19</v>
      </c>
      <c r="N262" s="8">
        <v>58311</v>
      </c>
      <c r="O262" s="8">
        <v>10307</v>
      </c>
      <c r="P262" s="8">
        <v>5.7155999999999993</v>
      </c>
      <c r="Q262" s="8">
        <v>1164373</v>
      </c>
      <c r="R262" s="8">
        <f t="shared" si="16"/>
        <v>4.3139097179340294E-3</v>
      </c>
      <c r="S262" s="22">
        <f t="shared" si="17"/>
        <v>48004</v>
      </c>
      <c r="T262">
        <f t="shared" si="18"/>
        <v>44</v>
      </c>
      <c r="U262">
        <f t="shared" si="19"/>
        <v>43791.666666666664</v>
      </c>
    </row>
    <row r="263" spans="1:21" x14ac:dyDescent="0.3">
      <c r="A263" s="17" t="s">
        <v>508</v>
      </c>
      <c r="B263" s="18" t="s">
        <v>27</v>
      </c>
      <c r="C263" s="19">
        <v>45675</v>
      </c>
      <c r="D263" s="18" t="s">
        <v>52</v>
      </c>
      <c r="E263" s="18" t="s">
        <v>53</v>
      </c>
      <c r="F263" s="9">
        <v>1206</v>
      </c>
      <c r="G263" s="9">
        <v>238</v>
      </c>
      <c r="H263" s="9">
        <v>36</v>
      </c>
      <c r="I263" s="9">
        <v>9648</v>
      </c>
      <c r="J263" s="9">
        <v>9417</v>
      </c>
      <c r="K263" s="9">
        <v>237</v>
      </c>
      <c r="L263" s="18" t="s">
        <v>30</v>
      </c>
      <c r="M263" s="18"/>
      <c r="N263" s="9">
        <v>47471</v>
      </c>
      <c r="O263" s="9">
        <v>12104</v>
      </c>
      <c r="P263" s="9">
        <v>5.5587999999999997</v>
      </c>
      <c r="Q263" s="9">
        <v>1228647</v>
      </c>
      <c r="R263" s="9">
        <f t="shared" si="16"/>
        <v>1.1744626406119904E-3</v>
      </c>
      <c r="S263" s="23">
        <f t="shared" si="17"/>
        <v>35367</v>
      </c>
      <c r="T263">
        <f t="shared" si="18"/>
        <v>3</v>
      </c>
      <c r="U263">
        <f t="shared" si="19"/>
        <v>41516</v>
      </c>
    </row>
    <row r="264" spans="1:21" x14ac:dyDescent="0.3">
      <c r="A264" s="13" t="s">
        <v>509</v>
      </c>
      <c r="B264" s="14" t="s">
        <v>33</v>
      </c>
      <c r="C264" s="15">
        <v>45524</v>
      </c>
      <c r="D264" s="14" t="s">
        <v>16</v>
      </c>
      <c r="E264" s="14" t="s">
        <v>82</v>
      </c>
      <c r="F264" s="8">
        <v>2603</v>
      </c>
      <c r="G264" s="8">
        <v>690</v>
      </c>
      <c r="H264" s="8">
        <v>205</v>
      </c>
      <c r="I264" s="8">
        <v>13015</v>
      </c>
      <c r="J264" s="8">
        <v>12130</v>
      </c>
      <c r="K264" s="8">
        <v>20</v>
      </c>
      <c r="L264" s="14" t="s">
        <v>62</v>
      </c>
      <c r="M264" s="14" t="s">
        <v>25</v>
      </c>
      <c r="N264" s="8">
        <v>58311</v>
      </c>
      <c r="O264" s="8">
        <v>10307</v>
      </c>
      <c r="P264" s="8">
        <v>5.7155999999999993</v>
      </c>
      <c r="Q264" s="8">
        <v>1164373</v>
      </c>
      <c r="R264" s="8">
        <f t="shared" si="16"/>
        <v>2.2527145510931636E-3</v>
      </c>
      <c r="S264" s="22">
        <f t="shared" si="17"/>
        <v>48004</v>
      </c>
      <c r="T264">
        <f t="shared" si="18"/>
        <v>34</v>
      </c>
      <c r="U264">
        <f t="shared" si="19"/>
        <v>43452.666666666664</v>
      </c>
    </row>
    <row r="265" spans="1:21" x14ac:dyDescent="0.3">
      <c r="A265" s="17" t="s">
        <v>511</v>
      </c>
      <c r="B265" s="18" t="s">
        <v>14</v>
      </c>
      <c r="C265" s="19">
        <v>45687</v>
      </c>
      <c r="D265" s="18" t="s">
        <v>52</v>
      </c>
      <c r="E265" s="18" t="s">
        <v>132</v>
      </c>
      <c r="F265" s="9">
        <v>59</v>
      </c>
      <c r="G265" s="9">
        <v>163</v>
      </c>
      <c r="H265" s="9">
        <v>93</v>
      </c>
      <c r="I265" s="9">
        <v>590</v>
      </c>
      <c r="J265" s="9">
        <v>475</v>
      </c>
      <c r="K265" s="9">
        <v>293</v>
      </c>
      <c r="L265" s="18" t="s">
        <v>30</v>
      </c>
      <c r="M265" s="18" t="s">
        <v>25</v>
      </c>
      <c r="N265" s="9">
        <v>53484</v>
      </c>
      <c r="O265" s="9">
        <v>12307</v>
      </c>
      <c r="P265" s="9">
        <v>5.6557999999999993</v>
      </c>
      <c r="Q265" s="9">
        <v>1060357</v>
      </c>
      <c r="R265" s="9">
        <f t="shared" si="16"/>
        <v>3.3196366883983411E-4</v>
      </c>
      <c r="S265" s="23">
        <f t="shared" si="17"/>
        <v>41177</v>
      </c>
      <c r="T265">
        <f t="shared" si="18"/>
        <v>5</v>
      </c>
      <c r="U265">
        <f t="shared" si="19"/>
        <v>39303.666666666664</v>
      </c>
    </row>
    <row r="266" spans="1:21" x14ac:dyDescent="0.3">
      <c r="A266" s="13" t="s">
        <v>513</v>
      </c>
      <c r="B266" s="14" t="s">
        <v>14</v>
      </c>
      <c r="C266" s="15">
        <v>45708</v>
      </c>
      <c r="D266" s="14" t="s">
        <v>45</v>
      </c>
      <c r="E266" s="14" t="s">
        <v>49</v>
      </c>
      <c r="F266" s="8">
        <v>1877</v>
      </c>
      <c r="G266" s="8">
        <v>745</v>
      </c>
      <c r="H266" s="8">
        <v>225</v>
      </c>
      <c r="I266" s="8">
        <v>11262</v>
      </c>
      <c r="J266" s="8">
        <v>10967</v>
      </c>
      <c r="K266" s="8">
        <v>41</v>
      </c>
      <c r="L266" s="14" t="s">
        <v>37</v>
      </c>
      <c r="M266" s="14" t="s">
        <v>38</v>
      </c>
      <c r="N266" s="8">
        <v>53484</v>
      </c>
      <c r="O266" s="8">
        <v>12307</v>
      </c>
      <c r="P266" s="8">
        <v>5.6557999999999993</v>
      </c>
      <c r="Q266" s="8">
        <v>1060357</v>
      </c>
      <c r="R266" s="8">
        <f t="shared" si="16"/>
        <v>1.8088247637352325E-3</v>
      </c>
      <c r="S266" s="22">
        <f t="shared" si="17"/>
        <v>41177</v>
      </c>
      <c r="T266">
        <f t="shared" si="18"/>
        <v>8</v>
      </c>
      <c r="U266">
        <f t="shared" si="19"/>
        <v>39303.666666666664</v>
      </c>
    </row>
    <row r="267" spans="1:21" x14ac:dyDescent="0.3">
      <c r="A267" s="17" t="s">
        <v>515</v>
      </c>
      <c r="B267" s="18" t="s">
        <v>43</v>
      </c>
      <c r="C267" s="19">
        <v>45621</v>
      </c>
      <c r="D267" s="18" t="s">
        <v>35</v>
      </c>
      <c r="E267" s="18" t="s">
        <v>71</v>
      </c>
      <c r="F267" s="9">
        <v>4182</v>
      </c>
      <c r="G267" s="9">
        <v>640</v>
      </c>
      <c r="H267" s="9">
        <v>240</v>
      </c>
      <c r="I267" s="9">
        <v>50184</v>
      </c>
      <c r="J267" s="9">
        <v>49351</v>
      </c>
      <c r="K267" s="9">
        <v>10</v>
      </c>
      <c r="L267" s="18" t="s">
        <v>30</v>
      </c>
      <c r="M267" s="18" t="s">
        <v>31</v>
      </c>
      <c r="N267" s="9">
        <v>50862</v>
      </c>
      <c r="O267" s="9">
        <v>15305</v>
      </c>
      <c r="P267" s="9">
        <v>5.6486000000000001</v>
      </c>
      <c r="Q267" s="9">
        <v>1379539</v>
      </c>
      <c r="R267" s="9">
        <f t="shared" si="16"/>
        <v>3.0386962601274773E-3</v>
      </c>
      <c r="S267" s="23">
        <f t="shared" si="17"/>
        <v>35557</v>
      </c>
      <c r="T267">
        <f t="shared" si="18"/>
        <v>48</v>
      </c>
      <c r="U267">
        <f t="shared" si="19"/>
        <v>41579.333333333336</v>
      </c>
    </row>
    <row r="268" spans="1:21" x14ac:dyDescent="0.3">
      <c r="A268" s="13" t="s">
        <v>516</v>
      </c>
      <c r="B268" s="14" t="s">
        <v>14</v>
      </c>
      <c r="C268" s="15">
        <v>45569</v>
      </c>
      <c r="D268" s="14" t="s">
        <v>16</v>
      </c>
      <c r="E268" s="14" t="s">
        <v>17</v>
      </c>
      <c r="F268" s="8">
        <v>4187</v>
      </c>
      <c r="G268" s="8">
        <v>66</v>
      </c>
      <c r="H268" s="8">
        <v>31</v>
      </c>
      <c r="I268" s="8">
        <v>66992</v>
      </c>
      <c r="J268" s="8">
        <v>66614</v>
      </c>
      <c r="K268" s="8">
        <v>62</v>
      </c>
      <c r="L268" s="14" t="s">
        <v>62</v>
      </c>
      <c r="M268" s="14"/>
      <c r="N268" s="8">
        <v>53484</v>
      </c>
      <c r="O268" s="8">
        <v>12307</v>
      </c>
      <c r="P268" s="8">
        <v>5.6557999999999993</v>
      </c>
      <c r="Q268" s="8">
        <v>1060357</v>
      </c>
      <c r="R268" s="8">
        <f t="shared" si="16"/>
        <v>4.0071409911944748E-3</v>
      </c>
      <c r="S268" s="22">
        <f t="shared" si="17"/>
        <v>41177</v>
      </c>
      <c r="T268">
        <f t="shared" si="18"/>
        <v>40</v>
      </c>
      <c r="U268">
        <f t="shared" si="19"/>
        <v>45728.333333333336</v>
      </c>
    </row>
    <row r="269" spans="1:21" x14ac:dyDescent="0.3">
      <c r="A269" s="17" t="s">
        <v>517</v>
      </c>
      <c r="B269" s="18" t="s">
        <v>33</v>
      </c>
      <c r="C269" s="19">
        <v>45760</v>
      </c>
      <c r="D269" s="18" t="s">
        <v>16</v>
      </c>
      <c r="E269" s="18" t="s">
        <v>82</v>
      </c>
      <c r="F269" s="9">
        <v>4579</v>
      </c>
      <c r="G269" s="9">
        <v>125</v>
      </c>
      <c r="H269" s="9">
        <v>300</v>
      </c>
      <c r="I269" s="9">
        <v>59527</v>
      </c>
      <c r="J269" s="9">
        <v>59400</v>
      </c>
      <c r="K269" s="9">
        <v>269</v>
      </c>
      <c r="L269" s="18" t="s">
        <v>37</v>
      </c>
      <c r="M269" s="18" t="s">
        <v>19</v>
      </c>
      <c r="N269" s="9">
        <v>58311</v>
      </c>
      <c r="O269" s="9">
        <v>10307</v>
      </c>
      <c r="P269" s="9">
        <v>5.7155999999999993</v>
      </c>
      <c r="Q269" s="9">
        <v>1164373</v>
      </c>
      <c r="R269" s="9">
        <f t="shared" si="16"/>
        <v>4.1636142370185501E-3</v>
      </c>
      <c r="S269" s="23">
        <f t="shared" si="17"/>
        <v>48004</v>
      </c>
      <c r="T269">
        <f t="shared" si="18"/>
        <v>16</v>
      </c>
      <c r="U269">
        <f t="shared" si="19"/>
        <v>43791.666666666664</v>
      </c>
    </row>
    <row r="270" spans="1:21" x14ac:dyDescent="0.3">
      <c r="A270" s="13" t="s">
        <v>519</v>
      </c>
      <c r="B270" s="14" t="s">
        <v>33</v>
      </c>
      <c r="C270" s="15">
        <v>45601</v>
      </c>
      <c r="D270" s="14" t="s">
        <v>74</v>
      </c>
      <c r="E270" s="14" t="s">
        <v>85</v>
      </c>
      <c r="F270" s="8">
        <v>4561</v>
      </c>
      <c r="G270" s="8">
        <v>51</v>
      </c>
      <c r="H270" s="8">
        <v>441</v>
      </c>
      <c r="I270" s="8">
        <v>22805</v>
      </c>
      <c r="J270" s="8">
        <v>21890</v>
      </c>
      <c r="K270" s="8">
        <v>45</v>
      </c>
      <c r="L270" s="14" t="s">
        <v>30</v>
      </c>
      <c r="M270" s="14" t="s">
        <v>25</v>
      </c>
      <c r="N270" s="8">
        <v>58311</v>
      </c>
      <c r="O270" s="8">
        <v>10307</v>
      </c>
      <c r="P270" s="8">
        <v>5.7155999999999993</v>
      </c>
      <c r="Q270" s="8">
        <v>1164373</v>
      </c>
      <c r="R270" s="8">
        <f t="shared" si="16"/>
        <v>3.9557770576954289E-3</v>
      </c>
      <c r="S270" s="22">
        <f t="shared" si="17"/>
        <v>48004</v>
      </c>
      <c r="T270">
        <f t="shared" si="18"/>
        <v>45</v>
      </c>
      <c r="U270">
        <f t="shared" si="19"/>
        <v>43791.666666666664</v>
      </c>
    </row>
    <row r="271" spans="1:21" x14ac:dyDescent="0.3">
      <c r="A271" s="17" t="s">
        <v>521</v>
      </c>
      <c r="B271" s="18" t="s">
        <v>27</v>
      </c>
      <c r="C271" s="19">
        <v>45672</v>
      </c>
      <c r="D271" s="18" t="s">
        <v>16</v>
      </c>
      <c r="E271" s="18" t="s">
        <v>29</v>
      </c>
      <c r="F271" s="9">
        <v>3774</v>
      </c>
      <c r="G271" s="9">
        <v>239</v>
      </c>
      <c r="H271" s="9">
        <v>39</v>
      </c>
      <c r="I271" s="9">
        <v>60384</v>
      </c>
      <c r="J271" s="9">
        <v>59490</v>
      </c>
      <c r="K271" s="9">
        <v>241</v>
      </c>
      <c r="L271" s="18" t="s">
        <v>30</v>
      </c>
      <c r="M271" s="18" t="s">
        <v>31</v>
      </c>
      <c r="N271" s="9">
        <v>47471</v>
      </c>
      <c r="O271" s="9">
        <v>12104</v>
      </c>
      <c r="P271" s="9">
        <v>5.5587999999999997</v>
      </c>
      <c r="Q271" s="9">
        <v>1228647</v>
      </c>
      <c r="R271" s="9">
        <f t="shared" si="16"/>
        <v>3.2678222467478453E-3</v>
      </c>
      <c r="S271" s="23">
        <f t="shared" si="17"/>
        <v>35367</v>
      </c>
      <c r="T271">
        <f t="shared" si="18"/>
        <v>3</v>
      </c>
      <c r="U271">
        <f t="shared" si="19"/>
        <v>43791.666666666664</v>
      </c>
    </row>
    <row r="272" spans="1:21" x14ac:dyDescent="0.3">
      <c r="A272" s="13" t="s">
        <v>522</v>
      </c>
      <c r="B272" s="14" t="s">
        <v>33</v>
      </c>
      <c r="C272" s="15">
        <v>45582</v>
      </c>
      <c r="D272" s="14" t="s">
        <v>74</v>
      </c>
      <c r="E272" s="14" t="s">
        <v>85</v>
      </c>
      <c r="F272" s="8">
        <v>3575</v>
      </c>
      <c r="G272" s="8">
        <v>749</v>
      </c>
      <c r="H272" s="8">
        <v>111</v>
      </c>
      <c r="I272" s="8">
        <v>21450</v>
      </c>
      <c r="J272" s="8">
        <v>20785</v>
      </c>
      <c r="K272" s="8">
        <v>195</v>
      </c>
      <c r="L272" s="14" t="s">
        <v>37</v>
      </c>
      <c r="M272" s="14" t="s">
        <v>25</v>
      </c>
      <c r="N272" s="8">
        <v>58311</v>
      </c>
      <c r="O272" s="8">
        <v>10307</v>
      </c>
      <c r="P272" s="8">
        <v>5.7155999999999993</v>
      </c>
      <c r="Q272" s="8">
        <v>1164373</v>
      </c>
      <c r="R272" s="8">
        <f t="shared" si="16"/>
        <v>3.237794074579194E-3</v>
      </c>
      <c r="S272" s="22">
        <f t="shared" si="17"/>
        <v>48004</v>
      </c>
      <c r="T272">
        <f t="shared" si="18"/>
        <v>42</v>
      </c>
      <c r="U272">
        <f t="shared" si="19"/>
        <v>43791.666666666664</v>
      </c>
    </row>
    <row r="273" spans="1:21" x14ac:dyDescent="0.3">
      <c r="A273" s="17" t="s">
        <v>524</v>
      </c>
      <c r="B273" s="18" t="s">
        <v>33</v>
      </c>
      <c r="C273" s="19">
        <v>45743</v>
      </c>
      <c r="D273" s="18" t="s">
        <v>22</v>
      </c>
      <c r="E273" s="18" t="s">
        <v>113</v>
      </c>
      <c r="F273" s="9">
        <v>4941</v>
      </c>
      <c r="G273" s="9">
        <v>414</v>
      </c>
      <c r="H273" s="9">
        <v>266</v>
      </c>
      <c r="I273" s="9">
        <v>39528</v>
      </c>
      <c r="J273" s="9">
        <v>39154</v>
      </c>
      <c r="K273" s="9">
        <v>217</v>
      </c>
      <c r="L273" s="18" t="s">
        <v>30</v>
      </c>
      <c r="M273" s="18" t="s">
        <v>31</v>
      </c>
      <c r="N273" s="9">
        <v>58311</v>
      </c>
      <c r="O273" s="9">
        <v>10307</v>
      </c>
      <c r="P273" s="9">
        <v>5.7155999999999993</v>
      </c>
      <c r="Q273" s="9">
        <v>1164373</v>
      </c>
      <c r="R273" s="9">
        <f t="shared" si="16"/>
        <v>4.4298519460688286E-3</v>
      </c>
      <c r="S273" s="23">
        <f t="shared" si="17"/>
        <v>48004</v>
      </c>
      <c r="T273">
        <f t="shared" si="18"/>
        <v>13</v>
      </c>
      <c r="U273">
        <f t="shared" si="19"/>
        <v>41516</v>
      </c>
    </row>
    <row r="274" spans="1:21" x14ac:dyDescent="0.3">
      <c r="A274" s="13" t="s">
        <v>525</v>
      </c>
      <c r="B274" s="14" t="s">
        <v>27</v>
      </c>
      <c r="C274" s="15">
        <v>45577</v>
      </c>
      <c r="D274" s="14" t="s">
        <v>35</v>
      </c>
      <c r="E274" s="14" t="s">
        <v>154</v>
      </c>
      <c r="F274" s="8">
        <v>3641</v>
      </c>
      <c r="G274" s="8">
        <v>226</v>
      </c>
      <c r="H274" s="8">
        <v>46</v>
      </c>
      <c r="I274" s="8">
        <v>40051</v>
      </c>
      <c r="J274" s="8">
        <v>39319</v>
      </c>
      <c r="K274" s="8">
        <v>296</v>
      </c>
      <c r="L274" s="14" t="s">
        <v>37</v>
      </c>
      <c r="M274" s="14" t="s">
        <v>38</v>
      </c>
      <c r="N274" s="8">
        <v>47471</v>
      </c>
      <c r="O274" s="8">
        <v>12104</v>
      </c>
      <c r="P274" s="8">
        <v>5.5587999999999997</v>
      </c>
      <c r="Q274" s="8">
        <v>1228647</v>
      </c>
      <c r="R274" s="8">
        <f t="shared" si="16"/>
        <v>3.2043377796877378E-3</v>
      </c>
      <c r="S274" s="22">
        <f t="shared" si="17"/>
        <v>35367</v>
      </c>
      <c r="T274">
        <f t="shared" si="18"/>
        <v>41</v>
      </c>
      <c r="U274">
        <f t="shared" si="19"/>
        <v>37367</v>
      </c>
    </row>
    <row r="275" spans="1:21" x14ac:dyDescent="0.3">
      <c r="A275" s="17" t="s">
        <v>527</v>
      </c>
      <c r="B275" s="18" t="s">
        <v>14</v>
      </c>
      <c r="C275" s="19">
        <v>45658</v>
      </c>
      <c r="D275" s="18" t="s">
        <v>45</v>
      </c>
      <c r="E275" s="18" t="s">
        <v>49</v>
      </c>
      <c r="F275" s="9">
        <v>3535</v>
      </c>
      <c r="G275" s="9">
        <v>494</v>
      </c>
      <c r="H275" s="9">
        <v>152</v>
      </c>
      <c r="I275" s="9">
        <v>53025</v>
      </c>
      <c r="J275" s="9">
        <v>52791</v>
      </c>
      <c r="K275" s="9">
        <v>44</v>
      </c>
      <c r="L275" s="18" t="s">
        <v>30</v>
      </c>
      <c r="M275" s="18" t="s">
        <v>38</v>
      </c>
      <c r="N275" s="9">
        <v>53484</v>
      </c>
      <c r="O275" s="9">
        <v>12307</v>
      </c>
      <c r="P275" s="9">
        <v>5.6557999999999993</v>
      </c>
      <c r="Q275" s="9">
        <v>1060357</v>
      </c>
      <c r="R275" s="9">
        <f t="shared" si="16"/>
        <v>3.3752783260731999E-3</v>
      </c>
      <c r="S275" s="23">
        <f t="shared" si="17"/>
        <v>41177</v>
      </c>
      <c r="T275">
        <f t="shared" si="18"/>
        <v>1</v>
      </c>
      <c r="U275">
        <f t="shared" si="19"/>
        <v>39303.666666666664</v>
      </c>
    </row>
    <row r="276" spans="1:21" x14ac:dyDescent="0.3">
      <c r="A276" s="13" t="s">
        <v>528</v>
      </c>
      <c r="B276" s="14" t="s">
        <v>43</v>
      </c>
      <c r="C276" s="15">
        <v>45509</v>
      </c>
      <c r="D276" s="14" t="s">
        <v>16</v>
      </c>
      <c r="E276" s="14" t="s">
        <v>65</v>
      </c>
      <c r="F276" s="8">
        <v>1741</v>
      </c>
      <c r="G276" s="8">
        <v>831</v>
      </c>
      <c r="H276" s="8">
        <v>345</v>
      </c>
      <c r="I276" s="8">
        <v>17410</v>
      </c>
      <c r="J276" s="8">
        <v>16844</v>
      </c>
      <c r="K276" s="8">
        <v>58</v>
      </c>
      <c r="L276" s="14" t="s">
        <v>37</v>
      </c>
      <c r="M276" s="14" t="s">
        <v>31</v>
      </c>
      <c r="N276" s="8">
        <v>50862</v>
      </c>
      <c r="O276" s="8">
        <v>15305</v>
      </c>
      <c r="P276" s="8">
        <v>5.6486000000000001</v>
      </c>
      <c r="Q276" s="8">
        <v>1379539</v>
      </c>
      <c r="R276" s="8">
        <f t="shared" si="16"/>
        <v>1.3040588196491726E-3</v>
      </c>
      <c r="S276" s="22">
        <f t="shared" si="17"/>
        <v>35557</v>
      </c>
      <c r="T276">
        <f t="shared" si="18"/>
        <v>32</v>
      </c>
      <c r="U276">
        <f t="shared" si="19"/>
        <v>37430.333333333336</v>
      </c>
    </row>
    <row r="277" spans="1:21" x14ac:dyDescent="0.3">
      <c r="A277" s="17" t="s">
        <v>529</v>
      </c>
      <c r="B277" s="18" t="s">
        <v>14</v>
      </c>
      <c r="C277" s="19">
        <v>45450</v>
      </c>
      <c r="D277" s="18" t="s">
        <v>45</v>
      </c>
      <c r="E277" s="18" t="s">
        <v>49</v>
      </c>
      <c r="F277" s="9">
        <v>1556</v>
      </c>
      <c r="G277" s="9">
        <v>195</v>
      </c>
      <c r="H277" s="9">
        <v>131</v>
      </c>
      <c r="I277" s="9">
        <v>9336</v>
      </c>
      <c r="J277" s="9">
        <v>8875</v>
      </c>
      <c r="K277" s="9">
        <v>137</v>
      </c>
      <c r="L277" s="18" t="s">
        <v>30</v>
      </c>
      <c r="M277" s="18" t="s">
        <v>25</v>
      </c>
      <c r="N277" s="9">
        <v>53484</v>
      </c>
      <c r="O277" s="9">
        <v>12307</v>
      </c>
      <c r="P277" s="9">
        <v>5.6557999999999993</v>
      </c>
      <c r="Q277" s="9">
        <v>1060357</v>
      </c>
      <c r="R277" s="9">
        <f t="shared" si="16"/>
        <v>1.5966320776870432E-3</v>
      </c>
      <c r="S277" s="23">
        <f t="shared" si="17"/>
        <v>41177</v>
      </c>
      <c r="T277">
        <f t="shared" si="18"/>
        <v>23</v>
      </c>
      <c r="U277">
        <f t="shared" si="19"/>
        <v>39303.666666666664</v>
      </c>
    </row>
    <row r="278" spans="1:21" x14ac:dyDescent="0.3">
      <c r="A278" s="13" t="s">
        <v>531</v>
      </c>
      <c r="B278" s="14" t="s">
        <v>43</v>
      </c>
      <c r="C278" s="15">
        <v>45753</v>
      </c>
      <c r="D278" s="14" t="s">
        <v>52</v>
      </c>
      <c r="E278" s="14" t="s">
        <v>59</v>
      </c>
      <c r="F278" s="8">
        <v>4236</v>
      </c>
      <c r="G278" s="8">
        <v>711</v>
      </c>
      <c r="H278" s="8">
        <v>298</v>
      </c>
      <c r="I278" s="8">
        <v>21180</v>
      </c>
      <c r="J278" s="8">
        <v>20516</v>
      </c>
      <c r="K278" s="8">
        <v>238</v>
      </c>
      <c r="L278" s="14" t="s">
        <v>62</v>
      </c>
      <c r="M278" s="14" t="s">
        <v>19</v>
      </c>
      <c r="N278" s="8">
        <v>50862</v>
      </c>
      <c r="O278" s="8">
        <v>15305</v>
      </c>
      <c r="P278" s="8">
        <v>5.6486000000000001</v>
      </c>
      <c r="Q278" s="8">
        <v>1379539</v>
      </c>
      <c r="R278" s="8">
        <f t="shared" si="16"/>
        <v>3.2431123730463584E-3</v>
      </c>
      <c r="S278" s="22">
        <f t="shared" si="17"/>
        <v>35557</v>
      </c>
      <c r="T278">
        <f t="shared" si="18"/>
        <v>15</v>
      </c>
      <c r="U278">
        <f t="shared" si="19"/>
        <v>37367</v>
      </c>
    </row>
    <row r="279" spans="1:21" x14ac:dyDescent="0.3">
      <c r="A279" s="17" t="s">
        <v>532</v>
      </c>
      <c r="B279" s="18" t="s">
        <v>14</v>
      </c>
      <c r="C279" s="19">
        <v>45622</v>
      </c>
      <c r="D279" s="18" t="s">
        <v>22</v>
      </c>
      <c r="E279" s="18" t="s">
        <v>23</v>
      </c>
      <c r="F279" s="9">
        <v>4516</v>
      </c>
      <c r="G279" s="9">
        <v>836</v>
      </c>
      <c r="H279" s="9">
        <v>169</v>
      </c>
      <c r="I279" s="9">
        <v>49676</v>
      </c>
      <c r="J279" s="9">
        <v>49257</v>
      </c>
      <c r="K279" s="9">
        <v>282</v>
      </c>
      <c r="L279" s="18" t="s">
        <v>37</v>
      </c>
      <c r="M279" s="18" t="s">
        <v>38</v>
      </c>
      <c r="N279" s="9">
        <v>53484</v>
      </c>
      <c r="O279" s="9">
        <v>12307</v>
      </c>
      <c r="P279" s="9">
        <v>5.6557999999999993</v>
      </c>
      <c r="Q279" s="9">
        <v>1060357</v>
      </c>
      <c r="R279" s="9">
        <f t="shared" si="16"/>
        <v>4.5248911451520575E-3</v>
      </c>
      <c r="S279" s="23">
        <f t="shared" si="17"/>
        <v>41177</v>
      </c>
      <c r="T279">
        <f t="shared" si="18"/>
        <v>48</v>
      </c>
      <c r="U279">
        <f t="shared" si="19"/>
        <v>37303.666666666664</v>
      </c>
    </row>
    <row r="280" spans="1:21" x14ac:dyDescent="0.3">
      <c r="A280" s="13" t="s">
        <v>534</v>
      </c>
      <c r="B280" s="14" t="s">
        <v>27</v>
      </c>
      <c r="C280" s="15">
        <v>45537</v>
      </c>
      <c r="D280" s="14" t="s">
        <v>52</v>
      </c>
      <c r="E280" s="14" t="s">
        <v>53</v>
      </c>
      <c r="F280" s="8">
        <v>4905</v>
      </c>
      <c r="G280" s="8">
        <v>845</v>
      </c>
      <c r="H280" s="8">
        <v>129</v>
      </c>
      <c r="I280" s="8">
        <v>98100</v>
      </c>
      <c r="J280" s="8">
        <v>97772</v>
      </c>
      <c r="K280" s="8">
        <v>279</v>
      </c>
      <c r="L280" s="14" t="s">
        <v>30</v>
      </c>
      <c r="M280" s="14" t="s">
        <v>25</v>
      </c>
      <c r="N280" s="8">
        <v>47471</v>
      </c>
      <c r="O280" s="8">
        <v>12104</v>
      </c>
      <c r="P280" s="8">
        <v>5.5587999999999997</v>
      </c>
      <c r="Q280" s="8">
        <v>1228647</v>
      </c>
      <c r="R280" s="8">
        <f t="shared" si="16"/>
        <v>4.2192753492256117E-3</v>
      </c>
      <c r="S280" s="22">
        <f t="shared" si="17"/>
        <v>35367</v>
      </c>
      <c r="T280">
        <f t="shared" si="18"/>
        <v>36</v>
      </c>
      <c r="U280">
        <f t="shared" si="19"/>
        <v>35367</v>
      </c>
    </row>
    <row r="281" spans="1:21" x14ac:dyDescent="0.3">
      <c r="A281" s="17" t="s">
        <v>535</v>
      </c>
      <c r="B281" s="18" t="s">
        <v>27</v>
      </c>
      <c r="C281" s="19">
        <v>45586</v>
      </c>
      <c r="D281" s="18" t="s">
        <v>74</v>
      </c>
      <c r="E281" s="18" t="s">
        <v>219</v>
      </c>
      <c r="F281" s="9">
        <v>4275</v>
      </c>
      <c r="G281" s="9">
        <v>680</v>
      </c>
      <c r="H281" s="9">
        <v>385</v>
      </c>
      <c r="I281" s="9">
        <v>64125</v>
      </c>
      <c r="J281" s="9">
        <v>63650</v>
      </c>
      <c r="K281" s="9">
        <v>104</v>
      </c>
      <c r="L281" s="18" t="s">
        <v>37</v>
      </c>
      <c r="M281" s="18" t="s">
        <v>38</v>
      </c>
      <c r="N281" s="9">
        <v>47471</v>
      </c>
      <c r="O281" s="9">
        <v>12104</v>
      </c>
      <c r="P281" s="9">
        <v>5.5587999999999997</v>
      </c>
      <c r="Q281" s="9">
        <v>1228647</v>
      </c>
      <c r="R281" s="9">
        <f t="shared" si="16"/>
        <v>3.5640830930283476E-3</v>
      </c>
      <c r="S281" s="23">
        <f t="shared" si="17"/>
        <v>35367</v>
      </c>
      <c r="T281">
        <f t="shared" si="18"/>
        <v>43</v>
      </c>
      <c r="U281">
        <f t="shared" si="19"/>
        <v>39579.333333333336</v>
      </c>
    </row>
    <row r="282" spans="1:21" x14ac:dyDescent="0.3">
      <c r="A282" s="13" t="s">
        <v>536</v>
      </c>
      <c r="B282" s="14" t="s">
        <v>27</v>
      </c>
      <c r="C282" s="15">
        <v>45738</v>
      </c>
      <c r="D282" s="14" t="s">
        <v>52</v>
      </c>
      <c r="E282" s="14" t="s">
        <v>53</v>
      </c>
      <c r="F282" s="8">
        <v>3166</v>
      </c>
      <c r="G282" s="8">
        <v>90</v>
      </c>
      <c r="H282" s="8">
        <v>341</v>
      </c>
      <c r="I282" s="8">
        <v>56988</v>
      </c>
      <c r="J282" s="8">
        <v>56125</v>
      </c>
      <c r="K282" s="8">
        <v>135</v>
      </c>
      <c r="L282" s="14" t="s">
        <v>37</v>
      </c>
      <c r="M282" s="14" t="s">
        <v>25</v>
      </c>
      <c r="N282" s="8">
        <v>47471</v>
      </c>
      <c r="O282" s="8">
        <v>12104</v>
      </c>
      <c r="P282" s="8">
        <v>5.5587999999999997</v>
      </c>
      <c r="Q282" s="8">
        <v>1228647</v>
      </c>
      <c r="R282" s="8">
        <f t="shared" si="16"/>
        <v>2.6866952021207067E-3</v>
      </c>
      <c r="S282" s="22">
        <f t="shared" si="17"/>
        <v>35367</v>
      </c>
      <c r="T282">
        <f t="shared" si="18"/>
        <v>12</v>
      </c>
      <c r="U282">
        <f t="shared" si="19"/>
        <v>41516</v>
      </c>
    </row>
    <row r="283" spans="1:21" x14ac:dyDescent="0.3">
      <c r="A283" s="17" t="s">
        <v>538</v>
      </c>
      <c r="B283" s="18" t="s">
        <v>33</v>
      </c>
      <c r="C283" s="19">
        <v>45568</v>
      </c>
      <c r="D283" s="18" t="s">
        <v>74</v>
      </c>
      <c r="E283" s="18" t="s">
        <v>85</v>
      </c>
      <c r="F283" s="9">
        <v>1488</v>
      </c>
      <c r="G283" s="9">
        <v>417</v>
      </c>
      <c r="H283" s="9">
        <v>168</v>
      </c>
      <c r="I283" s="9">
        <v>19344</v>
      </c>
      <c r="J283" s="9">
        <v>18395</v>
      </c>
      <c r="K283" s="9">
        <v>30</v>
      </c>
      <c r="L283" s="18" t="s">
        <v>62</v>
      </c>
      <c r="M283" s="18" t="s">
        <v>31</v>
      </c>
      <c r="N283" s="9">
        <v>58311</v>
      </c>
      <c r="O283" s="9">
        <v>10307</v>
      </c>
      <c r="P283" s="9">
        <v>5.7155999999999993</v>
      </c>
      <c r="Q283" s="9">
        <v>1164373</v>
      </c>
      <c r="R283" s="9">
        <f t="shared" si="16"/>
        <v>1.3037059430268479E-3</v>
      </c>
      <c r="S283" s="23">
        <f t="shared" si="17"/>
        <v>48004</v>
      </c>
      <c r="T283">
        <f t="shared" si="18"/>
        <v>40</v>
      </c>
      <c r="U283">
        <f t="shared" si="19"/>
        <v>43452.666666666664</v>
      </c>
    </row>
    <row r="284" spans="1:21" x14ac:dyDescent="0.3">
      <c r="A284" s="13" t="s">
        <v>540</v>
      </c>
      <c r="B284" s="14" t="s">
        <v>14</v>
      </c>
      <c r="C284" s="15">
        <v>45786</v>
      </c>
      <c r="D284" s="14" t="s">
        <v>16</v>
      </c>
      <c r="E284" s="14" t="s">
        <v>17</v>
      </c>
      <c r="F284" s="8">
        <v>3367</v>
      </c>
      <c r="G284" s="8">
        <v>302</v>
      </c>
      <c r="H284" s="8">
        <v>57</v>
      </c>
      <c r="I284" s="8">
        <v>63973</v>
      </c>
      <c r="J284" s="8">
        <v>63789</v>
      </c>
      <c r="K284" s="8">
        <v>157</v>
      </c>
      <c r="L284" s="14" t="s">
        <v>62</v>
      </c>
      <c r="M284" s="14" t="s">
        <v>25</v>
      </c>
      <c r="N284" s="8">
        <v>53484</v>
      </c>
      <c r="O284" s="8">
        <v>12307</v>
      </c>
      <c r="P284" s="8">
        <v>5.6557999999999993</v>
      </c>
      <c r="Q284" s="8">
        <v>1060357</v>
      </c>
      <c r="R284" s="8">
        <f t="shared" si="16"/>
        <v>3.3234090028169756E-3</v>
      </c>
      <c r="S284" s="22">
        <f t="shared" si="17"/>
        <v>41177</v>
      </c>
      <c r="T284">
        <f t="shared" si="18"/>
        <v>19</v>
      </c>
      <c r="U284">
        <f t="shared" si="19"/>
        <v>39240.333333333336</v>
      </c>
    </row>
    <row r="285" spans="1:21" x14ac:dyDescent="0.3">
      <c r="A285" s="17" t="s">
        <v>542</v>
      </c>
      <c r="B285" s="18" t="s">
        <v>14</v>
      </c>
      <c r="C285" s="19">
        <v>45552</v>
      </c>
      <c r="D285" s="18" t="s">
        <v>22</v>
      </c>
      <c r="E285" s="18" t="s">
        <v>23</v>
      </c>
      <c r="F285" s="9">
        <v>571</v>
      </c>
      <c r="G285" s="9">
        <v>190</v>
      </c>
      <c r="H285" s="9">
        <v>352</v>
      </c>
      <c r="I285" s="9">
        <v>9707</v>
      </c>
      <c r="J285" s="9">
        <v>9418</v>
      </c>
      <c r="K285" s="9">
        <v>231</v>
      </c>
      <c r="L285" s="18" t="s">
        <v>30</v>
      </c>
      <c r="M285" s="18" t="s">
        <v>38</v>
      </c>
      <c r="N285" s="9">
        <v>53484</v>
      </c>
      <c r="O285" s="9">
        <v>12307</v>
      </c>
      <c r="P285" s="9">
        <v>5.6557999999999993</v>
      </c>
      <c r="Q285" s="9">
        <v>1060357</v>
      </c>
      <c r="R285" s="9">
        <f t="shared" si="16"/>
        <v>7.5634904093621299E-4</v>
      </c>
      <c r="S285" s="23">
        <f t="shared" si="17"/>
        <v>41177</v>
      </c>
      <c r="T285">
        <f t="shared" si="18"/>
        <v>38</v>
      </c>
      <c r="U285">
        <f t="shared" si="19"/>
        <v>37303.666666666664</v>
      </c>
    </row>
    <row r="286" spans="1:21" x14ac:dyDescent="0.3">
      <c r="A286" s="13" t="s">
        <v>543</v>
      </c>
      <c r="B286" s="14" t="s">
        <v>27</v>
      </c>
      <c r="C286" s="15">
        <v>45491</v>
      </c>
      <c r="D286" s="14" t="s">
        <v>22</v>
      </c>
      <c r="E286" s="14" t="s">
        <v>104</v>
      </c>
      <c r="F286" s="8">
        <v>4021</v>
      </c>
      <c r="G286" s="8">
        <v>794</v>
      </c>
      <c r="H286" s="8">
        <v>77</v>
      </c>
      <c r="I286" s="8">
        <v>36189</v>
      </c>
      <c r="J286" s="8">
        <v>35505</v>
      </c>
      <c r="K286" s="8">
        <v>174</v>
      </c>
      <c r="L286" s="14" t="s">
        <v>37</v>
      </c>
      <c r="M286" s="14"/>
      <c r="N286" s="8">
        <v>47471</v>
      </c>
      <c r="O286" s="8">
        <v>12104</v>
      </c>
      <c r="P286" s="8">
        <v>5.5587999999999997</v>
      </c>
      <c r="Q286" s="8">
        <v>1228647</v>
      </c>
      <c r="R286" s="8">
        <f t="shared" si="16"/>
        <v>3.4143248630404016E-3</v>
      </c>
      <c r="S286" s="22">
        <f t="shared" si="17"/>
        <v>35367</v>
      </c>
      <c r="T286">
        <f t="shared" si="18"/>
        <v>29</v>
      </c>
      <c r="U286">
        <f t="shared" si="19"/>
        <v>39579.333333333336</v>
      </c>
    </row>
    <row r="287" spans="1:21" x14ac:dyDescent="0.3">
      <c r="A287" s="17" t="s">
        <v>544</v>
      </c>
      <c r="B287" s="18" t="s">
        <v>27</v>
      </c>
      <c r="C287" s="19">
        <v>45560</v>
      </c>
      <c r="D287" s="18" t="s">
        <v>74</v>
      </c>
      <c r="E287" s="18" t="s">
        <v>219</v>
      </c>
      <c r="F287" s="9">
        <v>3389</v>
      </c>
      <c r="G287" s="9">
        <v>344</v>
      </c>
      <c r="H287" s="9">
        <v>229</v>
      </c>
      <c r="I287" s="9">
        <v>20334</v>
      </c>
      <c r="J287" s="9">
        <v>19443</v>
      </c>
      <c r="K287" s="9">
        <v>228</v>
      </c>
      <c r="L287" s="18" t="s">
        <v>62</v>
      </c>
      <c r="M287" s="18" t="s">
        <v>31</v>
      </c>
      <c r="N287" s="9">
        <v>47471</v>
      </c>
      <c r="O287" s="9">
        <v>12104</v>
      </c>
      <c r="P287" s="9">
        <v>5.5587999999999997</v>
      </c>
      <c r="Q287" s="9">
        <v>1228647</v>
      </c>
      <c r="R287" s="9">
        <f t="shared" si="16"/>
        <v>2.9438886840565271E-3</v>
      </c>
      <c r="S287" s="23">
        <f t="shared" si="17"/>
        <v>35367</v>
      </c>
      <c r="T287">
        <f t="shared" si="18"/>
        <v>39</v>
      </c>
      <c r="U287">
        <f t="shared" si="19"/>
        <v>39579.333333333336</v>
      </c>
    </row>
    <row r="288" spans="1:21" x14ac:dyDescent="0.3">
      <c r="A288" s="13" t="s">
        <v>546</v>
      </c>
      <c r="B288" s="14" t="s">
        <v>33</v>
      </c>
      <c r="C288" s="15">
        <v>45519</v>
      </c>
      <c r="D288" s="14" t="s">
        <v>16</v>
      </c>
      <c r="E288" s="14" t="s">
        <v>82</v>
      </c>
      <c r="F288" s="8">
        <v>1164</v>
      </c>
      <c r="G288" s="8">
        <v>616</v>
      </c>
      <c r="H288" s="8">
        <v>324</v>
      </c>
      <c r="I288" s="8">
        <v>6984</v>
      </c>
      <c r="J288" s="8">
        <v>6636</v>
      </c>
      <c r="K288" s="8">
        <v>82</v>
      </c>
      <c r="L288" s="14" t="s">
        <v>37</v>
      </c>
      <c r="M288" s="14" t="s">
        <v>19</v>
      </c>
      <c r="N288" s="8">
        <v>58311</v>
      </c>
      <c r="O288" s="8">
        <v>10307</v>
      </c>
      <c r="P288" s="8">
        <v>5.7155999999999993</v>
      </c>
      <c r="Q288" s="8">
        <v>1164373</v>
      </c>
      <c r="R288" s="8">
        <f t="shared" si="16"/>
        <v>1.0701038241182164E-3</v>
      </c>
      <c r="S288" s="22">
        <f t="shared" si="17"/>
        <v>48004</v>
      </c>
      <c r="T288">
        <f t="shared" si="18"/>
        <v>33</v>
      </c>
      <c r="U288">
        <f t="shared" si="19"/>
        <v>39642.666666666664</v>
      </c>
    </row>
    <row r="289" spans="1:21" x14ac:dyDescent="0.3">
      <c r="A289" s="17" t="s">
        <v>547</v>
      </c>
      <c r="B289" s="18" t="s">
        <v>27</v>
      </c>
      <c r="C289" s="19">
        <v>45764</v>
      </c>
      <c r="D289" s="18" t="s">
        <v>45</v>
      </c>
      <c r="E289" s="18" t="s">
        <v>68</v>
      </c>
      <c r="F289" s="9">
        <v>4780</v>
      </c>
      <c r="G289" s="9">
        <v>691</v>
      </c>
      <c r="H289" s="9">
        <v>380</v>
      </c>
      <c r="I289" s="9">
        <v>86040</v>
      </c>
      <c r="J289" s="9">
        <v>85743</v>
      </c>
      <c r="K289" s="9">
        <v>262</v>
      </c>
      <c r="L289" s="18" t="s">
        <v>62</v>
      </c>
      <c r="M289" s="18" t="s">
        <v>31</v>
      </c>
      <c r="N289" s="9">
        <v>47471</v>
      </c>
      <c r="O289" s="9">
        <v>12104</v>
      </c>
      <c r="P289" s="9">
        <v>5.5587999999999997</v>
      </c>
      <c r="Q289" s="9">
        <v>1228647</v>
      </c>
      <c r="R289" s="9">
        <f t="shared" si="16"/>
        <v>4.1037010630392617E-3</v>
      </c>
      <c r="S289" s="23">
        <f t="shared" si="17"/>
        <v>35367</v>
      </c>
      <c r="T289">
        <f t="shared" si="18"/>
        <v>16</v>
      </c>
      <c r="U289">
        <f t="shared" si="19"/>
        <v>39642.666666666664</v>
      </c>
    </row>
    <row r="290" spans="1:21" x14ac:dyDescent="0.3">
      <c r="A290" s="13" t="s">
        <v>549</v>
      </c>
      <c r="B290" s="14" t="s">
        <v>43</v>
      </c>
      <c r="C290" s="15">
        <v>45624</v>
      </c>
      <c r="D290" s="14" t="s">
        <v>45</v>
      </c>
      <c r="E290" s="14" t="s">
        <v>46</v>
      </c>
      <c r="F290" s="8">
        <v>2751</v>
      </c>
      <c r="G290" s="8">
        <v>33</v>
      </c>
      <c r="H290" s="8">
        <v>430</v>
      </c>
      <c r="I290" s="8">
        <v>44016</v>
      </c>
      <c r="J290" s="8">
        <v>43415</v>
      </c>
      <c r="K290" s="8">
        <v>129</v>
      </c>
      <c r="L290" s="14" t="s">
        <v>62</v>
      </c>
      <c r="M290" s="14"/>
      <c r="N290" s="8">
        <v>50862</v>
      </c>
      <c r="O290" s="8">
        <v>15305</v>
      </c>
      <c r="P290" s="8">
        <v>5.6486000000000001</v>
      </c>
      <c r="Q290" s="8">
        <v>1379539</v>
      </c>
      <c r="R290" s="8">
        <f t="shared" si="16"/>
        <v>2.0876539191715493E-3</v>
      </c>
      <c r="S290" s="22">
        <f t="shared" si="17"/>
        <v>35557</v>
      </c>
      <c r="T290">
        <f t="shared" si="18"/>
        <v>48</v>
      </c>
      <c r="U290">
        <f t="shared" si="19"/>
        <v>39706</v>
      </c>
    </row>
    <row r="291" spans="1:21" x14ac:dyDescent="0.3">
      <c r="A291" s="17" t="s">
        <v>550</v>
      </c>
      <c r="B291" s="18" t="s">
        <v>33</v>
      </c>
      <c r="C291" s="19">
        <v>45646</v>
      </c>
      <c r="D291" s="18" t="s">
        <v>45</v>
      </c>
      <c r="E291" s="18" t="s">
        <v>88</v>
      </c>
      <c r="F291" s="9">
        <v>2107</v>
      </c>
      <c r="G291" s="9">
        <v>550</v>
      </c>
      <c r="H291" s="9">
        <v>349</v>
      </c>
      <c r="I291" s="9">
        <v>35819</v>
      </c>
      <c r="J291" s="9">
        <v>35340</v>
      </c>
      <c r="K291" s="9">
        <v>191</v>
      </c>
      <c r="L291" s="18" t="s">
        <v>37</v>
      </c>
      <c r="M291" s="18" t="s">
        <v>38</v>
      </c>
      <c r="N291" s="9">
        <v>58311</v>
      </c>
      <c r="O291" s="9">
        <v>10307</v>
      </c>
      <c r="P291" s="9">
        <v>5.7155999999999993</v>
      </c>
      <c r="Q291" s="9">
        <v>1164373</v>
      </c>
      <c r="R291" s="9">
        <f t="shared" si="16"/>
        <v>1.9735943722501295E-3</v>
      </c>
      <c r="S291" s="23">
        <f t="shared" si="17"/>
        <v>48004</v>
      </c>
      <c r="T291">
        <f t="shared" si="18"/>
        <v>51</v>
      </c>
      <c r="U291">
        <f t="shared" si="19"/>
        <v>39706</v>
      </c>
    </row>
    <row r="292" spans="1:21" x14ac:dyDescent="0.3">
      <c r="A292" s="13" t="s">
        <v>552</v>
      </c>
      <c r="B292" s="14" t="s">
        <v>43</v>
      </c>
      <c r="C292" s="15">
        <v>45602</v>
      </c>
      <c r="D292" s="14" t="s">
        <v>74</v>
      </c>
      <c r="E292" s="14" t="s">
        <v>75</v>
      </c>
      <c r="F292" s="8">
        <v>4663</v>
      </c>
      <c r="G292" s="8">
        <v>145</v>
      </c>
      <c r="H292" s="8">
        <v>225</v>
      </c>
      <c r="I292" s="8">
        <v>69945</v>
      </c>
      <c r="J292" s="8">
        <v>69596</v>
      </c>
      <c r="K292" s="8">
        <v>35</v>
      </c>
      <c r="L292" s="14" t="s">
        <v>37</v>
      </c>
      <c r="M292" s="14" t="s">
        <v>38</v>
      </c>
      <c r="N292" s="8">
        <v>50862</v>
      </c>
      <c r="O292" s="8">
        <v>15305</v>
      </c>
      <c r="P292" s="8">
        <v>5.6486000000000001</v>
      </c>
      <c r="Q292" s="8">
        <v>1379539</v>
      </c>
      <c r="R292" s="8">
        <f t="shared" si="16"/>
        <v>3.4054854556485898E-3</v>
      </c>
      <c r="S292" s="22">
        <f t="shared" si="17"/>
        <v>35557</v>
      </c>
      <c r="T292">
        <f t="shared" si="18"/>
        <v>45</v>
      </c>
      <c r="U292">
        <f t="shared" si="19"/>
        <v>35557</v>
      </c>
    </row>
    <row r="293" spans="1:21" x14ac:dyDescent="0.3">
      <c r="A293" s="17" t="s">
        <v>553</v>
      </c>
      <c r="B293" s="18" t="s">
        <v>43</v>
      </c>
      <c r="C293" s="19">
        <v>45613</v>
      </c>
      <c r="D293" s="18" t="s">
        <v>22</v>
      </c>
      <c r="E293" s="18" t="s">
        <v>56</v>
      </c>
      <c r="F293" s="9">
        <v>880</v>
      </c>
      <c r="G293" s="9">
        <v>297</v>
      </c>
      <c r="H293" s="9">
        <v>345</v>
      </c>
      <c r="I293" s="9">
        <v>12320</v>
      </c>
      <c r="J293" s="9">
        <v>11978</v>
      </c>
      <c r="K293" s="9">
        <v>238</v>
      </c>
      <c r="L293" s="18" t="s">
        <v>30</v>
      </c>
      <c r="M293" s="18"/>
      <c r="N293" s="9">
        <v>50862</v>
      </c>
      <c r="O293" s="9">
        <v>15305</v>
      </c>
      <c r="P293" s="9">
        <v>5.6486000000000001</v>
      </c>
      <c r="Q293" s="9">
        <v>1379539</v>
      </c>
      <c r="R293" s="9">
        <f t="shared" si="16"/>
        <v>8.1041565334506673E-4</v>
      </c>
      <c r="S293" s="23">
        <f t="shared" si="17"/>
        <v>35557</v>
      </c>
      <c r="T293">
        <f t="shared" si="18"/>
        <v>47</v>
      </c>
      <c r="U293">
        <f t="shared" si="19"/>
        <v>35557</v>
      </c>
    </row>
    <row r="294" spans="1:21" x14ac:dyDescent="0.3">
      <c r="A294" s="13" t="s">
        <v>555</v>
      </c>
      <c r="B294" s="14" t="s">
        <v>43</v>
      </c>
      <c r="C294" s="15">
        <v>45791</v>
      </c>
      <c r="D294" s="14" t="s">
        <v>22</v>
      </c>
      <c r="E294" s="14" t="s">
        <v>56</v>
      </c>
      <c r="F294" s="8">
        <v>2634</v>
      </c>
      <c r="G294" s="8">
        <v>726</v>
      </c>
      <c r="H294" s="8">
        <v>241</v>
      </c>
      <c r="I294" s="8">
        <v>28974</v>
      </c>
      <c r="J294" s="8">
        <v>28102</v>
      </c>
      <c r="K294" s="8">
        <v>277</v>
      </c>
      <c r="L294" s="14" t="s">
        <v>37</v>
      </c>
      <c r="M294" s="14" t="s">
        <v>19</v>
      </c>
      <c r="N294" s="8">
        <v>50862</v>
      </c>
      <c r="O294" s="8">
        <v>15305</v>
      </c>
      <c r="P294" s="8">
        <v>5.6486000000000001</v>
      </c>
      <c r="Q294" s="8">
        <v>1379539</v>
      </c>
      <c r="R294" s="8">
        <f t="shared" si="16"/>
        <v>2.1101251939959651E-3</v>
      </c>
      <c r="S294" s="22">
        <f t="shared" si="17"/>
        <v>35557</v>
      </c>
      <c r="T294">
        <f t="shared" si="18"/>
        <v>20</v>
      </c>
      <c r="U294">
        <f t="shared" si="19"/>
        <v>37430.333333333336</v>
      </c>
    </row>
    <row r="295" spans="1:21" x14ac:dyDescent="0.3">
      <c r="A295" s="17" t="s">
        <v>557</v>
      </c>
      <c r="B295" s="18" t="s">
        <v>43</v>
      </c>
      <c r="C295" s="19">
        <v>45462</v>
      </c>
      <c r="D295" s="18" t="s">
        <v>45</v>
      </c>
      <c r="E295" s="18" t="s">
        <v>46</v>
      </c>
      <c r="F295" s="9">
        <v>4731</v>
      </c>
      <c r="G295" s="9">
        <v>173</v>
      </c>
      <c r="H295" s="9">
        <v>276</v>
      </c>
      <c r="I295" s="9">
        <v>28386</v>
      </c>
      <c r="J295" s="9">
        <v>28185</v>
      </c>
      <c r="K295" s="9">
        <v>89</v>
      </c>
      <c r="L295" s="18" t="s">
        <v>37</v>
      </c>
      <c r="M295" s="18" t="s">
        <v>31</v>
      </c>
      <c r="N295" s="9">
        <v>50862</v>
      </c>
      <c r="O295" s="9">
        <v>15305</v>
      </c>
      <c r="P295" s="9">
        <v>5.6486000000000001</v>
      </c>
      <c r="Q295" s="9">
        <v>1379539</v>
      </c>
      <c r="R295" s="9">
        <f t="shared" si="16"/>
        <v>3.4939207952801622E-3</v>
      </c>
      <c r="S295" s="23">
        <f t="shared" si="17"/>
        <v>35557</v>
      </c>
      <c r="T295">
        <f t="shared" si="18"/>
        <v>25</v>
      </c>
      <c r="U295">
        <f t="shared" si="19"/>
        <v>39303.666666666664</v>
      </c>
    </row>
    <row r="296" spans="1:21" x14ac:dyDescent="0.3">
      <c r="A296" s="13" t="s">
        <v>559</v>
      </c>
      <c r="B296" s="14" t="s">
        <v>14</v>
      </c>
      <c r="C296" s="15">
        <v>45783</v>
      </c>
      <c r="D296" s="14" t="s">
        <v>52</v>
      </c>
      <c r="E296" s="14" t="s">
        <v>132</v>
      </c>
      <c r="F296" s="8">
        <v>1952</v>
      </c>
      <c r="G296" s="8">
        <v>344</v>
      </c>
      <c r="H296" s="8">
        <v>287</v>
      </c>
      <c r="I296" s="8">
        <v>15616</v>
      </c>
      <c r="J296" s="8">
        <v>15403</v>
      </c>
      <c r="K296" s="8">
        <v>235</v>
      </c>
      <c r="L296" s="14" t="s">
        <v>62</v>
      </c>
      <c r="M296" s="14" t="s">
        <v>25</v>
      </c>
      <c r="N296" s="8">
        <v>53484</v>
      </c>
      <c r="O296" s="8">
        <v>12307</v>
      </c>
      <c r="P296" s="8">
        <v>5.6557999999999993</v>
      </c>
      <c r="Q296" s="8">
        <v>1060357</v>
      </c>
      <c r="R296" s="8">
        <f t="shared" si="16"/>
        <v>2.0625129083884012E-3</v>
      </c>
      <c r="S296" s="22">
        <f t="shared" si="17"/>
        <v>41177</v>
      </c>
      <c r="T296">
        <f t="shared" si="18"/>
        <v>19</v>
      </c>
      <c r="U296">
        <f t="shared" si="19"/>
        <v>41177</v>
      </c>
    </row>
    <row r="297" spans="1:21" x14ac:dyDescent="0.3">
      <c r="A297" s="17" t="s">
        <v>560</v>
      </c>
      <c r="B297" s="18" t="s">
        <v>14</v>
      </c>
      <c r="C297" s="19">
        <v>45699</v>
      </c>
      <c r="D297" s="18" t="s">
        <v>74</v>
      </c>
      <c r="E297" s="18" t="s">
        <v>145</v>
      </c>
      <c r="F297" s="9">
        <v>3440</v>
      </c>
      <c r="G297" s="9">
        <v>13</v>
      </c>
      <c r="H297" s="9">
        <v>20</v>
      </c>
      <c r="I297" s="9">
        <v>58480</v>
      </c>
      <c r="J297" s="9">
        <v>58146</v>
      </c>
      <c r="K297" s="9">
        <v>210</v>
      </c>
      <c r="L297" s="18" t="s">
        <v>30</v>
      </c>
      <c r="M297" s="18" t="s">
        <v>38</v>
      </c>
      <c r="N297" s="9">
        <v>53484</v>
      </c>
      <c r="O297" s="9">
        <v>12307</v>
      </c>
      <c r="P297" s="9">
        <v>5.6557999999999993</v>
      </c>
      <c r="Q297" s="9">
        <v>1060357</v>
      </c>
      <c r="R297" s="9">
        <f t="shared" si="16"/>
        <v>3.4422369070039619E-3</v>
      </c>
      <c r="S297" s="23">
        <f t="shared" si="17"/>
        <v>41177</v>
      </c>
      <c r="T297">
        <f t="shared" si="18"/>
        <v>7</v>
      </c>
      <c r="U297">
        <f t="shared" si="19"/>
        <v>39303.666666666664</v>
      </c>
    </row>
    <row r="298" spans="1:21" x14ac:dyDescent="0.3">
      <c r="A298" s="13" t="s">
        <v>562</v>
      </c>
      <c r="B298" s="14" t="s">
        <v>14</v>
      </c>
      <c r="C298" s="15">
        <v>45650</v>
      </c>
      <c r="D298" s="14" t="s">
        <v>22</v>
      </c>
      <c r="E298" s="14" t="s">
        <v>23</v>
      </c>
      <c r="F298" s="8">
        <v>2166</v>
      </c>
      <c r="G298" s="8">
        <v>354</v>
      </c>
      <c r="H298" s="8">
        <v>117</v>
      </c>
      <c r="I298" s="8">
        <v>10830</v>
      </c>
      <c r="J298" s="8">
        <v>10245</v>
      </c>
      <c r="K298" s="8">
        <v>24</v>
      </c>
      <c r="L298" s="14" t="s">
        <v>37</v>
      </c>
      <c r="M298" s="14" t="s">
        <v>38</v>
      </c>
      <c r="N298" s="8">
        <v>53484</v>
      </c>
      <c r="O298" s="8">
        <v>12307</v>
      </c>
      <c r="P298" s="8">
        <v>5.6557999999999993</v>
      </c>
      <c r="Q298" s="8">
        <v>1060357</v>
      </c>
      <c r="R298" s="8">
        <f t="shared" si="16"/>
        <v>2.065342144202377E-3</v>
      </c>
      <c r="S298" s="22">
        <f t="shared" si="17"/>
        <v>41177</v>
      </c>
      <c r="T298">
        <f t="shared" si="18"/>
        <v>52</v>
      </c>
      <c r="U298">
        <f t="shared" si="19"/>
        <v>37430.333333333336</v>
      </c>
    </row>
    <row r="299" spans="1:21" x14ac:dyDescent="0.3">
      <c r="A299" s="17" t="s">
        <v>564</v>
      </c>
      <c r="B299" s="18" t="s">
        <v>43</v>
      </c>
      <c r="C299" s="19">
        <v>45589</v>
      </c>
      <c r="D299" s="18" t="s">
        <v>52</v>
      </c>
      <c r="E299" s="18" t="s">
        <v>59</v>
      </c>
      <c r="F299" s="9">
        <v>4303</v>
      </c>
      <c r="G299" s="9">
        <v>451</v>
      </c>
      <c r="H299" s="9">
        <v>286</v>
      </c>
      <c r="I299" s="9">
        <v>86060</v>
      </c>
      <c r="J299" s="9">
        <v>85823</v>
      </c>
      <c r="K299" s="9">
        <v>14</v>
      </c>
      <c r="L299" s="18" t="s">
        <v>30</v>
      </c>
      <c r="M299" s="18" t="s">
        <v>31</v>
      </c>
      <c r="N299" s="9">
        <v>50862</v>
      </c>
      <c r="O299" s="9">
        <v>15305</v>
      </c>
      <c r="P299" s="9">
        <v>5.6486000000000001</v>
      </c>
      <c r="Q299" s="9">
        <v>1379539</v>
      </c>
      <c r="R299" s="9">
        <f t="shared" si="16"/>
        <v>3.1293062392581871E-3</v>
      </c>
      <c r="S299" s="23">
        <f t="shared" si="17"/>
        <v>35557</v>
      </c>
      <c r="T299">
        <f t="shared" si="18"/>
        <v>43</v>
      </c>
      <c r="U299">
        <f t="shared" si="19"/>
        <v>37430.333333333336</v>
      </c>
    </row>
    <row r="300" spans="1:21" x14ac:dyDescent="0.3">
      <c r="A300" s="13" t="s">
        <v>565</v>
      </c>
      <c r="B300" s="14" t="s">
        <v>43</v>
      </c>
      <c r="C300" s="15">
        <v>45530</v>
      </c>
      <c r="D300" s="14" t="s">
        <v>52</v>
      </c>
      <c r="E300" s="14" t="s">
        <v>59</v>
      </c>
      <c r="F300" s="8">
        <v>2581</v>
      </c>
      <c r="G300" s="8">
        <v>517</v>
      </c>
      <c r="H300" s="8">
        <v>117</v>
      </c>
      <c r="I300" s="8">
        <v>23229</v>
      </c>
      <c r="J300" s="8">
        <v>22331</v>
      </c>
      <c r="K300" s="8">
        <v>70</v>
      </c>
      <c r="L300" s="14" t="s">
        <v>62</v>
      </c>
      <c r="M300" s="14" t="s">
        <v>31</v>
      </c>
      <c r="N300" s="8">
        <v>50862</v>
      </c>
      <c r="O300" s="8">
        <v>15305</v>
      </c>
      <c r="P300" s="8">
        <v>5.6486000000000001</v>
      </c>
      <c r="Q300" s="8">
        <v>1379539</v>
      </c>
      <c r="R300" s="8">
        <f t="shared" si="16"/>
        <v>1.9216564374040894E-3</v>
      </c>
      <c r="S300" s="22">
        <f t="shared" si="17"/>
        <v>35557</v>
      </c>
      <c r="T300">
        <f t="shared" si="18"/>
        <v>35</v>
      </c>
      <c r="U300">
        <f t="shared" si="19"/>
        <v>38367</v>
      </c>
    </row>
    <row r="301" spans="1:21" x14ac:dyDescent="0.3">
      <c r="A301" s="17" t="s">
        <v>566</v>
      </c>
      <c r="B301" s="18" t="s">
        <v>14</v>
      </c>
      <c r="C301" s="19">
        <v>45535</v>
      </c>
      <c r="D301" s="18" t="s">
        <v>45</v>
      </c>
      <c r="E301" s="18" t="s">
        <v>49</v>
      </c>
      <c r="F301" s="9">
        <v>4494</v>
      </c>
      <c r="G301" s="9">
        <v>717</v>
      </c>
      <c r="H301" s="9">
        <v>45</v>
      </c>
      <c r="I301" s="9">
        <v>62916</v>
      </c>
      <c r="J301" s="9">
        <v>62688</v>
      </c>
      <c r="K301" s="9">
        <v>191</v>
      </c>
      <c r="L301" s="18" t="s">
        <v>30</v>
      </c>
      <c r="M301" s="18" t="s">
        <v>19</v>
      </c>
      <c r="N301" s="9">
        <v>53484</v>
      </c>
      <c r="O301" s="9">
        <v>12307</v>
      </c>
      <c r="P301" s="9">
        <v>5.6557999999999993</v>
      </c>
      <c r="Q301" s="9">
        <v>1060357</v>
      </c>
      <c r="R301" s="9">
        <f t="shared" si="16"/>
        <v>4.4183232628256328E-3</v>
      </c>
      <c r="S301" s="23">
        <f t="shared" si="17"/>
        <v>41177</v>
      </c>
      <c r="T301">
        <f t="shared" si="18"/>
        <v>35</v>
      </c>
      <c r="U301">
        <f t="shared" si="19"/>
        <v>41177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54D8-5A44-441F-B413-C79271FE23E9}">
  <dimension ref="A3:F57"/>
  <sheetViews>
    <sheetView workbookViewId="0">
      <selection activeCell="G18" sqref="G18"/>
    </sheetView>
  </sheetViews>
  <sheetFormatPr defaultRowHeight="14.4" x14ac:dyDescent="0.3"/>
  <cols>
    <col min="1" max="1" width="25.21875" bestFit="1" customWidth="1"/>
    <col min="2" max="2" width="15.5546875" bestFit="1" customWidth="1"/>
    <col min="3" max="3" width="9.44140625" bestFit="1" customWidth="1"/>
    <col min="4" max="4" width="8" bestFit="1" customWidth="1"/>
    <col min="5" max="5" width="8.44140625" bestFit="1" customWidth="1"/>
    <col min="6" max="6" width="10.77734375" bestFit="1" customWidth="1"/>
  </cols>
  <sheetData>
    <row r="3" spans="1:6" x14ac:dyDescent="0.3">
      <c r="A3" s="11" t="s">
        <v>647</v>
      </c>
      <c r="B3" s="11" t="s">
        <v>621</v>
      </c>
    </row>
    <row r="4" spans="1:6" x14ac:dyDescent="0.3">
      <c r="A4" s="11" t="s">
        <v>619</v>
      </c>
      <c r="B4" t="s">
        <v>43</v>
      </c>
      <c r="C4" t="s">
        <v>33</v>
      </c>
      <c r="D4" t="s">
        <v>14</v>
      </c>
      <c r="E4" t="s">
        <v>27</v>
      </c>
      <c r="F4" t="s">
        <v>620</v>
      </c>
    </row>
    <row r="5" spans="1:6" x14ac:dyDescent="0.3">
      <c r="A5" s="12">
        <v>1</v>
      </c>
      <c r="B5" s="4">
        <v>35557</v>
      </c>
      <c r="C5" s="4">
        <v>96008</v>
      </c>
      <c r="D5" s="4">
        <v>82354</v>
      </c>
      <c r="E5" s="4"/>
      <c r="F5" s="4">
        <v>213919</v>
      </c>
    </row>
    <row r="6" spans="1:6" x14ac:dyDescent="0.3">
      <c r="A6" s="12">
        <v>2</v>
      </c>
      <c r="B6" s="4">
        <v>35557</v>
      </c>
      <c r="C6" s="4">
        <v>48004</v>
      </c>
      <c r="D6" s="4">
        <v>82354</v>
      </c>
      <c r="E6" s="4"/>
      <c r="F6" s="4">
        <v>165915</v>
      </c>
    </row>
    <row r="7" spans="1:6" x14ac:dyDescent="0.3">
      <c r="A7" s="12">
        <v>3</v>
      </c>
      <c r="B7" s="4">
        <v>71114</v>
      </c>
      <c r="C7" s="4">
        <v>48004</v>
      </c>
      <c r="D7" s="4">
        <v>82354</v>
      </c>
      <c r="E7" s="4">
        <v>70734</v>
      </c>
      <c r="F7" s="4">
        <v>272206</v>
      </c>
    </row>
    <row r="8" spans="1:6" x14ac:dyDescent="0.3">
      <c r="A8" s="12">
        <v>4</v>
      </c>
      <c r="B8" s="4">
        <v>35557</v>
      </c>
      <c r="C8" s="4"/>
      <c r="D8" s="4"/>
      <c r="E8" s="4"/>
      <c r="F8" s="4">
        <v>35557</v>
      </c>
    </row>
    <row r="9" spans="1:6" x14ac:dyDescent="0.3">
      <c r="A9" s="12">
        <v>5</v>
      </c>
      <c r="B9" s="4">
        <v>35557</v>
      </c>
      <c r="C9" s="4">
        <v>96008</v>
      </c>
      <c r="D9" s="4">
        <v>82354</v>
      </c>
      <c r="E9" s="4">
        <v>35367</v>
      </c>
      <c r="F9" s="4">
        <v>249286</v>
      </c>
    </row>
    <row r="10" spans="1:6" x14ac:dyDescent="0.3">
      <c r="A10" s="12">
        <v>6</v>
      </c>
      <c r="B10" s="4">
        <v>71114</v>
      </c>
      <c r="C10" s="4">
        <v>144012</v>
      </c>
      <c r="D10" s="4"/>
      <c r="E10" s="4"/>
      <c r="F10" s="4">
        <v>215126</v>
      </c>
    </row>
    <row r="11" spans="1:6" x14ac:dyDescent="0.3">
      <c r="A11" s="12">
        <v>7</v>
      </c>
      <c r="B11" s="4">
        <v>35557</v>
      </c>
      <c r="C11" s="4">
        <v>48004</v>
      </c>
      <c r="D11" s="4">
        <v>41177</v>
      </c>
      <c r="E11" s="4">
        <v>35367</v>
      </c>
      <c r="F11" s="4">
        <v>160105</v>
      </c>
    </row>
    <row r="12" spans="1:6" x14ac:dyDescent="0.3">
      <c r="A12" s="12">
        <v>8</v>
      </c>
      <c r="B12" s="4">
        <v>35557</v>
      </c>
      <c r="C12" s="4"/>
      <c r="D12" s="4">
        <v>123531</v>
      </c>
      <c r="E12" s="4">
        <v>70734</v>
      </c>
      <c r="F12" s="4">
        <v>229822</v>
      </c>
    </row>
    <row r="13" spans="1:6" x14ac:dyDescent="0.3">
      <c r="A13" s="12">
        <v>9</v>
      </c>
      <c r="B13" s="4">
        <v>35557</v>
      </c>
      <c r="C13" s="4">
        <v>48004</v>
      </c>
      <c r="D13" s="4">
        <v>41177</v>
      </c>
      <c r="E13" s="4">
        <v>106101</v>
      </c>
      <c r="F13" s="4">
        <v>230839</v>
      </c>
    </row>
    <row r="14" spans="1:6" x14ac:dyDescent="0.3">
      <c r="A14" s="12">
        <v>10</v>
      </c>
      <c r="B14" s="4">
        <v>71114</v>
      </c>
      <c r="C14" s="4">
        <v>144012</v>
      </c>
      <c r="D14" s="4">
        <v>164708</v>
      </c>
      <c r="E14" s="4">
        <v>106101</v>
      </c>
      <c r="F14" s="4">
        <v>485935</v>
      </c>
    </row>
    <row r="15" spans="1:6" x14ac:dyDescent="0.3">
      <c r="A15" s="12">
        <v>11</v>
      </c>
      <c r="B15" s="4">
        <v>35557</v>
      </c>
      <c r="C15" s="4"/>
      <c r="D15" s="4">
        <v>41177</v>
      </c>
      <c r="E15" s="4">
        <v>35367</v>
      </c>
      <c r="F15" s="4">
        <v>112101</v>
      </c>
    </row>
    <row r="16" spans="1:6" x14ac:dyDescent="0.3">
      <c r="A16" s="12">
        <v>12</v>
      </c>
      <c r="B16" s="4"/>
      <c r="C16" s="4"/>
      <c r="D16" s="4">
        <v>41177</v>
      </c>
      <c r="E16" s="4">
        <v>106101</v>
      </c>
      <c r="F16" s="4">
        <v>147278</v>
      </c>
    </row>
    <row r="17" spans="1:6" x14ac:dyDescent="0.3">
      <c r="A17" s="12">
        <v>13</v>
      </c>
      <c r="B17" s="4">
        <v>177785</v>
      </c>
      <c r="C17" s="4">
        <v>192016</v>
      </c>
      <c r="D17" s="4">
        <v>82354</v>
      </c>
      <c r="E17" s="4">
        <v>70734</v>
      </c>
      <c r="F17" s="4">
        <v>522889</v>
      </c>
    </row>
    <row r="18" spans="1:6" x14ac:dyDescent="0.3">
      <c r="A18" s="12">
        <v>14</v>
      </c>
      <c r="B18" s="4">
        <v>106671</v>
      </c>
      <c r="C18" s="4"/>
      <c r="D18" s="4">
        <v>41177</v>
      </c>
      <c r="E18" s="4">
        <v>35367</v>
      </c>
      <c r="F18" s="4">
        <v>183215</v>
      </c>
    </row>
    <row r="19" spans="1:6" x14ac:dyDescent="0.3">
      <c r="A19" s="12">
        <v>15</v>
      </c>
      <c r="B19" s="4">
        <v>106671</v>
      </c>
      <c r="C19" s="4">
        <v>48004</v>
      </c>
      <c r="D19" s="4">
        <v>41177</v>
      </c>
      <c r="E19" s="4">
        <v>35367</v>
      </c>
      <c r="F19" s="4">
        <v>231219</v>
      </c>
    </row>
    <row r="20" spans="1:6" x14ac:dyDescent="0.3">
      <c r="A20" s="12">
        <v>16</v>
      </c>
      <c r="B20" s="4"/>
      <c r="C20" s="4">
        <v>240020</v>
      </c>
      <c r="D20" s="4"/>
      <c r="E20" s="4">
        <v>35367</v>
      </c>
      <c r="F20" s="4">
        <v>275387</v>
      </c>
    </row>
    <row r="21" spans="1:6" x14ac:dyDescent="0.3">
      <c r="A21" s="12">
        <v>17</v>
      </c>
      <c r="B21" s="4">
        <v>35557</v>
      </c>
      <c r="C21" s="4"/>
      <c r="D21" s="4">
        <v>82354</v>
      </c>
      <c r="E21" s="4"/>
      <c r="F21" s="4">
        <v>117911</v>
      </c>
    </row>
    <row r="22" spans="1:6" x14ac:dyDescent="0.3">
      <c r="A22" s="12">
        <v>18</v>
      </c>
      <c r="B22" s="4">
        <v>71114</v>
      </c>
      <c r="C22" s="4">
        <v>48004</v>
      </c>
      <c r="D22" s="4">
        <v>123531</v>
      </c>
      <c r="E22" s="4"/>
      <c r="F22" s="4">
        <v>242649</v>
      </c>
    </row>
    <row r="23" spans="1:6" x14ac:dyDescent="0.3">
      <c r="A23" s="12">
        <v>19</v>
      </c>
      <c r="B23" s="4">
        <v>71114</v>
      </c>
      <c r="C23" s="4"/>
      <c r="D23" s="4">
        <v>82354</v>
      </c>
      <c r="E23" s="4"/>
      <c r="F23" s="4">
        <v>153468</v>
      </c>
    </row>
    <row r="24" spans="1:6" x14ac:dyDescent="0.3">
      <c r="A24" s="12">
        <v>20</v>
      </c>
      <c r="B24" s="4">
        <v>71114</v>
      </c>
      <c r="C24" s="4"/>
      <c r="D24" s="4">
        <v>41177</v>
      </c>
      <c r="E24" s="4">
        <v>35367</v>
      </c>
      <c r="F24" s="4">
        <v>147658</v>
      </c>
    </row>
    <row r="25" spans="1:6" x14ac:dyDescent="0.3">
      <c r="A25" s="12">
        <v>22</v>
      </c>
      <c r="B25" s="4">
        <v>35557</v>
      </c>
      <c r="C25" s="4"/>
      <c r="D25" s="4"/>
      <c r="E25" s="4"/>
      <c r="F25" s="4">
        <v>35557</v>
      </c>
    </row>
    <row r="26" spans="1:6" x14ac:dyDescent="0.3">
      <c r="A26" s="12">
        <v>23</v>
      </c>
      <c r="B26" s="4">
        <v>35557</v>
      </c>
      <c r="C26" s="4">
        <v>96008</v>
      </c>
      <c r="D26" s="4">
        <v>82354</v>
      </c>
      <c r="E26" s="4">
        <v>70734</v>
      </c>
      <c r="F26" s="4">
        <v>284653</v>
      </c>
    </row>
    <row r="27" spans="1:6" x14ac:dyDescent="0.3">
      <c r="A27" s="12">
        <v>24</v>
      </c>
      <c r="B27" s="4">
        <v>106671</v>
      </c>
      <c r="C27" s="4">
        <v>192016</v>
      </c>
      <c r="D27" s="4">
        <v>82354</v>
      </c>
      <c r="E27" s="4"/>
      <c r="F27" s="4">
        <v>381041</v>
      </c>
    </row>
    <row r="28" spans="1:6" x14ac:dyDescent="0.3">
      <c r="A28" s="12">
        <v>25</v>
      </c>
      <c r="B28" s="4">
        <v>177785</v>
      </c>
      <c r="C28" s="4">
        <v>48004</v>
      </c>
      <c r="D28" s="4">
        <v>123531</v>
      </c>
      <c r="E28" s="4">
        <v>35367</v>
      </c>
      <c r="F28" s="4">
        <v>384687</v>
      </c>
    </row>
    <row r="29" spans="1:6" x14ac:dyDescent="0.3">
      <c r="A29" s="12">
        <v>26</v>
      </c>
      <c r="B29" s="4"/>
      <c r="C29" s="4">
        <v>48004</v>
      </c>
      <c r="D29" s="4">
        <v>82354</v>
      </c>
      <c r="E29" s="4">
        <v>70734</v>
      </c>
      <c r="F29" s="4">
        <v>201092</v>
      </c>
    </row>
    <row r="30" spans="1:6" x14ac:dyDescent="0.3">
      <c r="A30" s="12">
        <v>27</v>
      </c>
      <c r="B30" s="4"/>
      <c r="C30" s="4">
        <v>96008</v>
      </c>
      <c r="D30" s="4"/>
      <c r="E30" s="4">
        <v>70734</v>
      </c>
      <c r="F30" s="4">
        <v>166742</v>
      </c>
    </row>
    <row r="31" spans="1:6" x14ac:dyDescent="0.3">
      <c r="A31" s="12">
        <v>28</v>
      </c>
      <c r="B31" s="4">
        <v>71114</v>
      </c>
      <c r="C31" s="4">
        <v>96008</v>
      </c>
      <c r="D31" s="4"/>
      <c r="E31" s="4">
        <v>35367</v>
      </c>
      <c r="F31" s="4">
        <v>202489</v>
      </c>
    </row>
    <row r="32" spans="1:6" x14ac:dyDescent="0.3">
      <c r="A32" s="12">
        <v>29</v>
      </c>
      <c r="B32" s="4">
        <v>106671</v>
      </c>
      <c r="C32" s="4"/>
      <c r="D32" s="4">
        <v>123531</v>
      </c>
      <c r="E32" s="4">
        <v>35367</v>
      </c>
      <c r="F32" s="4">
        <v>265569</v>
      </c>
    </row>
    <row r="33" spans="1:6" x14ac:dyDescent="0.3">
      <c r="A33" s="12">
        <v>30</v>
      </c>
      <c r="B33" s="4">
        <v>35557</v>
      </c>
      <c r="C33" s="4">
        <v>96008</v>
      </c>
      <c r="D33" s="4">
        <v>82354</v>
      </c>
      <c r="E33" s="4">
        <v>35367</v>
      </c>
      <c r="F33" s="4">
        <v>249286</v>
      </c>
    </row>
    <row r="34" spans="1:6" x14ac:dyDescent="0.3">
      <c r="A34" s="12">
        <v>31</v>
      </c>
      <c r="B34" s="4">
        <v>71114</v>
      </c>
      <c r="C34" s="4">
        <v>144012</v>
      </c>
      <c r="D34" s="4">
        <v>164708</v>
      </c>
      <c r="E34" s="4">
        <v>35367</v>
      </c>
      <c r="F34" s="4">
        <v>415201</v>
      </c>
    </row>
    <row r="35" spans="1:6" x14ac:dyDescent="0.3">
      <c r="A35" s="12">
        <v>32</v>
      </c>
      <c r="B35" s="4">
        <v>35557</v>
      </c>
      <c r="C35" s="4">
        <v>96008</v>
      </c>
      <c r="D35" s="4">
        <v>41177</v>
      </c>
      <c r="E35" s="4"/>
      <c r="F35" s="4">
        <v>172742</v>
      </c>
    </row>
    <row r="36" spans="1:6" x14ac:dyDescent="0.3">
      <c r="A36" s="12">
        <v>33</v>
      </c>
      <c r="B36" s="4">
        <v>71114</v>
      </c>
      <c r="C36" s="4">
        <v>288024</v>
      </c>
      <c r="D36" s="4"/>
      <c r="E36" s="4"/>
      <c r="F36" s="4">
        <v>359138</v>
      </c>
    </row>
    <row r="37" spans="1:6" x14ac:dyDescent="0.3">
      <c r="A37" s="12">
        <v>34</v>
      </c>
      <c r="B37" s="4">
        <v>106671</v>
      </c>
      <c r="C37" s="4">
        <v>96008</v>
      </c>
      <c r="D37" s="4">
        <v>41177</v>
      </c>
      <c r="E37" s="4">
        <v>35367</v>
      </c>
      <c r="F37" s="4">
        <v>279223</v>
      </c>
    </row>
    <row r="38" spans="1:6" x14ac:dyDescent="0.3">
      <c r="A38" s="12">
        <v>35</v>
      </c>
      <c r="B38" s="4">
        <v>142228</v>
      </c>
      <c r="C38" s="4"/>
      <c r="D38" s="4">
        <v>123531</v>
      </c>
      <c r="E38" s="4"/>
      <c r="F38" s="4">
        <v>265759</v>
      </c>
    </row>
    <row r="39" spans="1:6" x14ac:dyDescent="0.3">
      <c r="A39" s="12">
        <v>36</v>
      </c>
      <c r="B39" s="4"/>
      <c r="C39" s="4"/>
      <c r="D39" s="4">
        <v>41177</v>
      </c>
      <c r="E39" s="4">
        <v>70734</v>
      </c>
      <c r="F39" s="4">
        <v>111911</v>
      </c>
    </row>
    <row r="40" spans="1:6" x14ac:dyDescent="0.3">
      <c r="A40" s="12">
        <v>37</v>
      </c>
      <c r="B40" s="4"/>
      <c r="C40" s="4">
        <v>48004</v>
      </c>
      <c r="D40" s="4">
        <v>164708</v>
      </c>
      <c r="E40" s="4"/>
      <c r="F40" s="4">
        <v>212712</v>
      </c>
    </row>
    <row r="41" spans="1:6" x14ac:dyDescent="0.3">
      <c r="A41" s="12">
        <v>38</v>
      </c>
      <c r="B41" s="4"/>
      <c r="C41" s="4"/>
      <c r="D41" s="4">
        <v>82354</v>
      </c>
      <c r="E41" s="4">
        <v>70734</v>
      </c>
      <c r="F41" s="4">
        <v>153088</v>
      </c>
    </row>
    <row r="42" spans="1:6" x14ac:dyDescent="0.3">
      <c r="A42" s="12">
        <v>39</v>
      </c>
      <c r="B42" s="4"/>
      <c r="C42" s="4"/>
      <c r="D42" s="4"/>
      <c r="E42" s="4">
        <v>35367</v>
      </c>
      <c r="F42" s="4">
        <v>35367</v>
      </c>
    </row>
    <row r="43" spans="1:6" x14ac:dyDescent="0.3">
      <c r="A43" s="12">
        <v>40</v>
      </c>
      <c r="B43" s="4"/>
      <c r="C43" s="4">
        <v>96008</v>
      </c>
      <c r="D43" s="4">
        <v>123531</v>
      </c>
      <c r="E43" s="4">
        <v>141468</v>
      </c>
      <c r="F43" s="4">
        <v>361007</v>
      </c>
    </row>
    <row r="44" spans="1:6" x14ac:dyDescent="0.3">
      <c r="A44" s="12">
        <v>41</v>
      </c>
      <c r="B44" s="4">
        <v>71114</v>
      </c>
      <c r="C44" s="4">
        <v>96008</v>
      </c>
      <c r="D44" s="4"/>
      <c r="E44" s="4">
        <v>35367</v>
      </c>
      <c r="F44" s="4">
        <v>202489</v>
      </c>
    </row>
    <row r="45" spans="1:6" x14ac:dyDescent="0.3">
      <c r="A45" s="12">
        <v>42</v>
      </c>
      <c r="B45" s="4">
        <v>35557</v>
      </c>
      <c r="C45" s="4">
        <v>96008</v>
      </c>
      <c r="D45" s="4"/>
      <c r="E45" s="4">
        <v>70734</v>
      </c>
      <c r="F45" s="4">
        <v>202299</v>
      </c>
    </row>
    <row r="46" spans="1:6" x14ac:dyDescent="0.3">
      <c r="A46" s="12">
        <v>43</v>
      </c>
      <c r="B46" s="4">
        <v>142228</v>
      </c>
      <c r="C46" s="4">
        <v>144012</v>
      </c>
      <c r="D46" s="4">
        <v>123531</v>
      </c>
      <c r="E46" s="4">
        <v>70734</v>
      </c>
      <c r="F46" s="4">
        <v>480505</v>
      </c>
    </row>
    <row r="47" spans="1:6" x14ac:dyDescent="0.3">
      <c r="A47" s="12">
        <v>44</v>
      </c>
      <c r="B47" s="4">
        <v>71114</v>
      </c>
      <c r="C47" s="4">
        <v>48004</v>
      </c>
      <c r="D47" s="4"/>
      <c r="E47" s="4">
        <v>106101</v>
      </c>
      <c r="F47" s="4">
        <v>225219</v>
      </c>
    </row>
    <row r="48" spans="1:6" x14ac:dyDescent="0.3">
      <c r="A48" s="12">
        <v>45</v>
      </c>
      <c r="B48" s="4">
        <v>106671</v>
      </c>
      <c r="C48" s="4">
        <v>192016</v>
      </c>
      <c r="D48" s="4">
        <v>82354</v>
      </c>
      <c r="E48" s="4"/>
      <c r="F48" s="4">
        <v>381041</v>
      </c>
    </row>
    <row r="49" spans="1:6" x14ac:dyDescent="0.3">
      <c r="A49" s="12">
        <v>46</v>
      </c>
      <c r="B49" s="4">
        <v>35557</v>
      </c>
      <c r="C49" s="4"/>
      <c r="D49" s="4">
        <v>82354</v>
      </c>
      <c r="E49" s="4"/>
      <c r="F49" s="4">
        <v>117911</v>
      </c>
    </row>
    <row r="50" spans="1:6" x14ac:dyDescent="0.3">
      <c r="A50" s="12">
        <v>47</v>
      </c>
      <c r="B50" s="4">
        <v>35557</v>
      </c>
      <c r="C50" s="4">
        <v>48004</v>
      </c>
      <c r="D50" s="4">
        <v>41177</v>
      </c>
      <c r="E50" s="4">
        <v>70734</v>
      </c>
      <c r="F50" s="4">
        <v>195472</v>
      </c>
    </row>
    <row r="51" spans="1:6" x14ac:dyDescent="0.3">
      <c r="A51" s="12">
        <v>48</v>
      </c>
      <c r="B51" s="4">
        <v>177785</v>
      </c>
      <c r="C51" s="4">
        <v>144012</v>
      </c>
      <c r="D51" s="4">
        <v>41177</v>
      </c>
      <c r="E51" s="4">
        <v>35367</v>
      </c>
      <c r="F51" s="4">
        <v>398341</v>
      </c>
    </row>
    <row r="52" spans="1:6" x14ac:dyDescent="0.3">
      <c r="A52" s="12">
        <v>49</v>
      </c>
      <c r="B52" s="4">
        <v>35557</v>
      </c>
      <c r="C52" s="4"/>
      <c r="D52" s="4">
        <v>41177</v>
      </c>
      <c r="E52" s="4">
        <v>106101</v>
      </c>
      <c r="F52" s="4">
        <v>182835</v>
      </c>
    </row>
    <row r="53" spans="1:6" x14ac:dyDescent="0.3">
      <c r="A53" s="12">
        <v>50</v>
      </c>
      <c r="B53" s="4">
        <v>35557</v>
      </c>
      <c r="C53" s="4">
        <v>144012</v>
      </c>
      <c r="D53" s="4">
        <v>41177</v>
      </c>
      <c r="E53" s="4"/>
      <c r="F53" s="4">
        <v>220746</v>
      </c>
    </row>
    <row r="54" spans="1:6" x14ac:dyDescent="0.3">
      <c r="A54" s="12">
        <v>51</v>
      </c>
      <c r="B54" s="4">
        <v>35557</v>
      </c>
      <c r="C54" s="4">
        <v>192016</v>
      </c>
      <c r="D54" s="4"/>
      <c r="E54" s="4">
        <v>35367</v>
      </c>
      <c r="F54" s="4">
        <v>262940</v>
      </c>
    </row>
    <row r="55" spans="1:6" x14ac:dyDescent="0.3">
      <c r="A55" s="12">
        <v>52</v>
      </c>
      <c r="B55" s="4">
        <v>35557</v>
      </c>
      <c r="C55" s="4">
        <v>48004</v>
      </c>
      <c r="D55" s="4">
        <v>123531</v>
      </c>
      <c r="E55" s="4"/>
      <c r="F55" s="4">
        <v>207092</v>
      </c>
    </row>
    <row r="56" spans="1:6" x14ac:dyDescent="0.3">
      <c r="A56" s="12">
        <v>53</v>
      </c>
      <c r="B56" s="4"/>
      <c r="C56" s="4"/>
      <c r="D56" s="4">
        <v>41177</v>
      </c>
      <c r="E56" s="4">
        <v>35367</v>
      </c>
      <c r="F56" s="4">
        <v>76544</v>
      </c>
    </row>
    <row r="57" spans="1:6" x14ac:dyDescent="0.3">
      <c r="A57" s="12" t="s">
        <v>620</v>
      </c>
      <c r="B57" s="4">
        <v>2951231</v>
      </c>
      <c r="C57" s="4">
        <v>3792316</v>
      </c>
      <c r="D57" s="4">
        <v>3252983</v>
      </c>
      <c r="E57" s="4">
        <v>2086653</v>
      </c>
      <c r="F57" s="4">
        <v>12083183</v>
      </c>
    </row>
  </sheetData>
  <conditionalFormatting pivot="1" sqref="F5:F57">
    <cfRule type="colorScale" priority="2">
      <colorScale>
        <cfvo type="min"/>
        <cfvo type="max"/>
        <color theme="8" tint="0.39997558519241921"/>
        <color rgb="FFFFEF9C"/>
      </colorScale>
    </cfRule>
  </conditionalFormatting>
  <conditionalFormatting pivot="1" sqref="F5:F56">
    <cfRule type="colorScale" priority="1">
      <colorScale>
        <cfvo type="min"/>
        <cfvo type="max"/>
        <color rgb="FF92D050"/>
        <color rgb="FFFFEF9C"/>
      </colorScale>
    </cfRule>
  </conditionalFormatting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566C-B865-42D3-9BAA-664D6A452638}">
  <dimension ref="A1:B301"/>
  <sheetViews>
    <sheetView workbookViewId="0">
      <selection activeCell="H21" sqref="H21"/>
    </sheetView>
  </sheetViews>
  <sheetFormatPr defaultColWidth="20.88671875" defaultRowHeight="14.4" x14ac:dyDescent="0.3"/>
  <sheetData>
    <row r="1" spans="1:2" x14ac:dyDescent="0.3">
      <c r="A1" s="6" t="s">
        <v>649</v>
      </c>
      <c r="B1" s="7" t="s">
        <v>645</v>
      </c>
    </row>
    <row r="2" spans="1:2" x14ac:dyDescent="0.3">
      <c r="A2" s="8">
        <v>1060357</v>
      </c>
      <c r="B2">
        <f>'TASK 6(1)'!N2-'TASK 6(1)'!O2</f>
        <v>41177</v>
      </c>
    </row>
    <row r="3" spans="1:2" x14ac:dyDescent="0.3">
      <c r="A3" s="9">
        <v>1060357</v>
      </c>
      <c r="B3">
        <f>'TASK 6(1)'!N3-'TASK 6(1)'!O3</f>
        <v>41177</v>
      </c>
    </row>
    <row r="4" spans="1:2" x14ac:dyDescent="0.3">
      <c r="A4" s="8">
        <v>1164373</v>
      </c>
      <c r="B4">
        <f>'TASK 6(1)'!N4-'TASK 6(1)'!O4</f>
        <v>48004</v>
      </c>
    </row>
    <row r="5" spans="1:2" x14ac:dyDescent="0.3">
      <c r="A5" s="9">
        <v>1228647</v>
      </c>
      <c r="B5">
        <f>'TASK 6(1)'!N5-'TASK 6(1)'!O5</f>
        <v>35367</v>
      </c>
    </row>
    <row r="6" spans="1:2" x14ac:dyDescent="0.3">
      <c r="A6" s="8">
        <v>1228647</v>
      </c>
      <c r="B6">
        <f>'TASK 6(1)'!N6-'TASK 6(1)'!O6</f>
        <v>35367</v>
      </c>
    </row>
    <row r="7" spans="1:2" x14ac:dyDescent="0.3">
      <c r="A7" s="9">
        <v>1379539</v>
      </c>
      <c r="B7">
        <f>'TASK 6(1)'!N7-'TASK 6(1)'!O7</f>
        <v>35557</v>
      </c>
    </row>
    <row r="8" spans="1:2" x14ac:dyDescent="0.3">
      <c r="A8" s="8">
        <v>1060357</v>
      </c>
      <c r="B8">
        <f>'TASK 6(1)'!N8-'TASK 6(1)'!O8</f>
        <v>41177</v>
      </c>
    </row>
    <row r="9" spans="1:2" x14ac:dyDescent="0.3">
      <c r="A9" s="9">
        <v>1228647</v>
      </c>
      <c r="B9">
        <f>'TASK 6(1)'!N9-'TASK 6(1)'!O9</f>
        <v>35367</v>
      </c>
    </row>
    <row r="10" spans="1:2" x14ac:dyDescent="0.3">
      <c r="A10" s="8">
        <v>1379539</v>
      </c>
      <c r="B10">
        <f>'TASK 6(1)'!N10-'TASK 6(1)'!O10</f>
        <v>35557</v>
      </c>
    </row>
    <row r="11" spans="1:2" x14ac:dyDescent="0.3">
      <c r="A11" s="9">
        <v>1379539</v>
      </c>
      <c r="B11">
        <f>'TASK 6(1)'!N11-'TASK 6(1)'!O11</f>
        <v>35557</v>
      </c>
    </row>
    <row r="12" spans="1:2" x14ac:dyDescent="0.3">
      <c r="A12" s="8">
        <v>1164373</v>
      </c>
      <c r="B12">
        <f>'TASK 6(1)'!N12-'TASK 6(1)'!O12</f>
        <v>48004</v>
      </c>
    </row>
    <row r="13" spans="1:2" x14ac:dyDescent="0.3">
      <c r="A13" s="9">
        <v>1379539</v>
      </c>
      <c r="B13">
        <f>'TASK 6(1)'!N13-'TASK 6(1)'!O13</f>
        <v>35557</v>
      </c>
    </row>
    <row r="14" spans="1:2" x14ac:dyDescent="0.3">
      <c r="A14" s="8">
        <v>1228647</v>
      </c>
      <c r="B14">
        <f>'TASK 6(1)'!N14-'TASK 6(1)'!O14</f>
        <v>35367</v>
      </c>
    </row>
    <row r="15" spans="1:2" x14ac:dyDescent="0.3">
      <c r="A15" s="9">
        <v>1379539</v>
      </c>
      <c r="B15">
        <f>'TASK 6(1)'!N15-'TASK 6(1)'!O15</f>
        <v>35557</v>
      </c>
    </row>
    <row r="16" spans="1:2" x14ac:dyDescent="0.3">
      <c r="A16" s="8">
        <v>1379539</v>
      </c>
      <c r="B16">
        <f>'TASK 6(1)'!N16-'TASK 6(1)'!O16</f>
        <v>35557</v>
      </c>
    </row>
    <row r="17" spans="1:2" x14ac:dyDescent="0.3">
      <c r="A17" s="9">
        <v>1379539</v>
      </c>
      <c r="B17">
        <f>'TASK 6(1)'!N17-'TASK 6(1)'!O17</f>
        <v>35557</v>
      </c>
    </row>
    <row r="18" spans="1:2" x14ac:dyDescent="0.3">
      <c r="A18" s="8">
        <v>1379539</v>
      </c>
      <c r="B18">
        <f>'TASK 6(1)'!N18-'TASK 6(1)'!O18</f>
        <v>35557</v>
      </c>
    </row>
    <row r="19" spans="1:2" x14ac:dyDescent="0.3">
      <c r="A19" s="9">
        <v>1164373</v>
      </c>
      <c r="B19">
        <f>'TASK 6(1)'!N19-'TASK 6(1)'!O19</f>
        <v>48004</v>
      </c>
    </row>
    <row r="20" spans="1:2" x14ac:dyDescent="0.3">
      <c r="A20" s="8">
        <v>1164373</v>
      </c>
      <c r="B20">
        <f>'TASK 6(1)'!N20-'TASK 6(1)'!O20</f>
        <v>48004</v>
      </c>
    </row>
    <row r="21" spans="1:2" x14ac:dyDescent="0.3">
      <c r="A21" s="9">
        <v>1164373</v>
      </c>
      <c r="B21">
        <f>'TASK 6(1)'!N21-'TASK 6(1)'!O21</f>
        <v>48004</v>
      </c>
    </row>
    <row r="22" spans="1:2" x14ac:dyDescent="0.3">
      <c r="A22" s="8">
        <v>1164373</v>
      </c>
      <c r="B22">
        <f>'TASK 6(1)'!N22-'TASK 6(1)'!O22</f>
        <v>48004</v>
      </c>
    </row>
    <row r="23" spans="1:2" x14ac:dyDescent="0.3">
      <c r="A23" s="9">
        <v>1379539</v>
      </c>
      <c r="B23">
        <f>'TASK 6(1)'!N23-'TASK 6(1)'!O23</f>
        <v>35557</v>
      </c>
    </row>
    <row r="24" spans="1:2" x14ac:dyDescent="0.3">
      <c r="A24" s="8">
        <v>1379539</v>
      </c>
      <c r="B24">
        <f>'TASK 6(1)'!N24-'TASK 6(1)'!O24</f>
        <v>35557</v>
      </c>
    </row>
    <row r="25" spans="1:2" x14ac:dyDescent="0.3">
      <c r="A25" s="9">
        <v>1379539</v>
      </c>
      <c r="B25">
        <f>'TASK 6(1)'!N25-'TASK 6(1)'!O25</f>
        <v>35557</v>
      </c>
    </row>
    <row r="26" spans="1:2" x14ac:dyDescent="0.3">
      <c r="A26" s="8">
        <v>1060357</v>
      </c>
      <c r="B26">
        <f>'TASK 6(1)'!N26-'TASK 6(1)'!O26</f>
        <v>41177</v>
      </c>
    </row>
    <row r="27" spans="1:2" x14ac:dyDescent="0.3">
      <c r="A27" s="9">
        <v>1228647</v>
      </c>
      <c r="B27">
        <f>'TASK 6(1)'!N27-'TASK 6(1)'!O27</f>
        <v>35367</v>
      </c>
    </row>
    <row r="28" spans="1:2" x14ac:dyDescent="0.3">
      <c r="A28" s="8">
        <v>1228647</v>
      </c>
      <c r="B28">
        <f>'TASK 6(1)'!N28-'TASK 6(1)'!O28</f>
        <v>35367</v>
      </c>
    </row>
    <row r="29" spans="1:2" x14ac:dyDescent="0.3">
      <c r="A29" s="9">
        <v>1164373</v>
      </c>
      <c r="B29">
        <f>'TASK 6(1)'!N29-'TASK 6(1)'!O29</f>
        <v>48004</v>
      </c>
    </row>
    <row r="30" spans="1:2" x14ac:dyDescent="0.3">
      <c r="A30" s="8">
        <v>1164373</v>
      </c>
      <c r="B30">
        <f>'TASK 6(1)'!N30-'TASK 6(1)'!O30</f>
        <v>48004</v>
      </c>
    </row>
    <row r="31" spans="1:2" x14ac:dyDescent="0.3">
      <c r="A31" s="9">
        <v>1164373</v>
      </c>
      <c r="B31">
        <f>'TASK 6(1)'!N31-'TASK 6(1)'!O31</f>
        <v>48004</v>
      </c>
    </row>
    <row r="32" spans="1:2" x14ac:dyDescent="0.3">
      <c r="A32" s="8">
        <v>1164373</v>
      </c>
      <c r="B32">
        <f>'TASK 6(1)'!N32-'TASK 6(1)'!O32</f>
        <v>48004</v>
      </c>
    </row>
    <row r="33" spans="1:2" x14ac:dyDescent="0.3">
      <c r="A33" s="9">
        <v>1060357</v>
      </c>
      <c r="B33">
        <f>'TASK 6(1)'!N33-'TASK 6(1)'!O33</f>
        <v>41177</v>
      </c>
    </row>
    <row r="34" spans="1:2" x14ac:dyDescent="0.3">
      <c r="A34" s="8">
        <v>1379539</v>
      </c>
      <c r="B34">
        <f>'TASK 6(1)'!N34-'TASK 6(1)'!O34</f>
        <v>35557</v>
      </c>
    </row>
    <row r="35" spans="1:2" x14ac:dyDescent="0.3">
      <c r="A35" s="9">
        <v>1379539</v>
      </c>
      <c r="B35">
        <f>'TASK 6(1)'!N35-'TASK 6(1)'!O35</f>
        <v>35557</v>
      </c>
    </row>
    <row r="36" spans="1:2" x14ac:dyDescent="0.3">
      <c r="A36" s="8">
        <v>1164373</v>
      </c>
      <c r="B36">
        <f>'TASK 6(1)'!N36-'TASK 6(1)'!O36</f>
        <v>48004</v>
      </c>
    </row>
    <row r="37" spans="1:2" x14ac:dyDescent="0.3">
      <c r="A37" s="9">
        <v>1164373</v>
      </c>
      <c r="B37">
        <f>'TASK 6(1)'!N37-'TASK 6(1)'!O37</f>
        <v>48004</v>
      </c>
    </row>
    <row r="38" spans="1:2" x14ac:dyDescent="0.3">
      <c r="A38" s="8">
        <v>1379539</v>
      </c>
      <c r="B38">
        <f>'TASK 6(1)'!N38-'TASK 6(1)'!O38</f>
        <v>35557</v>
      </c>
    </row>
    <row r="39" spans="1:2" x14ac:dyDescent="0.3">
      <c r="A39" s="9">
        <v>1228647</v>
      </c>
      <c r="B39">
        <f>'TASK 6(1)'!N39-'TASK 6(1)'!O39</f>
        <v>35367</v>
      </c>
    </row>
    <row r="40" spans="1:2" x14ac:dyDescent="0.3">
      <c r="A40" s="8">
        <v>1379539</v>
      </c>
      <c r="B40">
        <f>'TASK 6(1)'!N40-'TASK 6(1)'!O40</f>
        <v>35557</v>
      </c>
    </row>
    <row r="41" spans="1:2" x14ac:dyDescent="0.3">
      <c r="A41" s="9">
        <v>1060357</v>
      </c>
      <c r="B41">
        <f>'TASK 6(1)'!N41-'TASK 6(1)'!O41</f>
        <v>41177</v>
      </c>
    </row>
    <row r="42" spans="1:2" x14ac:dyDescent="0.3">
      <c r="A42" s="8">
        <v>1164373</v>
      </c>
      <c r="B42">
        <f>'TASK 6(1)'!N42-'TASK 6(1)'!O42</f>
        <v>48004</v>
      </c>
    </row>
    <row r="43" spans="1:2" x14ac:dyDescent="0.3">
      <c r="A43" s="9">
        <v>1228647</v>
      </c>
      <c r="B43">
        <f>'TASK 6(1)'!N43-'TASK 6(1)'!O43</f>
        <v>35367</v>
      </c>
    </row>
    <row r="44" spans="1:2" x14ac:dyDescent="0.3">
      <c r="A44" s="8">
        <v>1164373</v>
      </c>
      <c r="B44">
        <f>'TASK 6(1)'!N44-'TASK 6(1)'!O44</f>
        <v>48004</v>
      </c>
    </row>
    <row r="45" spans="1:2" x14ac:dyDescent="0.3">
      <c r="A45" s="9">
        <v>1060357</v>
      </c>
      <c r="B45">
        <f>'TASK 6(1)'!N45-'TASK 6(1)'!O45</f>
        <v>41177</v>
      </c>
    </row>
    <row r="46" spans="1:2" x14ac:dyDescent="0.3">
      <c r="A46" s="8">
        <v>1379539</v>
      </c>
      <c r="B46">
        <f>'TASK 6(1)'!N46-'TASK 6(1)'!O46</f>
        <v>35557</v>
      </c>
    </row>
    <row r="47" spans="1:2" x14ac:dyDescent="0.3">
      <c r="A47" s="9">
        <v>1060357</v>
      </c>
      <c r="B47">
        <f>'TASK 6(1)'!N47-'TASK 6(1)'!O47</f>
        <v>41177</v>
      </c>
    </row>
    <row r="48" spans="1:2" x14ac:dyDescent="0.3">
      <c r="A48" s="8">
        <v>1060357</v>
      </c>
      <c r="B48">
        <f>'TASK 6(1)'!N48-'TASK 6(1)'!O48</f>
        <v>41177</v>
      </c>
    </row>
    <row r="49" spans="1:2" x14ac:dyDescent="0.3">
      <c r="A49" s="9">
        <v>1060357</v>
      </c>
      <c r="B49">
        <f>'TASK 6(1)'!N49-'TASK 6(1)'!O49</f>
        <v>41177</v>
      </c>
    </row>
    <row r="50" spans="1:2" x14ac:dyDescent="0.3">
      <c r="A50" s="8">
        <v>1060357</v>
      </c>
      <c r="B50">
        <f>'TASK 6(1)'!N50-'TASK 6(1)'!O50</f>
        <v>41177</v>
      </c>
    </row>
    <row r="51" spans="1:2" x14ac:dyDescent="0.3">
      <c r="A51" s="9">
        <v>1228647</v>
      </c>
      <c r="B51">
        <f>'TASK 6(1)'!N51-'TASK 6(1)'!O51</f>
        <v>35367</v>
      </c>
    </row>
    <row r="52" spans="1:2" x14ac:dyDescent="0.3">
      <c r="A52" s="8">
        <v>1379539</v>
      </c>
      <c r="B52">
        <f>'TASK 6(1)'!N52-'TASK 6(1)'!O52</f>
        <v>35557</v>
      </c>
    </row>
    <row r="53" spans="1:2" x14ac:dyDescent="0.3">
      <c r="A53" s="9">
        <v>1379539</v>
      </c>
      <c r="B53">
        <f>'TASK 6(1)'!N53-'TASK 6(1)'!O53</f>
        <v>35557</v>
      </c>
    </row>
    <row r="54" spans="1:2" x14ac:dyDescent="0.3">
      <c r="A54" s="8">
        <v>1228647</v>
      </c>
      <c r="B54">
        <f>'TASK 6(1)'!N54-'TASK 6(1)'!O54</f>
        <v>35367</v>
      </c>
    </row>
    <row r="55" spans="1:2" x14ac:dyDescent="0.3">
      <c r="A55" s="9">
        <v>1228647</v>
      </c>
      <c r="B55">
        <f>'TASK 6(1)'!N55-'TASK 6(1)'!O55</f>
        <v>35367</v>
      </c>
    </row>
    <row r="56" spans="1:2" x14ac:dyDescent="0.3">
      <c r="A56" s="8">
        <v>1379539</v>
      </c>
      <c r="B56">
        <f>'TASK 6(1)'!N56-'TASK 6(1)'!O56</f>
        <v>35557</v>
      </c>
    </row>
    <row r="57" spans="1:2" x14ac:dyDescent="0.3">
      <c r="A57" s="9">
        <v>1379539</v>
      </c>
      <c r="B57">
        <f>'TASK 6(1)'!N57-'TASK 6(1)'!O57</f>
        <v>35557</v>
      </c>
    </row>
    <row r="58" spans="1:2" x14ac:dyDescent="0.3">
      <c r="A58" s="8">
        <v>1060357</v>
      </c>
      <c r="B58">
        <f>'TASK 6(1)'!N58-'TASK 6(1)'!O58</f>
        <v>41177</v>
      </c>
    </row>
    <row r="59" spans="1:2" x14ac:dyDescent="0.3">
      <c r="A59" s="9">
        <v>1164373</v>
      </c>
      <c r="B59">
        <f>'TASK 6(1)'!N59-'TASK 6(1)'!O59</f>
        <v>48004</v>
      </c>
    </row>
    <row r="60" spans="1:2" x14ac:dyDescent="0.3">
      <c r="A60" s="8">
        <v>1164373</v>
      </c>
      <c r="B60">
        <f>'TASK 6(1)'!N60-'TASK 6(1)'!O60</f>
        <v>48004</v>
      </c>
    </row>
    <row r="61" spans="1:2" x14ac:dyDescent="0.3">
      <c r="A61" s="9">
        <v>1164373</v>
      </c>
      <c r="B61">
        <f>'TASK 6(1)'!N61-'TASK 6(1)'!O61</f>
        <v>48004</v>
      </c>
    </row>
    <row r="62" spans="1:2" x14ac:dyDescent="0.3">
      <c r="A62" s="8">
        <v>1060357</v>
      </c>
      <c r="B62">
        <f>'TASK 6(1)'!N62-'TASK 6(1)'!O62</f>
        <v>41177</v>
      </c>
    </row>
    <row r="63" spans="1:2" x14ac:dyDescent="0.3">
      <c r="A63" s="9">
        <v>1060357</v>
      </c>
      <c r="B63">
        <f>'TASK 6(1)'!N63-'TASK 6(1)'!O63</f>
        <v>41177</v>
      </c>
    </row>
    <row r="64" spans="1:2" x14ac:dyDescent="0.3">
      <c r="A64" s="8">
        <v>1060357</v>
      </c>
      <c r="B64">
        <f>'TASK 6(1)'!N64-'TASK 6(1)'!O64</f>
        <v>41177</v>
      </c>
    </row>
    <row r="65" spans="1:2" x14ac:dyDescent="0.3">
      <c r="A65" s="9">
        <v>1379539</v>
      </c>
      <c r="B65">
        <f>'TASK 6(1)'!N65-'TASK 6(1)'!O65</f>
        <v>35557</v>
      </c>
    </row>
    <row r="66" spans="1:2" x14ac:dyDescent="0.3">
      <c r="A66" s="8">
        <v>1164373</v>
      </c>
      <c r="B66">
        <f>'TASK 6(1)'!N66-'TASK 6(1)'!O66</f>
        <v>48004</v>
      </c>
    </row>
    <row r="67" spans="1:2" x14ac:dyDescent="0.3">
      <c r="A67" s="9">
        <v>1060357</v>
      </c>
      <c r="B67">
        <f>'TASK 6(1)'!N67-'TASK 6(1)'!O67</f>
        <v>41177</v>
      </c>
    </row>
    <row r="68" spans="1:2" x14ac:dyDescent="0.3">
      <c r="A68" s="8">
        <v>1379539</v>
      </c>
      <c r="B68">
        <f>'TASK 6(1)'!N68-'TASK 6(1)'!O68</f>
        <v>35557</v>
      </c>
    </row>
    <row r="69" spans="1:2" x14ac:dyDescent="0.3">
      <c r="A69" s="9">
        <v>1164373</v>
      </c>
      <c r="B69">
        <f>'TASK 6(1)'!N69-'TASK 6(1)'!O69</f>
        <v>48004</v>
      </c>
    </row>
    <row r="70" spans="1:2" x14ac:dyDescent="0.3">
      <c r="A70" s="8">
        <v>1060357</v>
      </c>
      <c r="B70">
        <f>'TASK 6(1)'!N70-'TASK 6(1)'!O70</f>
        <v>41177</v>
      </c>
    </row>
    <row r="71" spans="1:2" x14ac:dyDescent="0.3">
      <c r="A71" s="9">
        <v>1379539</v>
      </c>
      <c r="B71">
        <f>'TASK 6(1)'!N71-'TASK 6(1)'!O71</f>
        <v>35557</v>
      </c>
    </row>
    <row r="72" spans="1:2" x14ac:dyDescent="0.3">
      <c r="A72" s="8">
        <v>1228647</v>
      </c>
      <c r="B72">
        <f>'TASK 6(1)'!N72-'TASK 6(1)'!O72</f>
        <v>35367</v>
      </c>
    </row>
    <row r="73" spans="1:2" x14ac:dyDescent="0.3">
      <c r="A73" s="9">
        <v>1228647</v>
      </c>
      <c r="B73">
        <f>'TASK 6(1)'!N73-'TASK 6(1)'!O73</f>
        <v>35367</v>
      </c>
    </row>
    <row r="74" spans="1:2" x14ac:dyDescent="0.3">
      <c r="A74" s="8">
        <v>1379539</v>
      </c>
      <c r="B74">
        <f>'TASK 6(1)'!N74-'TASK 6(1)'!O74</f>
        <v>35557</v>
      </c>
    </row>
    <row r="75" spans="1:2" x14ac:dyDescent="0.3">
      <c r="A75" s="9">
        <v>1228647</v>
      </c>
      <c r="B75">
        <f>'TASK 6(1)'!N75-'TASK 6(1)'!O75</f>
        <v>35367</v>
      </c>
    </row>
    <row r="76" spans="1:2" x14ac:dyDescent="0.3">
      <c r="A76" s="8">
        <v>1164373</v>
      </c>
      <c r="B76">
        <f>'TASK 6(1)'!N76-'TASK 6(1)'!O76</f>
        <v>48004</v>
      </c>
    </row>
    <row r="77" spans="1:2" x14ac:dyDescent="0.3">
      <c r="A77" s="9">
        <v>1060357</v>
      </c>
      <c r="B77">
        <f>'TASK 6(1)'!N77-'TASK 6(1)'!O77</f>
        <v>41177</v>
      </c>
    </row>
    <row r="78" spans="1:2" x14ac:dyDescent="0.3">
      <c r="A78" s="8">
        <v>1379539</v>
      </c>
      <c r="B78">
        <f>'TASK 6(1)'!N78-'TASK 6(1)'!O78</f>
        <v>35557</v>
      </c>
    </row>
    <row r="79" spans="1:2" x14ac:dyDescent="0.3">
      <c r="A79" s="9">
        <v>1060357</v>
      </c>
      <c r="B79">
        <f>'TASK 6(1)'!N79-'TASK 6(1)'!O79</f>
        <v>41177</v>
      </c>
    </row>
    <row r="80" spans="1:2" x14ac:dyDescent="0.3">
      <c r="A80" s="8">
        <v>1164373</v>
      </c>
      <c r="B80">
        <f>'TASK 6(1)'!N80-'TASK 6(1)'!O80</f>
        <v>48004</v>
      </c>
    </row>
    <row r="81" spans="1:2" x14ac:dyDescent="0.3">
      <c r="A81" s="9">
        <v>1164373</v>
      </c>
      <c r="B81">
        <f>'TASK 6(1)'!N81-'TASK 6(1)'!O81</f>
        <v>48004</v>
      </c>
    </row>
    <row r="82" spans="1:2" x14ac:dyDescent="0.3">
      <c r="A82" s="8">
        <v>1164373</v>
      </c>
      <c r="B82">
        <f>'TASK 6(1)'!N82-'TASK 6(1)'!O82</f>
        <v>48004</v>
      </c>
    </row>
    <row r="83" spans="1:2" x14ac:dyDescent="0.3">
      <c r="A83" s="9">
        <v>1164373</v>
      </c>
      <c r="B83">
        <f>'TASK 6(1)'!N83-'TASK 6(1)'!O83</f>
        <v>48004</v>
      </c>
    </row>
    <row r="84" spans="1:2" x14ac:dyDescent="0.3">
      <c r="A84" s="8">
        <v>1228647</v>
      </c>
      <c r="B84">
        <f>'TASK 6(1)'!N84-'TASK 6(1)'!O84</f>
        <v>35367</v>
      </c>
    </row>
    <row r="85" spans="1:2" x14ac:dyDescent="0.3">
      <c r="A85" s="9">
        <v>1379539</v>
      </c>
      <c r="B85">
        <f>'TASK 6(1)'!N85-'TASK 6(1)'!O85</f>
        <v>35557</v>
      </c>
    </row>
    <row r="86" spans="1:2" x14ac:dyDescent="0.3">
      <c r="A86" s="8">
        <v>1164373</v>
      </c>
      <c r="B86">
        <f>'TASK 6(1)'!N86-'TASK 6(1)'!O86</f>
        <v>48004</v>
      </c>
    </row>
    <row r="87" spans="1:2" x14ac:dyDescent="0.3">
      <c r="A87" s="9">
        <v>1228647</v>
      </c>
      <c r="B87">
        <f>'TASK 6(1)'!N87-'TASK 6(1)'!O87</f>
        <v>35367</v>
      </c>
    </row>
    <row r="88" spans="1:2" x14ac:dyDescent="0.3">
      <c r="A88" s="8">
        <v>1060357</v>
      </c>
      <c r="B88">
        <f>'TASK 6(1)'!N88-'TASK 6(1)'!O88</f>
        <v>41177</v>
      </c>
    </row>
    <row r="89" spans="1:2" x14ac:dyDescent="0.3">
      <c r="A89" s="9">
        <v>1379539</v>
      </c>
      <c r="B89">
        <f>'TASK 6(1)'!N89-'TASK 6(1)'!O89</f>
        <v>35557</v>
      </c>
    </row>
    <row r="90" spans="1:2" x14ac:dyDescent="0.3">
      <c r="A90" s="8">
        <v>1060357</v>
      </c>
      <c r="B90">
        <f>'TASK 6(1)'!N90-'TASK 6(1)'!O90</f>
        <v>41177</v>
      </c>
    </row>
    <row r="91" spans="1:2" x14ac:dyDescent="0.3">
      <c r="A91" s="9">
        <v>1164373</v>
      </c>
      <c r="B91">
        <f>'TASK 6(1)'!N91-'TASK 6(1)'!O91</f>
        <v>48004</v>
      </c>
    </row>
    <row r="92" spans="1:2" x14ac:dyDescent="0.3">
      <c r="A92" s="8">
        <v>1379539</v>
      </c>
      <c r="B92">
        <f>'TASK 6(1)'!N92-'TASK 6(1)'!O92</f>
        <v>35557</v>
      </c>
    </row>
    <row r="93" spans="1:2" x14ac:dyDescent="0.3">
      <c r="A93" s="9">
        <v>1060357</v>
      </c>
      <c r="B93">
        <f>'TASK 6(1)'!N93-'TASK 6(1)'!O93</f>
        <v>41177</v>
      </c>
    </row>
    <row r="94" spans="1:2" x14ac:dyDescent="0.3">
      <c r="A94" s="8">
        <v>1164373</v>
      </c>
      <c r="B94">
        <f>'TASK 6(1)'!N94-'TASK 6(1)'!O94</f>
        <v>48004</v>
      </c>
    </row>
    <row r="95" spans="1:2" x14ac:dyDescent="0.3">
      <c r="A95" s="9">
        <v>1164373</v>
      </c>
      <c r="B95">
        <f>'TASK 6(1)'!N95-'TASK 6(1)'!O95</f>
        <v>48004</v>
      </c>
    </row>
    <row r="96" spans="1:2" x14ac:dyDescent="0.3">
      <c r="A96" s="8">
        <v>1164373</v>
      </c>
      <c r="B96">
        <f>'TASK 6(1)'!N96-'TASK 6(1)'!O96</f>
        <v>48004</v>
      </c>
    </row>
    <row r="97" spans="1:2" x14ac:dyDescent="0.3">
      <c r="A97" s="9">
        <v>1060357</v>
      </c>
      <c r="B97">
        <f>'TASK 6(1)'!N97-'TASK 6(1)'!O97</f>
        <v>41177</v>
      </c>
    </row>
    <row r="98" spans="1:2" x14ac:dyDescent="0.3">
      <c r="A98" s="8">
        <v>1164373</v>
      </c>
      <c r="B98">
        <f>'TASK 6(1)'!N98-'TASK 6(1)'!O98</f>
        <v>48004</v>
      </c>
    </row>
    <row r="99" spans="1:2" x14ac:dyDescent="0.3">
      <c r="A99" s="9">
        <v>1060357</v>
      </c>
      <c r="B99">
        <f>'TASK 6(1)'!N99-'TASK 6(1)'!O99</f>
        <v>41177</v>
      </c>
    </row>
    <row r="100" spans="1:2" x14ac:dyDescent="0.3">
      <c r="A100" s="8">
        <v>1228647</v>
      </c>
      <c r="B100">
        <f>'TASK 6(1)'!N100-'TASK 6(1)'!O100</f>
        <v>35367</v>
      </c>
    </row>
    <row r="101" spans="1:2" x14ac:dyDescent="0.3">
      <c r="A101" s="9">
        <v>1228647</v>
      </c>
      <c r="B101">
        <f>'TASK 6(1)'!N101-'TASK 6(1)'!O101</f>
        <v>35367</v>
      </c>
    </row>
    <row r="102" spans="1:2" x14ac:dyDescent="0.3">
      <c r="A102" s="8">
        <v>1228647</v>
      </c>
      <c r="B102">
        <f>'TASK 6(1)'!N102-'TASK 6(1)'!O102</f>
        <v>35367</v>
      </c>
    </row>
    <row r="103" spans="1:2" x14ac:dyDescent="0.3">
      <c r="A103" s="9">
        <v>1060357</v>
      </c>
      <c r="B103">
        <f>'TASK 6(1)'!N103-'TASK 6(1)'!O103</f>
        <v>41177</v>
      </c>
    </row>
    <row r="104" spans="1:2" x14ac:dyDescent="0.3">
      <c r="A104" s="8">
        <v>1379539</v>
      </c>
      <c r="B104">
        <f>'TASK 6(1)'!N104-'TASK 6(1)'!O104</f>
        <v>35557</v>
      </c>
    </row>
    <row r="105" spans="1:2" x14ac:dyDescent="0.3">
      <c r="A105" s="9">
        <v>1228647</v>
      </c>
      <c r="B105">
        <f>'TASK 6(1)'!N105-'TASK 6(1)'!O105</f>
        <v>35367</v>
      </c>
    </row>
    <row r="106" spans="1:2" x14ac:dyDescent="0.3">
      <c r="A106" s="8">
        <v>1164373</v>
      </c>
      <c r="B106">
        <f>'TASK 6(1)'!N106-'TASK 6(1)'!O106</f>
        <v>48004</v>
      </c>
    </row>
    <row r="107" spans="1:2" x14ac:dyDescent="0.3">
      <c r="A107" s="9">
        <v>1164373</v>
      </c>
      <c r="B107">
        <f>'TASK 6(1)'!N107-'TASK 6(1)'!O107</f>
        <v>48004</v>
      </c>
    </row>
    <row r="108" spans="1:2" x14ac:dyDescent="0.3">
      <c r="A108" s="8">
        <v>1228647</v>
      </c>
      <c r="B108">
        <f>'TASK 6(1)'!N108-'TASK 6(1)'!O108</f>
        <v>35367</v>
      </c>
    </row>
    <row r="109" spans="1:2" x14ac:dyDescent="0.3">
      <c r="A109" s="9">
        <v>1060357</v>
      </c>
      <c r="B109">
        <f>'TASK 6(1)'!N109-'TASK 6(1)'!O109</f>
        <v>41177</v>
      </c>
    </row>
    <row r="110" spans="1:2" x14ac:dyDescent="0.3">
      <c r="A110" s="8">
        <v>1060357</v>
      </c>
      <c r="B110">
        <f>'TASK 6(1)'!N110-'TASK 6(1)'!O110</f>
        <v>41177</v>
      </c>
    </row>
    <row r="111" spans="1:2" x14ac:dyDescent="0.3">
      <c r="A111" s="9">
        <v>1164373</v>
      </c>
      <c r="B111">
        <f>'TASK 6(1)'!N111-'TASK 6(1)'!O111</f>
        <v>48004</v>
      </c>
    </row>
    <row r="112" spans="1:2" x14ac:dyDescent="0.3">
      <c r="A112" s="8">
        <v>1228647</v>
      </c>
      <c r="B112">
        <f>'TASK 6(1)'!N112-'TASK 6(1)'!O112</f>
        <v>35367</v>
      </c>
    </row>
    <row r="113" spans="1:2" x14ac:dyDescent="0.3">
      <c r="A113" s="9">
        <v>1060357</v>
      </c>
      <c r="B113">
        <f>'TASK 6(1)'!N113-'TASK 6(1)'!O113</f>
        <v>41177</v>
      </c>
    </row>
    <row r="114" spans="1:2" x14ac:dyDescent="0.3">
      <c r="A114" s="8">
        <v>1060357</v>
      </c>
      <c r="B114">
        <f>'TASK 6(1)'!N114-'TASK 6(1)'!O114</f>
        <v>41177</v>
      </c>
    </row>
    <row r="115" spans="1:2" x14ac:dyDescent="0.3">
      <c r="A115" s="9">
        <v>1060357</v>
      </c>
      <c r="B115">
        <f>'TASK 6(1)'!N115-'TASK 6(1)'!O115</f>
        <v>41177</v>
      </c>
    </row>
    <row r="116" spans="1:2" x14ac:dyDescent="0.3">
      <c r="A116" s="8">
        <v>1060357</v>
      </c>
      <c r="B116">
        <f>'TASK 6(1)'!N116-'TASK 6(1)'!O116</f>
        <v>41177</v>
      </c>
    </row>
    <row r="117" spans="1:2" x14ac:dyDescent="0.3">
      <c r="A117" s="9">
        <v>1228647</v>
      </c>
      <c r="B117">
        <f>'TASK 6(1)'!N117-'TASK 6(1)'!O117</f>
        <v>35367</v>
      </c>
    </row>
    <row r="118" spans="1:2" x14ac:dyDescent="0.3">
      <c r="A118" s="8">
        <v>1060357</v>
      </c>
      <c r="B118">
        <f>'TASK 6(1)'!N118-'TASK 6(1)'!O118</f>
        <v>41177</v>
      </c>
    </row>
    <row r="119" spans="1:2" x14ac:dyDescent="0.3">
      <c r="A119" s="9">
        <v>1379539</v>
      </c>
      <c r="B119">
        <f>'TASK 6(1)'!N119-'TASK 6(1)'!O119</f>
        <v>35557</v>
      </c>
    </row>
    <row r="120" spans="1:2" x14ac:dyDescent="0.3">
      <c r="A120" s="8">
        <v>1164373</v>
      </c>
      <c r="B120">
        <f>'TASK 6(1)'!N120-'TASK 6(1)'!O120</f>
        <v>48004</v>
      </c>
    </row>
    <row r="121" spans="1:2" x14ac:dyDescent="0.3">
      <c r="A121" s="9">
        <v>1379539</v>
      </c>
      <c r="B121">
        <f>'TASK 6(1)'!N121-'TASK 6(1)'!O121</f>
        <v>35557</v>
      </c>
    </row>
    <row r="122" spans="1:2" x14ac:dyDescent="0.3">
      <c r="A122" s="8">
        <v>1164373</v>
      </c>
      <c r="B122">
        <f>'TASK 6(1)'!N122-'TASK 6(1)'!O122</f>
        <v>48004</v>
      </c>
    </row>
    <row r="123" spans="1:2" x14ac:dyDescent="0.3">
      <c r="A123" s="9">
        <v>1164373</v>
      </c>
      <c r="B123">
        <f>'TASK 6(1)'!N123-'TASK 6(1)'!O123</f>
        <v>48004</v>
      </c>
    </row>
    <row r="124" spans="1:2" x14ac:dyDescent="0.3">
      <c r="A124" s="8">
        <v>1164373</v>
      </c>
      <c r="B124">
        <f>'TASK 6(1)'!N124-'TASK 6(1)'!O124</f>
        <v>48004</v>
      </c>
    </row>
    <row r="125" spans="1:2" x14ac:dyDescent="0.3">
      <c r="A125" s="9">
        <v>1228647</v>
      </c>
      <c r="B125">
        <f>'TASK 6(1)'!N125-'TASK 6(1)'!O125</f>
        <v>35367</v>
      </c>
    </row>
    <row r="126" spans="1:2" x14ac:dyDescent="0.3">
      <c r="A126" s="8">
        <v>1060357</v>
      </c>
      <c r="B126">
        <f>'TASK 6(1)'!N126-'TASK 6(1)'!O126</f>
        <v>41177</v>
      </c>
    </row>
    <row r="127" spans="1:2" x14ac:dyDescent="0.3">
      <c r="A127" s="9">
        <v>1164373</v>
      </c>
      <c r="B127">
        <f>'TASK 6(1)'!N127-'TASK 6(1)'!O127</f>
        <v>48004</v>
      </c>
    </row>
    <row r="128" spans="1:2" x14ac:dyDescent="0.3">
      <c r="A128" s="8">
        <v>1379539</v>
      </c>
      <c r="B128">
        <f>'TASK 6(1)'!N128-'TASK 6(1)'!O128</f>
        <v>35557</v>
      </c>
    </row>
    <row r="129" spans="1:2" x14ac:dyDescent="0.3">
      <c r="A129" s="9">
        <v>1060357</v>
      </c>
      <c r="B129">
        <f>'TASK 6(1)'!N129-'TASK 6(1)'!O129</f>
        <v>41177</v>
      </c>
    </row>
    <row r="130" spans="1:2" x14ac:dyDescent="0.3">
      <c r="A130" s="8">
        <v>1060357</v>
      </c>
      <c r="B130">
        <f>'TASK 6(1)'!N130-'TASK 6(1)'!O130</f>
        <v>41177</v>
      </c>
    </row>
    <row r="131" spans="1:2" x14ac:dyDescent="0.3">
      <c r="A131" s="9">
        <v>1228647</v>
      </c>
      <c r="B131">
        <f>'TASK 6(1)'!N131-'TASK 6(1)'!O131</f>
        <v>35367</v>
      </c>
    </row>
    <row r="132" spans="1:2" x14ac:dyDescent="0.3">
      <c r="A132" s="8">
        <v>1164373</v>
      </c>
      <c r="B132">
        <f>'TASK 6(1)'!N132-'TASK 6(1)'!O132</f>
        <v>48004</v>
      </c>
    </row>
    <row r="133" spans="1:2" x14ac:dyDescent="0.3">
      <c r="A133" s="9">
        <v>1164373</v>
      </c>
      <c r="B133">
        <f>'TASK 6(1)'!N133-'TASK 6(1)'!O133</f>
        <v>48004</v>
      </c>
    </row>
    <row r="134" spans="1:2" x14ac:dyDescent="0.3">
      <c r="A134" s="8">
        <v>1379539</v>
      </c>
      <c r="B134">
        <f>'TASK 6(1)'!N134-'TASK 6(1)'!O134</f>
        <v>35557</v>
      </c>
    </row>
    <row r="135" spans="1:2" x14ac:dyDescent="0.3">
      <c r="A135" s="9">
        <v>1060357</v>
      </c>
      <c r="B135">
        <f>'TASK 6(1)'!N135-'TASK 6(1)'!O135</f>
        <v>41177</v>
      </c>
    </row>
    <row r="136" spans="1:2" x14ac:dyDescent="0.3">
      <c r="A136" s="8">
        <v>1379539</v>
      </c>
      <c r="B136">
        <f>'TASK 6(1)'!N136-'TASK 6(1)'!O136</f>
        <v>35557</v>
      </c>
    </row>
    <row r="137" spans="1:2" x14ac:dyDescent="0.3">
      <c r="A137" s="9">
        <v>1164373</v>
      </c>
      <c r="B137">
        <f>'TASK 6(1)'!N137-'TASK 6(1)'!O137</f>
        <v>48004</v>
      </c>
    </row>
    <row r="138" spans="1:2" x14ac:dyDescent="0.3">
      <c r="A138" s="8">
        <v>1379539</v>
      </c>
      <c r="B138">
        <f>'TASK 6(1)'!N138-'TASK 6(1)'!O138</f>
        <v>35557</v>
      </c>
    </row>
    <row r="139" spans="1:2" x14ac:dyDescent="0.3">
      <c r="A139" s="9">
        <v>1060357</v>
      </c>
      <c r="B139">
        <f>'TASK 6(1)'!N139-'TASK 6(1)'!O139</f>
        <v>41177</v>
      </c>
    </row>
    <row r="140" spans="1:2" x14ac:dyDescent="0.3">
      <c r="A140" s="8">
        <v>1228647</v>
      </c>
      <c r="B140">
        <f>'TASK 6(1)'!N140-'TASK 6(1)'!O140</f>
        <v>35367</v>
      </c>
    </row>
    <row r="141" spans="1:2" x14ac:dyDescent="0.3">
      <c r="A141" s="9">
        <v>1379539</v>
      </c>
      <c r="B141">
        <f>'TASK 6(1)'!N141-'TASK 6(1)'!O141</f>
        <v>35557</v>
      </c>
    </row>
    <row r="142" spans="1:2" x14ac:dyDescent="0.3">
      <c r="A142" s="8">
        <v>1060357</v>
      </c>
      <c r="B142">
        <f>'TASK 6(1)'!N142-'TASK 6(1)'!O142</f>
        <v>41177</v>
      </c>
    </row>
    <row r="143" spans="1:2" x14ac:dyDescent="0.3">
      <c r="A143" s="9">
        <v>1228647</v>
      </c>
      <c r="B143">
        <f>'TASK 6(1)'!N143-'TASK 6(1)'!O143</f>
        <v>35367</v>
      </c>
    </row>
    <row r="144" spans="1:2" x14ac:dyDescent="0.3">
      <c r="A144" s="8">
        <v>1228647</v>
      </c>
      <c r="B144">
        <f>'TASK 6(1)'!N144-'TASK 6(1)'!O144</f>
        <v>35367</v>
      </c>
    </row>
    <row r="145" spans="1:2" x14ac:dyDescent="0.3">
      <c r="A145" s="9">
        <v>1228647</v>
      </c>
      <c r="B145">
        <f>'TASK 6(1)'!N145-'TASK 6(1)'!O145</f>
        <v>35367</v>
      </c>
    </row>
    <row r="146" spans="1:2" x14ac:dyDescent="0.3">
      <c r="A146" s="8">
        <v>1164373</v>
      </c>
      <c r="B146">
        <f>'TASK 6(1)'!N146-'TASK 6(1)'!O146</f>
        <v>48004</v>
      </c>
    </row>
    <row r="147" spans="1:2" x14ac:dyDescent="0.3">
      <c r="A147" s="9">
        <v>1228647</v>
      </c>
      <c r="B147">
        <f>'TASK 6(1)'!N147-'TASK 6(1)'!O147</f>
        <v>35367</v>
      </c>
    </row>
    <row r="148" spans="1:2" x14ac:dyDescent="0.3">
      <c r="A148" s="8">
        <v>1164373</v>
      </c>
      <c r="B148">
        <f>'TASK 6(1)'!N148-'TASK 6(1)'!O148</f>
        <v>48004</v>
      </c>
    </row>
    <row r="149" spans="1:2" x14ac:dyDescent="0.3">
      <c r="A149" s="9">
        <v>1164373</v>
      </c>
      <c r="B149">
        <f>'TASK 6(1)'!N149-'TASK 6(1)'!O149</f>
        <v>48004</v>
      </c>
    </row>
    <row r="150" spans="1:2" x14ac:dyDescent="0.3">
      <c r="A150" s="8">
        <v>1060357</v>
      </c>
      <c r="B150">
        <f>'TASK 6(1)'!N150-'TASK 6(1)'!O150</f>
        <v>41177</v>
      </c>
    </row>
    <row r="151" spans="1:2" x14ac:dyDescent="0.3">
      <c r="A151" s="9">
        <v>1228647</v>
      </c>
      <c r="B151">
        <f>'TASK 6(1)'!N151-'TASK 6(1)'!O151</f>
        <v>35367</v>
      </c>
    </row>
    <row r="152" spans="1:2" x14ac:dyDescent="0.3">
      <c r="A152" s="8">
        <v>1164373</v>
      </c>
      <c r="B152">
        <f>'TASK 6(1)'!N152-'TASK 6(1)'!O152</f>
        <v>48004</v>
      </c>
    </row>
    <row r="153" spans="1:2" x14ac:dyDescent="0.3">
      <c r="A153" s="9">
        <v>1379539</v>
      </c>
      <c r="B153">
        <f>'TASK 6(1)'!N153-'TASK 6(1)'!O153</f>
        <v>35557</v>
      </c>
    </row>
    <row r="154" spans="1:2" x14ac:dyDescent="0.3">
      <c r="A154" s="8">
        <v>1060357</v>
      </c>
      <c r="B154">
        <f>'TASK 6(1)'!N154-'TASK 6(1)'!O154</f>
        <v>41177</v>
      </c>
    </row>
    <row r="155" spans="1:2" x14ac:dyDescent="0.3">
      <c r="A155" s="9">
        <v>1164373</v>
      </c>
      <c r="B155">
        <f>'TASK 6(1)'!N155-'TASK 6(1)'!O155</f>
        <v>48004</v>
      </c>
    </row>
    <row r="156" spans="1:2" x14ac:dyDescent="0.3">
      <c r="A156" s="8">
        <v>1228647</v>
      </c>
      <c r="B156">
        <f>'TASK 6(1)'!N156-'TASK 6(1)'!O156</f>
        <v>35367</v>
      </c>
    </row>
    <row r="157" spans="1:2" x14ac:dyDescent="0.3">
      <c r="A157" s="9">
        <v>1379539</v>
      </c>
      <c r="B157">
        <f>'TASK 6(1)'!N157-'TASK 6(1)'!O157</f>
        <v>35557</v>
      </c>
    </row>
    <row r="158" spans="1:2" x14ac:dyDescent="0.3">
      <c r="A158" s="8">
        <v>1228647</v>
      </c>
      <c r="B158">
        <f>'TASK 6(1)'!N158-'TASK 6(1)'!O158</f>
        <v>35367</v>
      </c>
    </row>
    <row r="159" spans="1:2" x14ac:dyDescent="0.3">
      <c r="A159" s="9">
        <v>1164373</v>
      </c>
      <c r="B159">
        <f>'TASK 6(1)'!N159-'TASK 6(1)'!O159</f>
        <v>48004</v>
      </c>
    </row>
    <row r="160" spans="1:2" x14ac:dyDescent="0.3">
      <c r="A160" s="8">
        <v>1379539</v>
      </c>
      <c r="B160">
        <f>'TASK 6(1)'!N160-'TASK 6(1)'!O160</f>
        <v>35557</v>
      </c>
    </row>
    <row r="161" spans="1:2" x14ac:dyDescent="0.3">
      <c r="A161" s="9">
        <v>1060357</v>
      </c>
      <c r="B161">
        <f>'TASK 6(1)'!N161-'TASK 6(1)'!O161</f>
        <v>41177</v>
      </c>
    </row>
    <row r="162" spans="1:2" x14ac:dyDescent="0.3">
      <c r="A162" s="8">
        <v>1060357</v>
      </c>
      <c r="B162">
        <f>'TASK 6(1)'!N162-'TASK 6(1)'!O162</f>
        <v>41177</v>
      </c>
    </row>
    <row r="163" spans="1:2" x14ac:dyDescent="0.3">
      <c r="A163" s="9">
        <v>1379539</v>
      </c>
      <c r="B163">
        <f>'TASK 6(1)'!N163-'TASK 6(1)'!O163</f>
        <v>35557</v>
      </c>
    </row>
    <row r="164" spans="1:2" x14ac:dyDescent="0.3">
      <c r="A164" s="8">
        <v>1164373</v>
      </c>
      <c r="B164">
        <f>'TASK 6(1)'!N164-'TASK 6(1)'!O164</f>
        <v>48004</v>
      </c>
    </row>
    <row r="165" spans="1:2" x14ac:dyDescent="0.3">
      <c r="A165" s="9">
        <v>1228647</v>
      </c>
      <c r="B165">
        <f>'TASK 6(1)'!N165-'TASK 6(1)'!O165</f>
        <v>35367</v>
      </c>
    </row>
    <row r="166" spans="1:2" x14ac:dyDescent="0.3">
      <c r="A166" s="8">
        <v>1060357</v>
      </c>
      <c r="B166">
        <f>'TASK 6(1)'!N166-'TASK 6(1)'!O166</f>
        <v>41177</v>
      </c>
    </row>
    <row r="167" spans="1:2" x14ac:dyDescent="0.3">
      <c r="A167" s="9">
        <v>1060357</v>
      </c>
      <c r="B167">
        <f>'TASK 6(1)'!N167-'TASK 6(1)'!O167</f>
        <v>41177</v>
      </c>
    </row>
    <row r="168" spans="1:2" x14ac:dyDescent="0.3">
      <c r="A168" s="8">
        <v>1164373</v>
      </c>
      <c r="B168">
        <f>'TASK 6(1)'!N168-'TASK 6(1)'!O168</f>
        <v>48004</v>
      </c>
    </row>
    <row r="169" spans="1:2" x14ac:dyDescent="0.3">
      <c r="A169" s="9">
        <v>1379539</v>
      </c>
      <c r="B169">
        <f>'TASK 6(1)'!N169-'TASK 6(1)'!O169</f>
        <v>35557</v>
      </c>
    </row>
    <row r="170" spans="1:2" x14ac:dyDescent="0.3">
      <c r="A170" s="8">
        <v>1228647</v>
      </c>
      <c r="B170">
        <f>'TASK 6(1)'!N170-'TASK 6(1)'!O170</f>
        <v>35367</v>
      </c>
    </row>
    <row r="171" spans="1:2" x14ac:dyDescent="0.3">
      <c r="A171" s="9">
        <v>1060357</v>
      </c>
      <c r="B171">
        <f>'TASK 6(1)'!N171-'TASK 6(1)'!O171</f>
        <v>41177</v>
      </c>
    </row>
    <row r="172" spans="1:2" x14ac:dyDescent="0.3">
      <c r="A172" s="8">
        <v>1228647</v>
      </c>
      <c r="B172">
        <f>'TASK 6(1)'!N172-'TASK 6(1)'!O172</f>
        <v>35367</v>
      </c>
    </row>
    <row r="173" spans="1:2" x14ac:dyDescent="0.3">
      <c r="A173" s="9">
        <v>1379539</v>
      </c>
      <c r="B173">
        <f>'TASK 6(1)'!N173-'TASK 6(1)'!O173</f>
        <v>35557</v>
      </c>
    </row>
    <row r="174" spans="1:2" x14ac:dyDescent="0.3">
      <c r="A174" s="8">
        <v>1060357</v>
      </c>
      <c r="B174">
        <f>'TASK 6(1)'!N174-'TASK 6(1)'!O174</f>
        <v>41177</v>
      </c>
    </row>
    <row r="175" spans="1:2" x14ac:dyDescent="0.3">
      <c r="A175" s="9">
        <v>1379539</v>
      </c>
      <c r="B175">
        <f>'TASK 6(1)'!N175-'TASK 6(1)'!O175</f>
        <v>35557</v>
      </c>
    </row>
    <row r="176" spans="1:2" x14ac:dyDescent="0.3">
      <c r="A176" s="8">
        <v>1164373</v>
      </c>
      <c r="B176">
        <f>'TASK 6(1)'!N176-'TASK 6(1)'!O176</f>
        <v>48004</v>
      </c>
    </row>
    <row r="177" spans="1:2" x14ac:dyDescent="0.3">
      <c r="A177" s="9">
        <v>1379539</v>
      </c>
      <c r="B177">
        <f>'TASK 6(1)'!N177-'TASK 6(1)'!O177</f>
        <v>35557</v>
      </c>
    </row>
    <row r="178" spans="1:2" x14ac:dyDescent="0.3">
      <c r="A178" s="8">
        <v>1164373</v>
      </c>
      <c r="B178">
        <f>'TASK 6(1)'!N178-'TASK 6(1)'!O178</f>
        <v>48004</v>
      </c>
    </row>
    <row r="179" spans="1:2" x14ac:dyDescent="0.3">
      <c r="A179" s="9">
        <v>1164373</v>
      </c>
      <c r="B179">
        <f>'TASK 6(1)'!N179-'TASK 6(1)'!O179</f>
        <v>48004</v>
      </c>
    </row>
    <row r="180" spans="1:2" x14ac:dyDescent="0.3">
      <c r="A180" s="8">
        <v>1379539</v>
      </c>
      <c r="B180">
        <f>'TASK 6(1)'!N180-'TASK 6(1)'!O180</f>
        <v>35557</v>
      </c>
    </row>
    <row r="181" spans="1:2" x14ac:dyDescent="0.3">
      <c r="A181" s="9">
        <v>1228647</v>
      </c>
      <c r="B181">
        <f>'TASK 6(1)'!N181-'TASK 6(1)'!O181</f>
        <v>35367</v>
      </c>
    </row>
    <row r="182" spans="1:2" x14ac:dyDescent="0.3">
      <c r="A182" s="8">
        <v>1228647</v>
      </c>
      <c r="B182">
        <f>'TASK 6(1)'!N182-'TASK 6(1)'!O182</f>
        <v>35367</v>
      </c>
    </row>
    <row r="183" spans="1:2" x14ac:dyDescent="0.3">
      <c r="A183" s="9">
        <v>1379539</v>
      </c>
      <c r="B183">
        <f>'TASK 6(1)'!N183-'TASK 6(1)'!O183</f>
        <v>35557</v>
      </c>
    </row>
    <row r="184" spans="1:2" x14ac:dyDescent="0.3">
      <c r="A184" s="8">
        <v>1164373</v>
      </c>
      <c r="B184">
        <f>'TASK 6(1)'!N184-'TASK 6(1)'!O184</f>
        <v>48004</v>
      </c>
    </row>
    <row r="185" spans="1:2" x14ac:dyDescent="0.3">
      <c r="A185" s="9">
        <v>1060357</v>
      </c>
      <c r="B185">
        <f>'TASK 6(1)'!N185-'TASK 6(1)'!O185</f>
        <v>41177</v>
      </c>
    </row>
    <row r="186" spans="1:2" x14ac:dyDescent="0.3">
      <c r="A186" s="8">
        <v>1164373</v>
      </c>
      <c r="B186">
        <f>'TASK 6(1)'!N186-'TASK 6(1)'!O186</f>
        <v>48004</v>
      </c>
    </row>
    <row r="187" spans="1:2" x14ac:dyDescent="0.3">
      <c r="A187" s="9">
        <v>1379539</v>
      </c>
      <c r="B187">
        <f>'TASK 6(1)'!N187-'TASK 6(1)'!O187</f>
        <v>35557</v>
      </c>
    </row>
    <row r="188" spans="1:2" x14ac:dyDescent="0.3">
      <c r="A188" s="8">
        <v>1060357</v>
      </c>
      <c r="B188">
        <f>'TASK 6(1)'!N188-'TASK 6(1)'!O188</f>
        <v>41177</v>
      </c>
    </row>
    <row r="189" spans="1:2" x14ac:dyDescent="0.3">
      <c r="A189" s="9">
        <v>1228647</v>
      </c>
      <c r="B189">
        <f>'TASK 6(1)'!N189-'TASK 6(1)'!O189</f>
        <v>35367</v>
      </c>
    </row>
    <row r="190" spans="1:2" x14ac:dyDescent="0.3">
      <c r="A190" s="8">
        <v>1379539</v>
      </c>
      <c r="B190">
        <f>'TASK 6(1)'!N190-'TASK 6(1)'!O190</f>
        <v>35557</v>
      </c>
    </row>
    <row r="191" spans="1:2" x14ac:dyDescent="0.3">
      <c r="A191" s="9">
        <v>1228647</v>
      </c>
      <c r="B191">
        <f>'TASK 6(1)'!N191-'TASK 6(1)'!O191</f>
        <v>35367</v>
      </c>
    </row>
    <row r="192" spans="1:2" x14ac:dyDescent="0.3">
      <c r="A192" s="8">
        <v>1228647</v>
      </c>
      <c r="B192">
        <f>'TASK 6(1)'!N192-'TASK 6(1)'!O192</f>
        <v>35367</v>
      </c>
    </row>
    <row r="193" spans="1:2" x14ac:dyDescent="0.3">
      <c r="A193" s="9">
        <v>1164373</v>
      </c>
      <c r="B193">
        <f>'TASK 6(1)'!N193-'TASK 6(1)'!O193</f>
        <v>48004</v>
      </c>
    </row>
    <row r="194" spans="1:2" x14ac:dyDescent="0.3">
      <c r="A194" s="8">
        <v>1060357</v>
      </c>
      <c r="B194">
        <f>'TASK 6(1)'!N194-'TASK 6(1)'!O194</f>
        <v>41177</v>
      </c>
    </row>
    <row r="195" spans="1:2" x14ac:dyDescent="0.3">
      <c r="A195" s="9">
        <v>1228647</v>
      </c>
      <c r="B195">
        <f>'TASK 6(1)'!N195-'TASK 6(1)'!O195</f>
        <v>35367</v>
      </c>
    </row>
    <row r="196" spans="1:2" x14ac:dyDescent="0.3">
      <c r="A196" s="8">
        <v>1164373</v>
      </c>
      <c r="B196">
        <f>'TASK 6(1)'!N196-'TASK 6(1)'!O196</f>
        <v>48004</v>
      </c>
    </row>
    <row r="197" spans="1:2" x14ac:dyDescent="0.3">
      <c r="A197" s="9">
        <v>1164373</v>
      </c>
      <c r="B197">
        <f>'TASK 6(1)'!N197-'TASK 6(1)'!O197</f>
        <v>48004</v>
      </c>
    </row>
    <row r="198" spans="1:2" x14ac:dyDescent="0.3">
      <c r="A198" s="8">
        <v>1060357</v>
      </c>
      <c r="B198">
        <f>'TASK 6(1)'!N198-'TASK 6(1)'!O198</f>
        <v>41177</v>
      </c>
    </row>
    <row r="199" spans="1:2" x14ac:dyDescent="0.3">
      <c r="A199" s="9">
        <v>1060357</v>
      </c>
      <c r="B199">
        <f>'TASK 6(1)'!N199-'TASK 6(1)'!O199</f>
        <v>41177</v>
      </c>
    </row>
    <row r="200" spans="1:2" x14ac:dyDescent="0.3">
      <c r="A200" s="8">
        <v>1228647</v>
      </c>
      <c r="B200">
        <f>'TASK 6(1)'!N200-'TASK 6(1)'!O200</f>
        <v>35367</v>
      </c>
    </row>
    <row r="201" spans="1:2" x14ac:dyDescent="0.3">
      <c r="A201" s="9">
        <v>1379539</v>
      </c>
      <c r="B201">
        <f>'TASK 6(1)'!N201-'TASK 6(1)'!O201</f>
        <v>35557</v>
      </c>
    </row>
    <row r="202" spans="1:2" x14ac:dyDescent="0.3">
      <c r="A202" s="8">
        <v>1060357</v>
      </c>
      <c r="B202">
        <f>'TASK 6(1)'!N202-'TASK 6(1)'!O202</f>
        <v>41177</v>
      </c>
    </row>
    <row r="203" spans="1:2" x14ac:dyDescent="0.3">
      <c r="A203" s="9">
        <v>1379539</v>
      </c>
      <c r="B203">
        <f>'TASK 6(1)'!N203-'TASK 6(1)'!O203</f>
        <v>35557</v>
      </c>
    </row>
    <row r="204" spans="1:2" x14ac:dyDescent="0.3">
      <c r="A204" s="8">
        <v>1164373</v>
      </c>
      <c r="B204">
        <f>'TASK 6(1)'!N204-'TASK 6(1)'!O204</f>
        <v>48004</v>
      </c>
    </row>
    <row r="205" spans="1:2" x14ac:dyDescent="0.3">
      <c r="A205" s="9">
        <v>1164373</v>
      </c>
      <c r="B205">
        <f>'TASK 6(1)'!N205-'TASK 6(1)'!O205</f>
        <v>48004</v>
      </c>
    </row>
    <row r="206" spans="1:2" x14ac:dyDescent="0.3">
      <c r="A206" s="8">
        <v>1060357</v>
      </c>
      <c r="B206">
        <f>'TASK 6(1)'!N206-'TASK 6(1)'!O206</f>
        <v>41177</v>
      </c>
    </row>
    <row r="207" spans="1:2" x14ac:dyDescent="0.3">
      <c r="A207" s="9">
        <v>1060357</v>
      </c>
      <c r="B207">
        <f>'TASK 6(1)'!N207-'TASK 6(1)'!O207</f>
        <v>41177</v>
      </c>
    </row>
    <row r="208" spans="1:2" x14ac:dyDescent="0.3">
      <c r="A208" s="8">
        <v>1060357</v>
      </c>
      <c r="B208">
        <f>'TASK 6(1)'!N208-'TASK 6(1)'!O208</f>
        <v>41177</v>
      </c>
    </row>
    <row r="209" spans="1:2" x14ac:dyDescent="0.3">
      <c r="A209" s="9">
        <v>1228647</v>
      </c>
      <c r="B209">
        <f>'TASK 6(1)'!N209-'TASK 6(1)'!O209</f>
        <v>35367</v>
      </c>
    </row>
    <row r="210" spans="1:2" x14ac:dyDescent="0.3">
      <c r="A210" s="8">
        <v>1060357</v>
      </c>
      <c r="B210">
        <f>'TASK 6(1)'!N210-'TASK 6(1)'!O210</f>
        <v>41177</v>
      </c>
    </row>
    <row r="211" spans="1:2" x14ac:dyDescent="0.3">
      <c r="A211" s="9">
        <v>1228647</v>
      </c>
      <c r="B211">
        <f>'TASK 6(1)'!N211-'TASK 6(1)'!O211</f>
        <v>35367</v>
      </c>
    </row>
    <row r="212" spans="1:2" x14ac:dyDescent="0.3">
      <c r="A212" s="8">
        <v>1060357</v>
      </c>
      <c r="B212">
        <f>'TASK 6(1)'!N212-'TASK 6(1)'!O212</f>
        <v>41177</v>
      </c>
    </row>
    <row r="213" spans="1:2" x14ac:dyDescent="0.3">
      <c r="A213" s="9">
        <v>1228647</v>
      </c>
      <c r="B213">
        <f>'TASK 6(1)'!N213-'TASK 6(1)'!O213</f>
        <v>35367</v>
      </c>
    </row>
    <row r="214" spans="1:2" x14ac:dyDescent="0.3">
      <c r="A214" s="8">
        <v>1379539</v>
      </c>
      <c r="B214">
        <f>'TASK 6(1)'!N214-'TASK 6(1)'!O214</f>
        <v>35557</v>
      </c>
    </row>
    <row r="215" spans="1:2" x14ac:dyDescent="0.3">
      <c r="A215" s="9">
        <v>1164373</v>
      </c>
      <c r="B215">
        <f>'TASK 6(1)'!N215-'TASK 6(1)'!O215</f>
        <v>48004</v>
      </c>
    </row>
    <row r="216" spans="1:2" x14ac:dyDescent="0.3">
      <c r="A216" s="8">
        <v>1379539</v>
      </c>
      <c r="B216">
        <f>'TASK 6(1)'!N216-'TASK 6(1)'!O216</f>
        <v>35557</v>
      </c>
    </row>
    <row r="217" spans="1:2" x14ac:dyDescent="0.3">
      <c r="A217" s="9">
        <v>1228647</v>
      </c>
      <c r="B217">
        <f>'TASK 6(1)'!N217-'TASK 6(1)'!O217</f>
        <v>35367</v>
      </c>
    </row>
    <row r="218" spans="1:2" x14ac:dyDescent="0.3">
      <c r="A218" s="8">
        <v>1379539</v>
      </c>
      <c r="B218">
        <f>'TASK 6(1)'!N218-'TASK 6(1)'!O218</f>
        <v>35557</v>
      </c>
    </row>
    <row r="219" spans="1:2" x14ac:dyDescent="0.3">
      <c r="A219" s="9">
        <v>1379539</v>
      </c>
      <c r="B219">
        <f>'TASK 6(1)'!N219-'TASK 6(1)'!O219</f>
        <v>35557</v>
      </c>
    </row>
    <row r="220" spans="1:2" x14ac:dyDescent="0.3">
      <c r="A220" s="8">
        <v>1060357</v>
      </c>
      <c r="B220">
        <f>'TASK 6(1)'!N220-'TASK 6(1)'!O220</f>
        <v>41177</v>
      </c>
    </row>
    <row r="221" spans="1:2" x14ac:dyDescent="0.3">
      <c r="A221" s="9">
        <v>1164373</v>
      </c>
      <c r="B221">
        <f>'TASK 6(1)'!N221-'TASK 6(1)'!O221</f>
        <v>48004</v>
      </c>
    </row>
    <row r="222" spans="1:2" x14ac:dyDescent="0.3">
      <c r="A222" s="8">
        <v>1379539</v>
      </c>
      <c r="B222">
        <f>'TASK 6(1)'!N222-'TASK 6(1)'!O222</f>
        <v>35557</v>
      </c>
    </row>
    <row r="223" spans="1:2" x14ac:dyDescent="0.3">
      <c r="A223" s="9">
        <v>1379539</v>
      </c>
      <c r="B223">
        <f>'TASK 6(1)'!N223-'TASK 6(1)'!O223</f>
        <v>35557</v>
      </c>
    </row>
    <row r="224" spans="1:2" x14ac:dyDescent="0.3">
      <c r="A224" s="8">
        <v>1060357</v>
      </c>
      <c r="B224">
        <f>'TASK 6(1)'!N224-'TASK 6(1)'!O224</f>
        <v>41177</v>
      </c>
    </row>
    <row r="225" spans="1:2" x14ac:dyDescent="0.3">
      <c r="A225" s="9">
        <v>1379539</v>
      </c>
      <c r="B225">
        <f>'TASK 6(1)'!N225-'TASK 6(1)'!O225</f>
        <v>35557</v>
      </c>
    </row>
    <row r="226" spans="1:2" x14ac:dyDescent="0.3">
      <c r="A226" s="8">
        <v>1060357</v>
      </c>
      <c r="B226">
        <f>'TASK 6(1)'!N226-'TASK 6(1)'!O226</f>
        <v>41177</v>
      </c>
    </row>
    <row r="227" spans="1:2" x14ac:dyDescent="0.3">
      <c r="A227" s="9">
        <v>1164373</v>
      </c>
      <c r="B227">
        <f>'TASK 6(1)'!N227-'TASK 6(1)'!O227</f>
        <v>48004</v>
      </c>
    </row>
    <row r="228" spans="1:2" x14ac:dyDescent="0.3">
      <c r="A228" s="8">
        <v>1164373</v>
      </c>
      <c r="B228">
        <f>'TASK 6(1)'!N228-'TASK 6(1)'!O228</f>
        <v>48004</v>
      </c>
    </row>
    <row r="229" spans="1:2" x14ac:dyDescent="0.3">
      <c r="A229" s="9">
        <v>1164373</v>
      </c>
      <c r="B229">
        <f>'TASK 6(1)'!N229-'TASK 6(1)'!O229</f>
        <v>48004</v>
      </c>
    </row>
    <row r="230" spans="1:2" x14ac:dyDescent="0.3">
      <c r="A230" s="8">
        <v>1164373</v>
      </c>
      <c r="B230">
        <f>'TASK 6(1)'!N230-'TASK 6(1)'!O230</f>
        <v>48004</v>
      </c>
    </row>
    <row r="231" spans="1:2" x14ac:dyDescent="0.3">
      <c r="A231" s="9">
        <v>1379539</v>
      </c>
      <c r="B231">
        <f>'TASK 6(1)'!N231-'TASK 6(1)'!O231</f>
        <v>35557</v>
      </c>
    </row>
    <row r="232" spans="1:2" x14ac:dyDescent="0.3">
      <c r="A232" s="8">
        <v>1164373</v>
      </c>
      <c r="B232">
        <f>'TASK 6(1)'!N232-'TASK 6(1)'!O232</f>
        <v>48004</v>
      </c>
    </row>
    <row r="233" spans="1:2" x14ac:dyDescent="0.3">
      <c r="A233" s="9">
        <v>1060357</v>
      </c>
      <c r="B233">
        <f>'TASK 6(1)'!N233-'TASK 6(1)'!O233</f>
        <v>41177</v>
      </c>
    </row>
    <row r="234" spans="1:2" x14ac:dyDescent="0.3">
      <c r="A234" s="8">
        <v>1379539</v>
      </c>
      <c r="B234">
        <f>'TASK 6(1)'!N234-'TASK 6(1)'!O234</f>
        <v>35557</v>
      </c>
    </row>
    <row r="235" spans="1:2" x14ac:dyDescent="0.3">
      <c r="A235" s="9">
        <v>1379539</v>
      </c>
      <c r="B235">
        <f>'TASK 6(1)'!N235-'TASK 6(1)'!O235</f>
        <v>35557</v>
      </c>
    </row>
    <row r="236" spans="1:2" x14ac:dyDescent="0.3">
      <c r="A236" s="8">
        <v>1379539</v>
      </c>
      <c r="B236">
        <f>'TASK 6(1)'!N236-'TASK 6(1)'!O236</f>
        <v>35557</v>
      </c>
    </row>
    <row r="237" spans="1:2" x14ac:dyDescent="0.3">
      <c r="A237" s="9">
        <v>1379539</v>
      </c>
      <c r="B237">
        <f>'TASK 6(1)'!N237-'TASK 6(1)'!O237</f>
        <v>35557</v>
      </c>
    </row>
    <row r="238" spans="1:2" x14ac:dyDescent="0.3">
      <c r="A238" s="8">
        <v>1164373</v>
      </c>
      <c r="B238">
        <f>'TASK 6(1)'!N238-'TASK 6(1)'!O238</f>
        <v>48004</v>
      </c>
    </row>
    <row r="239" spans="1:2" x14ac:dyDescent="0.3">
      <c r="A239" s="9">
        <v>1060357</v>
      </c>
      <c r="B239">
        <f>'TASK 6(1)'!N239-'TASK 6(1)'!O239</f>
        <v>41177</v>
      </c>
    </row>
    <row r="240" spans="1:2" x14ac:dyDescent="0.3">
      <c r="A240" s="8">
        <v>1228647</v>
      </c>
      <c r="B240">
        <f>'TASK 6(1)'!N240-'TASK 6(1)'!O240</f>
        <v>35367</v>
      </c>
    </row>
    <row r="241" spans="1:2" x14ac:dyDescent="0.3">
      <c r="A241" s="9">
        <v>1060357</v>
      </c>
      <c r="B241">
        <f>'TASK 6(1)'!N241-'TASK 6(1)'!O241</f>
        <v>41177</v>
      </c>
    </row>
    <row r="242" spans="1:2" x14ac:dyDescent="0.3">
      <c r="A242" s="8">
        <v>1379539</v>
      </c>
      <c r="B242">
        <f>'TASK 6(1)'!N242-'TASK 6(1)'!O242</f>
        <v>35557</v>
      </c>
    </row>
    <row r="243" spans="1:2" x14ac:dyDescent="0.3">
      <c r="A243" s="9">
        <v>1379539</v>
      </c>
      <c r="B243">
        <f>'TASK 6(1)'!N243-'TASK 6(1)'!O243</f>
        <v>35557</v>
      </c>
    </row>
    <row r="244" spans="1:2" x14ac:dyDescent="0.3">
      <c r="A244" s="8">
        <v>1060357</v>
      </c>
      <c r="B244">
        <f>'TASK 6(1)'!N244-'TASK 6(1)'!O244</f>
        <v>41177</v>
      </c>
    </row>
    <row r="245" spans="1:2" x14ac:dyDescent="0.3">
      <c r="A245" s="9">
        <v>1228647</v>
      </c>
      <c r="B245">
        <f>'TASK 6(1)'!N245-'TASK 6(1)'!O245</f>
        <v>35367</v>
      </c>
    </row>
    <row r="246" spans="1:2" x14ac:dyDescent="0.3">
      <c r="A246" s="8">
        <v>1379539</v>
      </c>
      <c r="B246">
        <f>'TASK 6(1)'!N246-'TASK 6(1)'!O246</f>
        <v>35557</v>
      </c>
    </row>
    <row r="247" spans="1:2" x14ac:dyDescent="0.3">
      <c r="A247" s="9">
        <v>1379539</v>
      </c>
      <c r="B247">
        <f>'TASK 6(1)'!N247-'TASK 6(1)'!O247</f>
        <v>35557</v>
      </c>
    </row>
    <row r="248" spans="1:2" x14ac:dyDescent="0.3">
      <c r="A248" s="8">
        <v>1379539</v>
      </c>
      <c r="B248">
        <f>'TASK 6(1)'!N248-'TASK 6(1)'!O248</f>
        <v>35557</v>
      </c>
    </row>
    <row r="249" spans="1:2" x14ac:dyDescent="0.3">
      <c r="A249" s="9">
        <v>1379539</v>
      </c>
      <c r="B249">
        <f>'TASK 6(1)'!N249-'TASK 6(1)'!O249</f>
        <v>35557</v>
      </c>
    </row>
    <row r="250" spans="1:2" x14ac:dyDescent="0.3">
      <c r="A250" s="8">
        <v>1060357</v>
      </c>
      <c r="B250">
        <f>'TASK 6(1)'!N250-'TASK 6(1)'!O250</f>
        <v>41177</v>
      </c>
    </row>
    <row r="251" spans="1:2" x14ac:dyDescent="0.3">
      <c r="A251" s="9">
        <v>1379539</v>
      </c>
      <c r="B251">
        <f>'TASK 6(1)'!N251-'TASK 6(1)'!O251</f>
        <v>35557</v>
      </c>
    </row>
    <row r="252" spans="1:2" x14ac:dyDescent="0.3">
      <c r="A252" s="8">
        <v>1164373</v>
      </c>
      <c r="B252">
        <f>'TASK 6(1)'!N252-'TASK 6(1)'!O252</f>
        <v>48004</v>
      </c>
    </row>
    <row r="253" spans="1:2" x14ac:dyDescent="0.3">
      <c r="A253" s="9">
        <v>1379539</v>
      </c>
      <c r="B253">
        <f>'TASK 6(1)'!N253-'TASK 6(1)'!O253</f>
        <v>35557</v>
      </c>
    </row>
    <row r="254" spans="1:2" x14ac:dyDescent="0.3">
      <c r="A254" s="8">
        <v>1060357</v>
      </c>
      <c r="B254">
        <f>'TASK 6(1)'!N254-'TASK 6(1)'!O254</f>
        <v>41177</v>
      </c>
    </row>
    <row r="255" spans="1:2" x14ac:dyDescent="0.3">
      <c r="A255" s="9">
        <v>1060357</v>
      </c>
      <c r="B255">
        <f>'TASK 6(1)'!N255-'TASK 6(1)'!O255</f>
        <v>41177</v>
      </c>
    </row>
    <row r="256" spans="1:2" x14ac:dyDescent="0.3">
      <c r="A256" s="8">
        <v>1379539</v>
      </c>
      <c r="B256">
        <f>'TASK 6(1)'!N256-'TASK 6(1)'!O256</f>
        <v>35557</v>
      </c>
    </row>
    <row r="257" spans="1:2" x14ac:dyDescent="0.3">
      <c r="A257" s="9">
        <v>1228647</v>
      </c>
      <c r="B257">
        <f>'TASK 6(1)'!N257-'TASK 6(1)'!O257</f>
        <v>35367</v>
      </c>
    </row>
    <row r="258" spans="1:2" x14ac:dyDescent="0.3">
      <c r="A258" s="8">
        <v>1379539</v>
      </c>
      <c r="B258">
        <f>'TASK 6(1)'!N258-'TASK 6(1)'!O258</f>
        <v>35557</v>
      </c>
    </row>
    <row r="259" spans="1:2" x14ac:dyDescent="0.3">
      <c r="A259" s="9">
        <v>1164373</v>
      </c>
      <c r="B259">
        <f>'TASK 6(1)'!N259-'TASK 6(1)'!O259</f>
        <v>48004</v>
      </c>
    </row>
    <row r="260" spans="1:2" x14ac:dyDescent="0.3">
      <c r="A260" s="8">
        <v>1379539</v>
      </c>
      <c r="B260">
        <f>'TASK 6(1)'!N260-'TASK 6(1)'!O260</f>
        <v>35557</v>
      </c>
    </row>
    <row r="261" spans="1:2" x14ac:dyDescent="0.3">
      <c r="A261" s="9">
        <v>1164373</v>
      </c>
      <c r="B261">
        <f>'TASK 6(1)'!N261-'TASK 6(1)'!O261</f>
        <v>48004</v>
      </c>
    </row>
    <row r="262" spans="1:2" x14ac:dyDescent="0.3">
      <c r="A262" s="8">
        <v>1164373</v>
      </c>
      <c r="B262">
        <f>'TASK 6(1)'!N262-'TASK 6(1)'!O262</f>
        <v>48004</v>
      </c>
    </row>
    <row r="263" spans="1:2" x14ac:dyDescent="0.3">
      <c r="A263" s="9">
        <v>1228647</v>
      </c>
      <c r="B263">
        <f>'TASK 6(1)'!N263-'TASK 6(1)'!O263</f>
        <v>35367</v>
      </c>
    </row>
    <row r="264" spans="1:2" x14ac:dyDescent="0.3">
      <c r="A264" s="8">
        <v>1164373</v>
      </c>
      <c r="B264">
        <f>'TASK 6(1)'!N264-'TASK 6(1)'!O264</f>
        <v>48004</v>
      </c>
    </row>
    <row r="265" spans="1:2" x14ac:dyDescent="0.3">
      <c r="A265" s="9">
        <v>1060357</v>
      </c>
      <c r="B265">
        <f>'TASK 6(1)'!N265-'TASK 6(1)'!O265</f>
        <v>41177</v>
      </c>
    </row>
    <row r="266" spans="1:2" x14ac:dyDescent="0.3">
      <c r="A266" s="8">
        <v>1060357</v>
      </c>
      <c r="B266">
        <f>'TASK 6(1)'!N266-'TASK 6(1)'!O266</f>
        <v>41177</v>
      </c>
    </row>
    <row r="267" spans="1:2" x14ac:dyDescent="0.3">
      <c r="A267" s="9">
        <v>1379539</v>
      </c>
      <c r="B267">
        <f>'TASK 6(1)'!N267-'TASK 6(1)'!O267</f>
        <v>35557</v>
      </c>
    </row>
    <row r="268" spans="1:2" x14ac:dyDescent="0.3">
      <c r="A268" s="8">
        <v>1060357</v>
      </c>
      <c r="B268">
        <f>'TASK 6(1)'!N268-'TASK 6(1)'!O268</f>
        <v>41177</v>
      </c>
    </row>
    <row r="269" spans="1:2" x14ac:dyDescent="0.3">
      <c r="A269" s="9">
        <v>1164373</v>
      </c>
      <c r="B269">
        <f>'TASK 6(1)'!N269-'TASK 6(1)'!O269</f>
        <v>48004</v>
      </c>
    </row>
    <row r="270" spans="1:2" x14ac:dyDescent="0.3">
      <c r="A270" s="8">
        <v>1164373</v>
      </c>
      <c r="B270">
        <f>'TASK 6(1)'!N270-'TASK 6(1)'!O270</f>
        <v>48004</v>
      </c>
    </row>
    <row r="271" spans="1:2" x14ac:dyDescent="0.3">
      <c r="A271" s="9">
        <v>1228647</v>
      </c>
      <c r="B271">
        <f>'TASK 6(1)'!N271-'TASK 6(1)'!O271</f>
        <v>35367</v>
      </c>
    </row>
    <row r="272" spans="1:2" x14ac:dyDescent="0.3">
      <c r="A272" s="8">
        <v>1164373</v>
      </c>
      <c r="B272">
        <f>'TASK 6(1)'!N272-'TASK 6(1)'!O272</f>
        <v>48004</v>
      </c>
    </row>
    <row r="273" spans="1:2" x14ac:dyDescent="0.3">
      <c r="A273" s="9">
        <v>1164373</v>
      </c>
      <c r="B273">
        <f>'TASK 6(1)'!N273-'TASK 6(1)'!O273</f>
        <v>48004</v>
      </c>
    </row>
    <row r="274" spans="1:2" x14ac:dyDescent="0.3">
      <c r="A274" s="8">
        <v>1228647</v>
      </c>
      <c r="B274">
        <f>'TASK 6(1)'!N274-'TASK 6(1)'!O274</f>
        <v>35367</v>
      </c>
    </row>
    <row r="275" spans="1:2" x14ac:dyDescent="0.3">
      <c r="A275" s="9">
        <v>1060357</v>
      </c>
      <c r="B275">
        <f>'TASK 6(1)'!N275-'TASK 6(1)'!O275</f>
        <v>41177</v>
      </c>
    </row>
    <row r="276" spans="1:2" x14ac:dyDescent="0.3">
      <c r="A276" s="8">
        <v>1379539</v>
      </c>
      <c r="B276">
        <f>'TASK 6(1)'!N276-'TASK 6(1)'!O276</f>
        <v>35557</v>
      </c>
    </row>
    <row r="277" spans="1:2" x14ac:dyDescent="0.3">
      <c r="A277" s="9">
        <v>1060357</v>
      </c>
      <c r="B277">
        <f>'TASK 6(1)'!N277-'TASK 6(1)'!O277</f>
        <v>41177</v>
      </c>
    </row>
    <row r="278" spans="1:2" x14ac:dyDescent="0.3">
      <c r="A278" s="8">
        <v>1379539</v>
      </c>
      <c r="B278">
        <f>'TASK 6(1)'!N278-'TASK 6(1)'!O278</f>
        <v>35557</v>
      </c>
    </row>
    <row r="279" spans="1:2" x14ac:dyDescent="0.3">
      <c r="A279" s="9">
        <v>1060357</v>
      </c>
      <c r="B279">
        <f>'TASK 6(1)'!N279-'TASK 6(1)'!O279</f>
        <v>41177</v>
      </c>
    </row>
    <row r="280" spans="1:2" x14ac:dyDescent="0.3">
      <c r="A280" s="8">
        <v>1228647</v>
      </c>
      <c r="B280">
        <f>'TASK 6(1)'!N280-'TASK 6(1)'!O280</f>
        <v>35367</v>
      </c>
    </row>
    <row r="281" spans="1:2" x14ac:dyDescent="0.3">
      <c r="A281" s="9">
        <v>1228647</v>
      </c>
      <c r="B281">
        <f>'TASK 6(1)'!N281-'TASK 6(1)'!O281</f>
        <v>35367</v>
      </c>
    </row>
    <row r="282" spans="1:2" x14ac:dyDescent="0.3">
      <c r="A282" s="8">
        <v>1228647</v>
      </c>
      <c r="B282">
        <f>'TASK 6(1)'!N282-'TASK 6(1)'!O282</f>
        <v>35367</v>
      </c>
    </row>
    <row r="283" spans="1:2" x14ac:dyDescent="0.3">
      <c r="A283" s="9">
        <v>1164373</v>
      </c>
      <c r="B283">
        <f>'TASK 6(1)'!N283-'TASK 6(1)'!O283</f>
        <v>48004</v>
      </c>
    </row>
    <row r="284" spans="1:2" x14ac:dyDescent="0.3">
      <c r="A284" s="8">
        <v>1060357</v>
      </c>
      <c r="B284">
        <f>'TASK 6(1)'!N284-'TASK 6(1)'!O284</f>
        <v>41177</v>
      </c>
    </row>
    <row r="285" spans="1:2" x14ac:dyDescent="0.3">
      <c r="A285" s="9">
        <v>1060357</v>
      </c>
      <c r="B285">
        <f>'TASK 6(1)'!N285-'TASK 6(1)'!O285</f>
        <v>41177</v>
      </c>
    </row>
    <row r="286" spans="1:2" x14ac:dyDescent="0.3">
      <c r="A286" s="8">
        <v>1228647</v>
      </c>
      <c r="B286">
        <f>'TASK 6(1)'!N286-'TASK 6(1)'!O286</f>
        <v>35367</v>
      </c>
    </row>
    <row r="287" spans="1:2" x14ac:dyDescent="0.3">
      <c r="A287" s="9">
        <v>1228647</v>
      </c>
      <c r="B287">
        <f>'TASK 6(1)'!N287-'TASK 6(1)'!O287</f>
        <v>35367</v>
      </c>
    </row>
    <row r="288" spans="1:2" x14ac:dyDescent="0.3">
      <c r="A288" s="8">
        <v>1164373</v>
      </c>
      <c r="B288">
        <f>'TASK 6(1)'!N288-'TASK 6(1)'!O288</f>
        <v>48004</v>
      </c>
    </row>
    <row r="289" spans="1:2" x14ac:dyDescent="0.3">
      <c r="A289" s="9">
        <v>1228647</v>
      </c>
      <c r="B289">
        <f>'TASK 6(1)'!N289-'TASK 6(1)'!O289</f>
        <v>35367</v>
      </c>
    </row>
    <row r="290" spans="1:2" x14ac:dyDescent="0.3">
      <c r="A290" s="8">
        <v>1379539</v>
      </c>
      <c r="B290">
        <f>'TASK 6(1)'!N290-'TASK 6(1)'!O290</f>
        <v>35557</v>
      </c>
    </row>
    <row r="291" spans="1:2" x14ac:dyDescent="0.3">
      <c r="A291" s="9">
        <v>1164373</v>
      </c>
      <c r="B291">
        <f>'TASK 6(1)'!N291-'TASK 6(1)'!O291</f>
        <v>48004</v>
      </c>
    </row>
    <row r="292" spans="1:2" x14ac:dyDescent="0.3">
      <c r="A292" s="8">
        <v>1379539</v>
      </c>
      <c r="B292">
        <f>'TASK 6(1)'!N292-'TASK 6(1)'!O292</f>
        <v>35557</v>
      </c>
    </row>
    <row r="293" spans="1:2" x14ac:dyDescent="0.3">
      <c r="A293" s="9">
        <v>1379539</v>
      </c>
      <c r="B293">
        <f>'TASK 6(1)'!N293-'TASK 6(1)'!O293</f>
        <v>35557</v>
      </c>
    </row>
    <row r="294" spans="1:2" x14ac:dyDescent="0.3">
      <c r="A294" s="8">
        <v>1379539</v>
      </c>
      <c r="B294">
        <f>'TASK 6(1)'!N294-'TASK 6(1)'!O294</f>
        <v>35557</v>
      </c>
    </row>
    <row r="295" spans="1:2" x14ac:dyDescent="0.3">
      <c r="A295" s="9">
        <v>1379539</v>
      </c>
      <c r="B295">
        <f>'TASK 6(1)'!N295-'TASK 6(1)'!O295</f>
        <v>35557</v>
      </c>
    </row>
    <row r="296" spans="1:2" x14ac:dyDescent="0.3">
      <c r="A296" s="8">
        <v>1060357</v>
      </c>
      <c r="B296">
        <f>'TASK 6(1)'!N296-'TASK 6(1)'!O296</f>
        <v>41177</v>
      </c>
    </row>
    <row r="297" spans="1:2" x14ac:dyDescent="0.3">
      <c r="A297" s="9">
        <v>1060357</v>
      </c>
      <c r="B297">
        <f>'TASK 6(1)'!N297-'TASK 6(1)'!O297</f>
        <v>41177</v>
      </c>
    </row>
    <row r="298" spans="1:2" x14ac:dyDescent="0.3">
      <c r="A298" s="8">
        <v>1060357</v>
      </c>
      <c r="B298">
        <f>'TASK 6(1)'!N298-'TASK 6(1)'!O298</f>
        <v>41177</v>
      </c>
    </row>
    <row r="299" spans="1:2" x14ac:dyDescent="0.3">
      <c r="A299" s="9">
        <v>1379539</v>
      </c>
      <c r="B299">
        <f>'TASK 6(1)'!N299-'TASK 6(1)'!O299</f>
        <v>35557</v>
      </c>
    </row>
    <row r="300" spans="1:2" x14ac:dyDescent="0.3">
      <c r="A300" s="8">
        <v>1379539</v>
      </c>
      <c r="B300">
        <f>'TASK 6(1)'!N300-'TASK 6(1)'!O300</f>
        <v>35557</v>
      </c>
    </row>
    <row r="301" spans="1:2" x14ac:dyDescent="0.3">
      <c r="A301" s="9">
        <v>1060357</v>
      </c>
      <c r="B301">
        <f>'TASK 6(1)'!N301-'TASK 6(1)'!O301</f>
        <v>41177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67E342-68D4-436D-A7D6-CC1302B204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TASKS</vt:lpstr>
      <vt:lpstr>Posts</vt:lpstr>
      <vt:lpstr>Engagement Summary</vt:lpstr>
      <vt:lpstr>Campaign Metadata</vt:lpstr>
      <vt:lpstr>TASK 1</vt:lpstr>
      <vt:lpstr>TASK 2(3)</vt:lpstr>
      <vt:lpstr>TASK 2(1)</vt:lpstr>
      <vt:lpstr>TASK 2(2)</vt:lpstr>
      <vt:lpstr>TASK 2(1.1)</vt:lpstr>
      <vt:lpstr>TASK 2(4)</vt:lpstr>
      <vt:lpstr>TASK 3(1)</vt:lpstr>
      <vt:lpstr>TASK 3(2)</vt:lpstr>
      <vt:lpstr>TASK 3(3)</vt:lpstr>
      <vt:lpstr>TASK 4(1)</vt:lpstr>
      <vt:lpstr>TASK 4(2)</vt:lpstr>
      <vt:lpstr>TASK 4(3)</vt:lpstr>
      <vt:lpstr>TASK 5(1)</vt:lpstr>
      <vt:lpstr>TASK 5(2)</vt:lpstr>
      <vt:lpstr>TASK 5(3)</vt:lpstr>
      <vt:lpstr>TASK 6(1)</vt:lpstr>
      <vt:lpstr>TASK 6(2)</vt:lpstr>
      <vt:lpstr>TASK 6(3)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 NAVEEN BADVEL</cp:lastModifiedBy>
  <dcterms:modified xsi:type="dcterms:W3CDTF">2026-04-14T07:04:56Z</dcterms:modified>
</cp:coreProperties>
</file>